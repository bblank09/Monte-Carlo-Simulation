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Data" sheetId="1" state="visible" r:id="rId3"/>
    <sheet name="Risk &amp; Correlation" sheetId="2" state="visible" r:id="rId4"/>
    <sheet name="Growth" sheetId="3" state="visible" r:id="rId5"/>
    <sheet name="Overview" sheetId="4" state="visible" r:id="rId6"/>
    <sheet name="Distribution" sheetId="5" state="visible" r:id="rId7"/>
    <sheet name="Metrics" sheetId="6" state="visible" r:id="rId8"/>
    <sheet name="Goals &amp; Cashflows" sheetId="7" state="visible" r:id="rId9"/>
    <sheet name="Summary Tie-Ou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<sst xmlns="http://schemas.openxmlformats.org/spreadsheetml/2006/main" count="2961" uniqueCount="2926">
  <si>
    <t xml:space="preserve">Raw Data — Full committed NAV history used by the live engine to calibrate mu/sigma</t>
  </si>
  <si>
    <t xml:space="preserve">Source: data/processed/nav_panel.parquet, replicated via load_nav_returns() -&gt; get_daily_nav() -&gt; build_price_panel() -&gt; log_returns() (backend/app/data/sec_client.py, backend/app/data/returns.py). Funds: M0209_2548 (K-SET50), M0337_2550 (K-MONEY). Date range = full intersection of both funds' reported nav_date history after gap-tolerant forward-fill and dropna(), 2015-01-05 through 2026-07-31 (2702 daily observations, 2701 daily log returns).</t>
  </si>
  <si>
    <t xml:space="preserve">IMPORTANT DEVIATION FROM BRIEF: the brief's Step 1 suggested a simple return =NAV_t/NAV_(t-1)-1. The live engine (returns.py::log_returns) actually computes DAILY LOG RETURNS =LN(NAV_t/NAV_(t-1)), and estimate_mu_sigma()/correlation_and_returns_table() operate on that log-return series, not simple returns. This sheet therefore uses LOG returns so that every downstream bit-exact formula in this workbook matches the engine's actual input series. A simple-return column is also provided (labeled) for reference/plausibility only.</t>
  </si>
  <si>
    <t xml:space="preserve">GAP-FILL NOTE (candidate CLAUDE.md landmine violation, worth Task 5's attention): 3 isolated dates in this 2702-row panel have a missing NAV for ONE of the two funds in the underlying parquet cache and are forward-filled by build_price_panel() (returns.py) as normal single-day reporting-calendar noise, exactly replicated here so this workbook matches what the live engine actually computed: 2015-04-02 (M0337_2550/MONEY missing, SET50 present), 2015-05-28 (M0209_2548/SET50 missing, MONEY present), 2021-01-18 (SET50 missing, MONEY present) — see rows 68, 101, and 1465 below. This is NOT an unnoticed data error in this workbook; it is a faithful reproduction of the engine's forward-fill behavior. However, CLAUDE.md's landmine list states 'NAV gaps are hard errors. Never forward-fill or interpolate across a gap' — build_price_panel()'s own MAX_TOLERATED_GAP_RUN=5 logic treats a lone missing day as tolerable calendar noise (not a genuine gap) and forward-fills it, which is a documented design choice inside returns.py itself, but is in tension with the landmine's blanket 'never forward-fill' wording. Flagging this as a discrepancy worth Task 5's attention re: whether the landmine text needs to be qualified, or whether single-day forward-fill should also be disallowed.</t>
  </si>
  <si>
    <t xml:space="preserve">Date</t>
  </si>
  <si>
    <t xml:space="preserve">NAV_SET50 (M0209_2548)</t>
  </si>
  <si>
    <t xml:space="preserve">NAV_MONEY (M0337_2550)</t>
  </si>
  <si>
    <t xml:space="preserve">LogReturn_SET50</t>
  </si>
  <si>
    <t xml:space="preserve">LogReturn_MONEY</t>
  </si>
  <si>
    <t xml:space="preserve">SimpleReturn_SET50 (ref only)</t>
  </si>
  <si>
    <t xml:space="preserve">SimpleReturn_MONEY (ref only)</t>
  </si>
  <si>
    <t xml:space="preserve">2015-01-05</t>
  </si>
  <si>
    <t xml:space="preserve">2015-01-06</t>
  </si>
  <si>
    <t xml:space="preserve">2015-01-07</t>
  </si>
  <si>
    <t xml:space="preserve">2015-01-08</t>
  </si>
  <si>
    <t xml:space="preserve">2015-01-09</t>
  </si>
  <si>
    <t xml:space="preserve">2015-01-12</t>
  </si>
  <si>
    <t xml:space="preserve">2015-01-13</t>
  </si>
  <si>
    <t xml:space="preserve">2015-01-14</t>
  </si>
  <si>
    <t xml:space="preserve">2015-01-15</t>
  </si>
  <si>
    <t xml:space="preserve">2015-01-16</t>
  </si>
  <si>
    <t xml:space="preserve">2015-01-19</t>
  </si>
  <si>
    <t xml:space="preserve">2015-01-20</t>
  </si>
  <si>
    <t xml:space="preserve">2015-01-21</t>
  </si>
  <si>
    <t xml:space="preserve">2015-01-22</t>
  </si>
  <si>
    <t xml:space="preserve">2015-01-23</t>
  </si>
  <si>
    <t xml:space="preserve">2015-01-26</t>
  </si>
  <si>
    <t xml:space="preserve">2015-01-27</t>
  </si>
  <si>
    <t xml:space="preserve">2015-01-28</t>
  </si>
  <si>
    <t xml:space="preserve">2015-01-29</t>
  </si>
  <si>
    <t xml:space="preserve">2015-01-30</t>
  </si>
  <si>
    <t xml:space="preserve">2015-02-02</t>
  </si>
  <si>
    <t xml:space="preserve">2015-02-03</t>
  </si>
  <si>
    <t xml:space="preserve">2015-02-04</t>
  </si>
  <si>
    <t xml:space="preserve">2015-02-05</t>
  </si>
  <si>
    <t xml:space="preserve">2015-02-06</t>
  </si>
  <si>
    <t xml:space="preserve">2015-02-09</t>
  </si>
  <si>
    <t xml:space="preserve">2015-02-10</t>
  </si>
  <si>
    <t xml:space="preserve">2015-02-11</t>
  </si>
  <si>
    <t xml:space="preserve">2015-02-12</t>
  </si>
  <si>
    <t xml:space="preserve">2015-02-13</t>
  </si>
  <si>
    <t xml:space="preserve">2015-02-16</t>
  </si>
  <si>
    <t xml:space="preserve">2015-02-17</t>
  </si>
  <si>
    <t xml:space="preserve">2015-02-18</t>
  </si>
  <si>
    <t xml:space="preserve">2015-02-19</t>
  </si>
  <si>
    <t xml:space="preserve">2015-02-20</t>
  </si>
  <si>
    <t xml:space="preserve">2015-02-23</t>
  </si>
  <si>
    <t xml:space="preserve">2015-02-24</t>
  </si>
  <si>
    <t xml:space="preserve">2015-02-25</t>
  </si>
  <si>
    <t xml:space="preserve">2015-02-26</t>
  </si>
  <si>
    <t xml:space="preserve">2015-02-27</t>
  </si>
  <si>
    <t xml:space="preserve">2015-03-02</t>
  </si>
  <si>
    <t xml:space="preserve">2015-03-03</t>
  </si>
  <si>
    <t xml:space="preserve">2015-03-05</t>
  </si>
  <si>
    <t xml:space="preserve">2015-03-06</t>
  </si>
  <si>
    <t xml:space="preserve">2015-03-09</t>
  </si>
  <si>
    <t xml:space="preserve">2015-03-10</t>
  </si>
  <si>
    <t xml:space="preserve">2015-03-11</t>
  </si>
  <si>
    <t xml:space="preserve">2015-03-12</t>
  </si>
  <si>
    <t xml:space="preserve">2015-03-13</t>
  </si>
  <si>
    <t xml:space="preserve">2015-03-16</t>
  </si>
  <si>
    <t xml:space="preserve">2015-03-17</t>
  </si>
  <si>
    <t xml:space="preserve">2015-03-18</t>
  </si>
  <si>
    <t xml:space="preserve">2015-03-19</t>
  </si>
  <si>
    <t xml:space="preserve">2015-03-20</t>
  </si>
  <si>
    <t xml:space="preserve">2015-03-23</t>
  </si>
  <si>
    <t xml:space="preserve">2015-03-24</t>
  </si>
  <si>
    <t xml:space="preserve">2015-03-25</t>
  </si>
  <si>
    <t xml:space="preserve">2015-03-26</t>
  </si>
  <si>
    <t xml:space="preserve">2015-03-27</t>
  </si>
  <si>
    <t xml:space="preserve">2015-03-30</t>
  </si>
  <si>
    <t xml:space="preserve">2015-03-31</t>
  </si>
  <si>
    <t xml:space="preserve">2015-04-01</t>
  </si>
  <si>
    <t xml:space="preserve">2015-04-02</t>
  </si>
  <si>
    <t xml:space="preserve">&lt;-- GAP-FILL: MONEY forward-filled (see row-4 note)</t>
  </si>
  <si>
    <t xml:space="preserve">2015-04-03</t>
  </si>
  <si>
    <t xml:space="preserve">2015-04-07</t>
  </si>
  <si>
    <t xml:space="preserve">2015-04-08</t>
  </si>
  <si>
    <t xml:space="preserve">2015-04-09</t>
  </si>
  <si>
    <t xml:space="preserve">2015-04-10</t>
  </si>
  <si>
    <t xml:space="preserve">2015-04-16</t>
  </si>
  <si>
    <t xml:space="preserve">2015-04-17</t>
  </si>
  <si>
    <t xml:space="preserve">2015-04-20</t>
  </si>
  <si>
    <t xml:space="preserve">2015-04-21</t>
  </si>
  <si>
    <t xml:space="preserve">2015-04-22</t>
  </si>
  <si>
    <t xml:space="preserve">2015-04-23</t>
  </si>
  <si>
    <t xml:space="preserve">2015-04-24</t>
  </si>
  <si>
    <t xml:space="preserve">2015-04-27</t>
  </si>
  <si>
    <t xml:space="preserve">2015-04-28</t>
  </si>
  <si>
    <t xml:space="preserve">2015-04-29</t>
  </si>
  <si>
    <t xml:space="preserve">2015-04-30</t>
  </si>
  <si>
    <t xml:space="preserve">2015-05-06</t>
  </si>
  <si>
    <t xml:space="preserve">2015-05-07</t>
  </si>
  <si>
    <t xml:space="preserve">2015-05-08</t>
  </si>
  <si>
    <t xml:space="preserve">2015-05-11</t>
  </si>
  <si>
    <t xml:space="preserve">2015-05-12</t>
  </si>
  <si>
    <t xml:space="preserve">2015-05-13</t>
  </si>
  <si>
    <t xml:space="preserve">2015-05-14</t>
  </si>
  <si>
    <t xml:space="preserve">2015-05-15</t>
  </si>
  <si>
    <t xml:space="preserve">2015-05-18</t>
  </si>
  <si>
    <t xml:space="preserve">2015-05-19</t>
  </si>
  <si>
    <t xml:space="preserve">2015-05-20</t>
  </si>
  <si>
    <t xml:space="preserve">2015-05-21</t>
  </si>
  <si>
    <t xml:space="preserve">2015-05-22</t>
  </si>
  <si>
    <t xml:space="preserve">2015-05-25</t>
  </si>
  <si>
    <t xml:space="preserve">2015-05-26</t>
  </si>
  <si>
    <t xml:space="preserve">2015-05-27</t>
  </si>
  <si>
    <t xml:space="preserve">2015-05-28</t>
  </si>
  <si>
    <t xml:space="preserve">&lt;-- GAP-FILL: SET50 forward-filled (see row-4 note)</t>
  </si>
  <si>
    <t xml:space="preserve">2015-05-29</t>
  </si>
  <si>
    <t xml:space="preserve">2015-06-02</t>
  </si>
  <si>
    <t xml:space="preserve">2015-06-03</t>
  </si>
  <si>
    <t xml:space="preserve">2015-06-04</t>
  </si>
  <si>
    <t xml:space="preserve">2015-06-05</t>
  </si>
  <si>
    <t xml:space="preserve">2015-06-08</t>
  </si>
  <si>
    <t xml:space="preserve">2015-06-09</t>
  </si>
  <si>
    <t xml:space="preserve">2015-06-10</t>
  </si>
  <si>
    <t xml:space="preserve">2015-06-11</t>
  </si>
  <si>
    <t xml:space="preserve">2015-06-12</t>
  </si>
  <si>
    <t xml:space="preserve">2015-06-15</t>
  </si>
  <si>
    <t xml:space="preserve">2015-06-16</t>
  </si>
  <si>
    <t xml:space="preserve">2015-06-17</t>
  </si>
  <si>
    <t xml:space="preserve">2015-06-18</t>
  </si>
  <si>
    <t xml:space="preserve">2015-06-19</t>
  </si>
  <si>
    <t xml:space="preserve">2015-06-22</t>
  </si>
  <si>
    <t xml:space="preserve">2015-06-23</t>
  </si>
  <si>
    <t xml:space="preserve">2015-06-24</t>
  </si>
  <si>
    <t xml:space="preserve">2015-06-25</t>
  </si>
  <si>
    <t xml:space="preserve">2015-06-26</t>
  </si>
  <si>
    <t xml:space="preserve">2015-06-29</t>
  </si>
  <si>
    <t xml:space="preserve">2015-06-30</t>
  </si>
  <si>
    <t xml:space="preserve">2015-07-02</t>
  </si>
  <si>
    <t xml:space="preserve">2015-07-03</t>
  </si>
  <si>
    <t xml:space="preserve">2015-07-06</t>
  </si>
  <si>
    <t xml:space="preserve">2015-07-07</t>
  </si>
  <si>
    <t xml:space="preserve">2015-07-08</t>
  </si>
  <si>
    <t xml:space="preserve">2015-07-09</t>
  </si>
  <si>
    <t xml:space="preserve">2015-07-10</t>
  </si>
  <si>
    <t xml:space="preserve">2015-07-13</t>
  </si>
  <si>
    <t xml:space="preserve">2015-07-14</t>
  </si>
  <si>
    <t xml:space="preserve">2015-07-15</t>
  </si>
  <si>
    <t xml:space="preserve">2015-07-16</t>
  </si>
  <si>
    <t xml:space="preserve">2015-07-17</t>
  </si>
  <si>
    <t xml:space="preserve">2015-07-20</t>
  </si>
  <si>
    <t xml:space="preserve">2015-07-21</t>
  </si>
  <si>
    <t xml:space="preserve">2015-07-22</t>
  </si>
  <si>
    <t xml:space="preserve">2015-07-23</t>
  </si>
  <si>
    <t xml:space="preserve">2015-07-24</t>
  </si>
  <si>
    <t xml:space="preserve">2015-07-27</t>
  </si>
  <si>
    <t xml:space="preserve">2015-07-28</t>
  </si>
  <si>
    <t xml:space="preserve">2015-07-29</t>
  </si>
  <si>
    <t xml:space="preserve">2015-07-31</t>
  </si>
  <si>
    <t xml:space="preserve">2015-08-03</t>
  </si>
  <si>
    <t xml:space="preserve">2015-08-04</t>
  </si>
  <si>
    <t xml:space="preserve">2015-08-05</t>
  </si>
  <si>
    <t xml:space="preserve">2015-08-06</t>
  </si>
  <si>
    <t xml:space="preserve">2015-08-07</t>
  </si>
  <si>
    <t xml:space="preserve">2015-08-10</t>
  </si>
  <si>
    <t xml:space="preserve">2015-08-11</t>
  </si>
  <si>
    <t xml:space="preserve">2015-08-13</t>
  </si>
  <si>
    <t xml:space="preserve">2015-08-14</t>
  </si>
  <si>
    <t xml:space="preserve">2015-08-17</t>
  </si>
  <si>
    <t xml:space="preserve">2015-08-18</t>
  </si>
  <si>
    <t xml:space="preserve">2015-08-19</t>
  </si>
  <si>
    <t xml:space="preserve">2015-08-20</t>
  </si>
  <si>
    <t xml:space="preserve">2015-08-21</t>
  </si>
  <si>
    <t xml:space="preserve">2015-08-24</t>
  </si>
  <si>
    <t xml:space="preserve">2015-08-25</t>
  </si>
  <si>
    <t xml:space="preserve">2015-08-26</t>
  </si>
  <si>
    <t xml:space="preserve">2015-08-27</t>
  </si>
  <si>
    <t xml:space="preserve">2015-08-28</t>
  </si>
  <si>
    <t xml:space="preserve">2015-08-31</t>
  </si>
  <si>
    <t xml:space="preserve">2015-09-01</t>
  </si>
  <si>
    <t xml:space="preserve">2015-09-02</t>
  </si>
  <si>
    <t xml:space="preserve">2015-09-03</t>
  </si>
  <si>
    <t xml:space="preserve">2015-09-04</t>
  </si>
  <si>
    <t xml:space="preserve">2015-09-07</t>
  </si>
  <si>
    <t xml:space="preserve">2015-09-08</t>
  </si>
  <si>
    <t xml:space="preserve">2015-09-09</t>
  </si>
  <si>
    <t xml:space="preserve">2015-09-10</t>
  </si>
  <si>
    <t xml:space="preserve">2015-09-11</t>
  </si>
  <si>
    <t xml:space="preserve">2015-09-14</t>
  </si>
  <si>
    <t xml:space="preserve">2015-09-15</t>
  </si>
  <si>
    <t xml:space="preserve">2015-09-16</t>
  </si>
  <si>
    <t xml:space="preserve">2015-09-17</t>
  </si>
  <si>
    <t xml:space="preserve">2015-09-18</t>
  </si>
  <si>
    <t xml:space="preserve">2015-09-21</t>
  </si>
  <si>
    <t xml:space="preserve">2015-09-22</t>
  </si>
  <si>
    <t xml:space="preserve">2015-09-23</t>
  </si>
  <si>
    <t xml:space="preserve">2015-09-24</t>
  </si>
  <si>
    <t xml:space="preserve">2015-09-25</t>
  </si>
  <si>
    <t xml:space="preserve">2015-09-28</t>
  </si>
  <si>
    <t xml:space="preserve">2015-09-29</t>
  </si>
  <si>
    <t xml:space="preserve">2015-09-30</t>
  </si>
  <si>
    <t xml:space="preserve">2015-10-01</t>
  </si>
  <si>
    <t xml:space="preserve">2015-10-02</t>
  </si>
  <si>
    <t xml:space="preserve">2015-10-05</t>
  </si>
  <si>
    <t xml:space="preserve">2015-10-06</t>
  </si>
  <si>
    <t xml:space="preserve">2015-10-07</t>
  </si>
  <si>
    <t xml:space="preserve">2015-10-08</t>
  </si>
  <si>
    <t xml:space="preserve">2015-10-09</t>
  </si>
  <si>
    <t xml:space="preserve">2015-10-12</t>
  </si>
  <si>
    <t xml:space="preserve">2015-10-13</t>
  </si>
  <si>
    <t xml:space="preserve">2015-10-14</t>
  </si>
  <si>
    <t xml:space="preserve">2015-10-15</t>
  </si>
  <si>
    <t xml:space="preserve">2015-10-16</t>
  </si>
  <si>
    <t xml:space="preserve">2015-10-19</t>
  </si>
  <si>
    <t xml:space="preserve">2015-10-20</t>
  </si>
  <si>
    <t xml:space="preserve">2015-10-21</t>
  </si>
  <si>
    <t xml:space="preserve">2015-10-22</t>
  </si>
  <si>
    <t xml:space="preserve">2015-10-26</t>
  </si>
  <si>
    <t xml:space="preserve">2015-10-27</t>
  </si>
  <si>
    <t xml:space="preserve">2015-10-28</t>
  </si>
  <si>
    <t xml:space="preserve">2015-10-29</t>
  </si>
  <si>
    <t xml:space="preserve">2015-10-30</t>
  </si>
  <si>
    <t xml:space="preserve">2015-11-02</t>
  </si>
  <si>
    <t xml:space="preserve">2015-11-03</t>
  </si>
  <si>
    <t xml:space="preserve">2015-11-04</t>
  </si>
  <si>
    <t xml:space="preserve">2015-11-05</t>
  </si>
  <si>
    <t xml:space="preserve">2015-11-06</t>
  </si>
  <si>
    <t xml:space="preserve">2015-11-09</t>
  </si>
  <si>
    <t xml:space="preserve">2015-11-10</t>
  </si>
  <si>
    <t xml:space="preserve">2015-11-11</t>
  </si>
  <si>
    <t xml:space="preserve">2015-11-12</t>
  </si>
  <si>
    <t xml:space="preserve">2015-11-13</t>
  </si>
  <si>
    <t xml:space="preserve">2015-11-16</t>
  </si>
  <si>
    <t xml:space="preserve">2015-11-17</t>
  </si>
  <si>
    <t xml:space="preserve">2015-11-18</t>
  </si>
  <si>
    <t xml:space="preserve">2015-11-19</t>
  </si>
  <si>
    <t xml:space="preserve">2015-11-20</t>
  </si>
  <si>
    <t xml:space="preserve">2015-11-23</t>
  </si>
  <si>
    <t xml:space="preserve">2015-11-24</t>
  </si>
  <si>
    <t xml:space="preserve">2015-11-25</t>
  </si>
  <si>
    <t xml:space="preserve">2015-11-26</t>
  </si>
  <si>
    <t xml:space="preserve">2015-11-27</t>
  </si>
  <si>
    <t xml:space="preserve">2015-11-30</t>
  </si>
  <si>
    <t xml:space="preserve">2015-12-01</t>
  </si>
  <si>
    <t xml:space="preserve">2015-12-02</t>
  </si>
  <si>
    <t xml:space="preserve">2015-12-03</t>
  </si>
  <si>
    <t xml:space="preserve">2015-12-04</t>
  </si>
  <si>
    <t xml:space="preserve">2015-12-08</t>
  </si>
  <si>
    <t xml:space="preserve">2015-12-09</t>
  </si>
  <si>
    <t xml:space="preserve">2015-12-11</t>
  </si>
  <si>
    <t xml:space="preserve">2015-12-14</t>
  </si>
  <si>
    <t xml:space="preserve">2015-12-15</t>
  </si>
  <si>
    <t xml:space="preserve">2015-12-16</t>
  </si>
  <si>
    <t xml:space="preserve">2015-12-17</t>
  </si>
  <si>
    <t xml:space="preserve">2015-12-18</t>
  </si>
  <si>
    <t xml:space="preserve">2015-12-21</t>
  </si>
  <si>
    <t xml:space="preserve">2015-12-22</t>
  </si>
  <si>
    <t xml:space="preserve">2015-12-23</t>
  </si>
  <si>
    <t xml:space="preserve">2015-12-24</t>
  </si>
  <si>
    <t xml:space="preserve">2015-12-25</t>
  </si>
  <si>
    <t xml:space="preserve">2015-12-28</t>
  </si>
  <si>
    <t xml:space="preserve">2015-12-29</t>
  </si>
  <si>
    <t xml:space="preserve">2015-12-30</t>
  </si>
  <si>
    <t xml:space="preserve">2016-01-04</t>
  </si>
  <si>
    <t xml:space="preserve">2016-01-05</t>
  </si>
  <si>
    <t xml:space="preserve">2016-01-06</t>
  </si>
  <si>
    <t xml:space="preserve">2016-01-07</t>
  </si>
  <si>
    <t xml:space="preserve">2016-01-08</t>
  </si>
  <si>
    <t xml:space="preserve">2016-01-11</t>
  </si>
  <si>
    <t xml:space="preserve">2016-01-12</t>
  </si>
  <si>
    <t xml:space="preserve">2016-01-13</t>
  </si>
  <si>
    <t xml:space="preserve">2016-01-14</t>
  </si>
  <si>
    <t xml:space="preserve">2016-01-15</t>
  </si>
  <si>
    <t xml:space="preserve">2016-01-18</t>
  </si>
  <si>
    <t xml:space="preserve">2016-01-19</t>
  </si>
  <si>
    <t xml:space="preserve">2016-01-20</t>
  </si>
  <si>
    <t xml:space="preserve">2016-01-21</t>
  </si>
  <si>
    <t xml:space="preserve">2016-01-22</t>
  </si>
  <si>
    <t xml:space="preserve">2016-01-25</t>
  </si>
  <si>
    <t xml:space="preserve">2016-01-26</t>
  </si>
  <si>
    <t xml:space="preserve">2016-01-27</t>
  </si>
  <si>
    <t xml:space="preserve">2016-01-28</t>
  </si>
  <si>
    <t xml:space="preserve">2016-01-29</t>
  </si>
  <si>
    <t xml:space="preserve">2016-02-01</t>
  </si>
  <si>
    <t xml:space="preserve">2016-02-02</t>
  </si>
  <si>
    <t xml:space="preserve">2016-02-03</t>
  </si>
  <si>
    <t xml:space="preserve">2016-02-04</t>
  </si>
  <si>
    <t xml:space="preserve">2016-02-05</t>
  </si>
  <si>
    <t xml:space="preserve">2016-02-08</t>
  </si>
  <si>
    <t xml:space="preserve">2016-02-09</t>
  </si>
  <si>
    <t xml:space="preserve">2016-02-10</t>
  </si>
  <si>
    <t xml:space="preserve">2016-02-11</t>
  </si>
  <si>
    <t xml:space="preserve">2016-02-12</t>
  </si>
  <si>
    <t xml:space="preserve">2016-02-15</t>
  </si>
  <si>
    <t xml:space="preserve">2016-02-16</t>
  </si>
  <si>
    <t xml:space="preserve">2016-02-17</t>
  </si>
  <si>
    <t xml:space="preserve">2016-02-18</t>
  </si>
  <si>
    <t xml:space="preserve">2016-02-19</t>
  </si>
  <si>
    <t xml:space="preserve">2016-02-23</t>
  </si>
  <si>
    <t xml:space="preserve">2016-02-24</t>
  </si>
  <si>
    <t xml:space="preserve">2016-02-25</t>
  </si>
  <si>
    <t xml:space="preserve">2016-02-26</t>
  </si>
  <si>
    <t xml:space="preserve">2016-02-29</t>
  </si>
  <si>
    <t xml:space="preserve">2016-03-01</t>
  </si>
  <si>
    <t xml:space="preserve">2016-03-02</t>
  </si>
  <si>
    <t xml:space="preserve">2016-03-03</t>
  </si>
  <si>
    <t xml:space="preserve">2016-03-04</t>
  </si>
  <si>
    <t xml:space="preserve">2016-03-07</t>
  </si>
  <si>
    <t xml:space="preserve">2016-03-08</t>
  </si>
  <si>
    <t xml:space="preserve">2016-03-09</t>
  </si>
  <si>
    <t xml:space="preserve">2016-03-10</t>
  </si>
  <si>
    <t xml:space="preserve">2016-03-11</t>
  </si>
  <si>
    <t xml:space="preserve">2016-03-14</t>
  </si>
  <si>
    <t xml:space="preserve">2016-03-15</t>
  </si>
  <si>
    <t xml:space="preserve">2016-03-16</t>
  </si>
  <si>
    <t xml:space="preserve">2016-03-17</t>
  </si>
  <si>
    <t xml:space="preserve">2016-03-18</t>
  </si>
  <si>
    <t xml:space="preserve">2016-03-21</t>
  </si>
  <si>
    <t xml:space="preserve">2016-03-22</t>
  </si>
  <si>
    <t xml:space="preserve">2016-03-23</t>
  </si>
  <si>
    <t xml:space="preserve">2016-03-24</t>
  </si>
  <si>
    <t xml:space="preserve">2016-03-25</t>
  </si>
  <si>
    <t xml:space="preserve">2016-03-28</t>
  </si>
  <si>
    <t xml:space="preserve">2016-03-29</t>
  </si>
  <si>
    <t xml:space="preserve">2016-03-30</t>
  </si>
  <si>
    <t xml:space="preserve">2016-03-31</t>
  </si>
  <si>
    <t xml:space="preserve">2016-04-01</t>
  </si>
  <si>
    <t xml:space="preserve">2016-04-04</t>
  </si>
  <si>
    <t xml:space="preserve">2016-04-05</t>
  </si>
  <si>
    <t xml:space="preserve">2016-04-07</t>
  </si>
  <si>
    <t xml:space="preserve">2016-04-08</t>
  </si>
  <si>
    <t xml:space="preserve">2016-04-11</t>
  </si>
  <si>
    <t xml:space="preserve">2016-04-12</t>
  </si>
  <si>
    <t xml:space="preserve">2016-04-18</t>
  </si>
  <si>
    <t xml:space="preserve">2016-04-19</t>
  </si>
  <si>
    <t xml:space="preserve">2016-04-20</t>
  </si>
  <si>
    <t xml:space="preserve">2016-04-21</t>
  </si>
  <si>
    <t xml:space="preserve">2016-04-22</t>
  </si>
  <si>
    <t xml:space="preserve">2016-04-25</t>
  </si>
  <si>
    <t xml:space="preserve">2016-04-26</t>
  </si>
  <si>
    <t xml:space="preserve">2016-04-27</t>
  </si>
  <si>
    <t xml:space="preserve">2016-04-28</t>
  </si>
  <si>
    <t xml:space="preserve">2016-04-29</t>
  </si>
  <si>
    <t xml:space="preserve">2016-05-03</t>
  </si>
  <si>
    <t xml:space="preserve">2016-05-04</t>
  </si>
  <si>
    <t xml:space="preserve">2016-05-09</t>
  </si>
  <si>
    <t xml:space="preserve">2016-05-10</t>
  </si>
  <si>
    <t xml:space="preserve">2016-05-11</t>
  </si>
  <si>
    <t xml:space="preserve">2016-05-12</t>
  </si>
  <si>
    <t xml:space="preserve">2016-05-13</t>
  </si>
  <si>
    <t xml:space="preserve">2016-05-16</t>
  </si>
  <si>
    <t xml:space="preserve">2016-05-17</t>
  </si>
  <si>
    <t xml:space="preserve">2016-05-18</t>
  </si>
  <si>
    <t xml:space="preserve">2016-05-19</t>
  </si>
  <si>
    <t xml:space="preserve">2016-05-23</t>
  </si>
  <si>
    <t xml:space="preserve">2016-05-24</t>
  </si>
  <si>
    <t xml:space="preserve">2016-05-25</t>
  </si>
  <si>
    <t xml:space="preserve">2016-05-26</t>
  </si>
  <si>
    <t xml:space="preserve">2016-05-27</t>
  </si>
  <si>
    <t xml:space="preserve">2016-05-30</t>
  </si>
  <si>
    <t xml:space="preserve">2016-05-31</t>
  </si>
  <si>
    <t xml:space="preserve">2016-06-01</t>
  </si>
  <si>
    <t xml:space="preserve">2016-06-02</t>
  </si>
  <si>
    <t xml:space="preserve">2016-06-03</t>
  </si>
  <si>
    <t xml:space="preserve">2016-06-06</t>
  </si>
  <si>
    <t xml:space="preserve">2016-06-07</t>
  </si>
  <si>
    <t xml:space="preserve">2016-06-08</t>
  </si>
  <si>
    <t xml:space="preserve">2016-06-09</t>
  </si>
  <si>
    <t xml:space="preserve">2016-06-10</t>
  </si>
  <si>
    <t xml:space="preserve">2016-06-13</t>
  </si>
  <si>
    <t xml:space="preserve">2016-06-14</t>
  </si>
  <si>
    <t xml:space="preserve">2016-06-15</t>
  </si>
  <si>
    <t xml:space="preserve">2016-06-16</t>
  </si>
  <si>
    <t xml:space="preserve">2016-06-17</t>
  </si>
  <si>
    <t xml:space="preserve">2016-06-20</t>
  </si>
  <si>
    <t xml:space="preserve">2016-06-21</t>
  </si>
  <si>
    <t xml:space="preserve">2016-06-22</t>
  </si>
  <si>
    <t xml:space="preserve">2016-06-23</t>
  </si>
  <si>
    <t xml:space="preserve">2016-06-24</t>
  </si>
  <si>
    <t xml:space="preserve">2016-06-27</t>
  </si>
  <si>
    <t xml:space="preserve">2016-06-28</t>
  </si>
  <si>
    <t xml:space="preserve">2016-06-29</t>
  </si>
  <si>
    <t xml:space="preserve">2016-06-30</t>
  </si>
  <si>
    <t xml:space="preserve">2016-07-04</t>
  </si>
  <si>
    <t xml:space="preserve">2016-07-05</t>
  </si>
  <si>
    <t xml:space="preserve">2016-07-06</t>
  </si>
  <si>
    <t xml:space="preserve">2016-07-07</t>
  </si>
  <si>
    <t xml:space="preserve">2016-07-08</t>
  </si>
  <si>
    <t xml:space="preserve">2016-07-11</t>
  </si>
  <si>
    <t xml:space="preserve">2016-07-12</t>
  </si>
  <si>
    <t xml:space="preserve">2016-07-13</t>
  </si>
  <si>
    <t xml:space="preserve">2016-07-14</t>
  </si>
  <si>
    <t xml:space="preserve">2016-07-15</t>
  </si>
  <si>
    <t xml:space="preserve">2016-07-20</t>
  </si>
  <si>
    <t xml:space="preserve">2016-07-21</t>
  </si>
  <si>
    <t xml:space="preserve">2016-07-22</t>
  </si>
  <si>
    <t xml:space="preserve">2016-07-25</t>
  </si>
  <si>
    <t xml:space="preserve">2016-07-26</t>
  </si>
  <si>
    <t xml:space="preserve">2016-07-27</t>
  </si>
  <si>
    <t xml:space="preserve">2016-07-28</t>
  </si>
  <si>
    <t xml:space="preserve">2016-07-29</t>
  </si>
  <si>
    <t xml:space="preserve">2016-08-01</t>
  </si>
  <si>
    <t xml:space="preserve">2016-08-02</t>
  </si>
  <si>
    <t xml:space="preserve">2016-08-03</t>
  </si>
  <si>
    <t xml:space="preserve">2016-08-04</t>
  </si>
  <si>
    <t xml:space="preserve">2016-08-05</t>
  </si>
  <si>
    <t xml:space="preserve">2016-08-08</t>
  </si>
  <si>
    <t xml:space="preserve">2016-08-09</t>
  </si>
  <si>
    <t xml:space="preserve">2016-08-10</t>
  </si>
  <si>
    <t xml:space="preserve">2016-08-11</t>
  </si>
  <si>
    <t xml:space="preserve">2016-08-15</t>
  </si>
  <si>
    <t xml:space="preserve">2016-08-16</t>
  </si>
  <si>
    <t xml:space="preserve">2016-08-17</t>
  </si>
  <si>
    <t xml:space="preserve">2016-08-18</t>
  </si>
  <si>
    <t xml:space="preserve">2016-08-19</t>
  </si>
  <si>
    <t xml:space="preserve">2016-08-22</t>
  </si>
  <si>
    <t xml:space="preserve">2016-08-23</t>
  </si>
  <si>
    <t xml:space="preserve">2016-08-24</t>
  </si>
  <si>
    <t xml:space="preserve">2016-08-25</t>
  </si>
  <si>
    <t xml:space="preserve">2016-08-26</t>
  </si>
  <si>
    <t xml:space="preserve">2016-08-29</t>
  </si>
  <si>
    <t xml:space="preserve">2016-08-30</t>
  </si>
  <si>
    <t xml:space="preserve">2016-08-31</t>
  </si>
  <si>
    <t xml:space="preserve">2016-09-01</t>
  </si>
  <si>
    <t xml:space="preserve">2016-09-02</t>
  </si>
  <si>
    <t xml:space="preserve">2016-09-05</t>
  </si>
  <si>
    <t xml:space="preserve">2016-09-06</t>
  </si>
  <si>
    <t xml:space="preserve">2016-09-07</t>
  </si>
  <si>
    <t xml:space="preserve">2016-09-08</t>
  </si>
  <si>
    <t xml:space="preserve">2016-09-09</t>
  </si>
  <si>
    <t xml:space="preserve">2016-09-12</t>
  </si>
  <si>
    <t xml:space="preserve">2016-09-13</t>
  </si>
  <si>
    <t xml:space="preserve">2016-09-14</t>
  </si>
  <si>
    <t xml:space="preserve">2016-09-15</t>
  </si>
  <si>
    <t xml:space="preserve">2016-09-16</t>
  </si>
  <si>
    <t xml:space="preserve">2016-09-19</t>
  </si>
  <si>
    <t xml:space="preserve">2016-09-20</t>
  </si>
  <si>
    <t xml:space="preserve">2016-09-21</t>
  </si>
  <si>
    <t xml:space="preserve">2016-09-22</t>
  </si>
  <si>
    <t xml:space="preserve">2016-09-23</t>
  </si>
  <si>
    <t xml:space="preserve">2016-09-26</t>
  </si>
  <si>
    <t xml:space="preserve">2016-09-27</t>
  </si>
  <si>
    <t xml:space="preserve">2016-09-28</t>
  </si>
  <si>
    <t xml:space="preserve">2016-09-29</t>
  </si>
  <si>
    <t xml:space="preserve">2016-09-30</t>
  </si>
  <si>
    <t xml:space="preserve">2016-10-03</t>
  </si>
  <si>
    <t xml:space="preserve">2016-10-04</t>
  </si>
  <si>
    <t xml:space="preserve">2016-10-05</t>
  </si>
  <si>
    <t xml:space="preserve">2016-10-06</t>
  </si>
  <si>
    <t xml:space="preserve">2016-10-07</t>
  </si>
  <si>
    <t xml:space="preserve">2016-10-10</t>
  </si>
  <si>
    <t xml:space="preserve">2016-10-11</t>
  </si>
  <si>
    <t xml:space="preserve">2016-10-12</t>
  </si>
  <si>
    <t xml:space="preserve">2016-10-13</t>
  </si>
  <si>
    <t xml:space="preserve">2016-10-14</t>
  </si>
  <si>
    <t xml:space="preserve">2016-10-17</t>
  </si>
  <si>
    <t xml:space="preserve">2016-10-18</t>
  </si>
  <si>
    <t xml:space="preserve">2016-10-19</t>
  </si>
  <si>
    <t xml:space="preserve">2016-10-20</t>
  </si>
  <si>
    <t xml:space="preserve">2016-10-21</t>
  </si>
  <si>
    <t xml:space="preserve">2016-10-25</t>
  </si>
  <si>
    <t xml:space="preserve">2016-10-26</t>
  </si>
  <si>
    <t xml:space="preserve">2016-10-27</t>
  </si>
  <si>
    <t xml:space="preserve">2016-10-28</t>
  </si>
  <si>
    <t xml:space="preserve">2016-10-31</t>
  </si>
  <si>
    <t xml:space="preserve">2016-11-01</t>
  </si>
  <si>
    <t xml:space="preserve">2016-11-02</t>
  </si>
  <si>
    <t xml:space="preserve">2016-11-03</t>
  </si>
  <si>
    <t xml:space="preserve">2016-11-04</t>
  </si>
  <si>
    <t xml:space="preserve">2016-11-07</t>
  </si>
  <si>
    <t xml:space="preserve">2016-11-08</t>
  </si>
  <si>
    <t xml:space="preserve">2016-11-09</t>
  </si>
  <si>
    <t xml:space="preserve">2016-11-10</t>
  </si>
  <si>
    <t xml:space="preserve">2016-11-11</t>
  </si>
  <si>
    <t xml:space="preserve">2016-11-14</t>
  </si>
  <si>
    <t xml:space="preserve">2016-11-15</t>
  </si>
  <si>
    <t xml:space="preserve">2016-11-16</t>
  </si>
  <si>
    <t xml:space="preserve">2016-11-17</t>
  </si>
  <si>
    <t xml:space="preserve">2016-11-18</t>
  </si>
  <si>
    <t xml:space="preserve">2016-11-21</t>
  </si>
  <si>
    <t xml:space="preserve">2016-11-22</t>
  </si>
  <si>
    <t xml:space="preserve">2016-11-23</t>
  </si>
  <si>
    <t xml:space="preserve">2016-11-24</t>
  </si>
  <si>
    <t xml:space="preserve">2016-11-25</t>
  </si>
  <si>
    <t xml:space="preserve">2016-11-28</t>
  </si>
  <si>
    <t xml:space="preserve">2016-11-29</t>
  </si>
  <si>
    <t xml:space="preserve">2016-11-30</t>
  </si>
  <si>
    <t xml:space="preserve">2016-12-01</t>
  </si>
  <si>
    <t xml:space="preserve">2016-12-02</t>
  </si>
  <si>
    <t xml:space="preserve">2016-12-06</t>
  </si>
  <si>
    <t xml:space="preserve">2016-12-07</t>
  </si>
  <si>
    <t xml:space="preserve">2016-12-08</t>
  </si>
  <si>
    <t xml:space="preserve">2016-12-09</t>
  </si>
  <si>
    <t xml:space="preserve">2016-12-13</t>
  </si>
  <si>
    <t xml:space="preserve">2016-12-14</t>
  </si>
  <si>
    <t xml:space="preserve">2016-12-15</t>
  </si>
  <si>
    <t xml:space="preserve">2016-12-16</t>
  </si>
  <si>
    <t xml:space="preserve">2016-12-19</t>
  </si>
  <si>
    <t xml:space="preserve">2016-12-20</t>
  </si>
  <si>
    <t xml:space="preserve">2016-12-21</t>
  </si>
  <si>
    <t xml:space="preserve">2016-12-22</t>
  </si>
  <si>
    <t xml:space="preserve">2016-12-23</t>
  </si>
  <si>
    <t xml:space="preserve">2016-12-26</t>
  </si>
  <si>
    <t xml:space="preserve">2016-12-27</t>
  </si>
  <si>
    <t xml:space="preserve">2016-12-28</t>
  </si>
  <si>
    <t xml:space="preserve">2017-01-04</t>
  </si>
  <si>
    <t xml:space="preserve">2017-01-05</t>
  </si>
  <si>
    <t xml:space="preserve">2017-01-06</t>
  </si>
  <si>
    <t xml:space="preserve">2017-01-09</t>
  </si>
  <si>
    <t xml:space="preserve">2017-01-10</t>
  </si>
  <si>
    <t xml:space="preserve">2017-01-11</t>
  </si>
  <si>
    <t xml:space="preserve">2017-01-12</t>
  </si>
  <si>
    <t xml:space="preserve">2017-01-13</t>
  </si>
  <si>
    <t xml:space="preserve">2017-01-19</t>
  </si>
  <si>
    <t xml:space="preserve">2017-01-20</t>
  </si>
  <si>
    <t xml:space="preserve">2017-01-23</t>
  </si>
  <si>
    <t xml:space="preserve">2017-01-24</t>
  </si>
  <si>
    <t xml:space="preserve">2017-01-25</t>
  </si>
  <si>
    <t xml:space="preserve">2017-01-26</t>
  </si>
  <si>
    <t xml:space="preserve">2017-01-27</t>
  </si>
  <si>
    <t xml:space="preserve">2017-01-30</t>
  </si>
  <si>
    <t xml:space="preserve">2017-01-31</t>
  </si>
  <si>
    <t xml:space="preserve">2017-02-01</t>
  </si>
  <si>
    <t xml:space="preserve">2017-02-02</t>
  </si>
  <si>
    <t xml:space="preserve">2017-02-03</t>
  </si>
  <si>
    <t xml:space="preserve">2017-02-07</t>
  </si>
  <si>
    <t xml:space="preserve">2017-02-09</t>
  </si>
  <si>
    <t xml:space="preserve">2017-02-15</t>
  </si>
  <si>
    <t xml:space="preserve">2017-02-16</t>
  </si>
  <si>
    <t xml:space="preserve">2017-02-20</t>
  </si>
  <si>
    <t xml:space="preserve">2017-02-21</t>
  </si>
  <si>
    <t xml:space="preserve">2017-02-22</t>
  </si>
  <si>
    <t xml:space="preserve">2017-02-23</t>
  </si>
  <si>
    <t xml:space="preserve">2017-02-24</t>
  </si>
  <si>
    <t xml:space="preserve">2017-02-28</t>
  </si>
  <si>
    <t xml:space="preserve">2017-03-01</t>
  </si>
  <si>
    <t xml:space="preserve">2017-03-02</t>
  </si>
  <si>
    <t xml:space="preserve">2017-03-03</t>
  </si>
  <si>
    <t xml:space="preserve">2017-03-07</t>
  </si>
  <si>
    <t xml:space="preserve">2017-03-08</t>
  </si>
  <si>
    <t xml:space="preserve">2017-03-09</t>
  </si>
  <si>
    <t xml:space="preserve">2017-03-10</t>
  </si>
  <si>
    <t xml:space="preserve">2017-03-13</t>
  </si>
  <si>
    <t xml:space="preserve">2017-03-14</t>
  </si>
  <si>
    <t xml:space="preserve">2017-03-15</t>
  </si>
  <si>
    <t xml:space="preserve">2017-03-16</t>
  </si>
  <si>
    <t xml:space="preserve">2017-03-17</t>
  </si>
  <si>
    <t xml:space="preserve">2017-03-20</t>
  </si>
  <si>
    <t xml:space="preserve">2017-03-21</t>
  </si>
  <si>
    <t xml:space="preserve">2017-03-22</t>
  </si>
  <si>
    <t xml:space="preserve">2017-03-23</t>
  </si>
  <si>
    <t xml:space="preserve">2017-03-24</t>
  </si>
  <si>
    <t xml:space="preserve">2017-03-27</t>
  </si>
  <si>
    <t xml:space="preserve">2017-03-28</t>
  </si>
  <si>
    <t xml:space="preserve">2017-03-29</t>
  </si>
  <si>
    <t xml:space="preserve">2017-03-30</t>
  </si>
  <si>
    <t xml:space="preserve">2017-03-31</t>
  </si>
  <si>
    <t xml:space="preserve">2017-04-03</t>
  </si>
  <si>
    <t xml:space="preserve">2017-04-04</t>
  </si>
  <si>
    <t xml:space="preserve">2017-04-05</t>
  </si>
  <si>
    <t xml:space="preserve">2017-04-07</t>
  </si>
  <si>
    <t xml:space="preserve">2017-04-10</t>
  </si>
  <si>
    <t xml:space="preserve">2017-04-11</t>
  </si>
  <si>
    <t xml:space="preserve">2017-04-12</t>
  </si>
  <si>
    <t xml:space="preserve">2017-04-17</t>
  </si>
  <si>
    <t xml:space="preserve">2017-04-18</t>
  </si>
  <si>
    <t xml:space="preserve">2017-04-19</t>
  </si>
  <si>
    <t xml:space="preserve">2017-04-20</t>
  </si>
  <si>
    <t xml:space="preserve">2017-04-21</t>
  </si>
  <si>
    <t xml:space="preserve">2017-04-24</t>
  </si>
  <si>
    <t xml:space="preserve">2017-04-25</t>
  </si>
  <si>
    <t xml:space="preserve">2017-04-26</t>
  </si>
  <si>
    <t xml:space="preserve">2017-04-27</t>
  </si>
  <si>
    <t xml:space="preserve">2017-04-28</t>
  </si>
  <si>
    <t xml:space="preserve">2017-05-02</t>
  </si>
  <si>
    <t xml:space="preserve">2017-05-03</t>
  </si>
  <si>
    <t xml:space="preserve">2017-05-04</t>
  </si>
  <si>
    <t xml:space="preserve">2017-05-05</t>
  </si>
  <si>
    <t xml:space="preserve">2017-05-08</t>
  </si>
  <si>
    <t xml:space="preserve">2017-05-09</t>
  </si>
  <si>
    <t xml:space="preserve">2017-05-11</t>
  </si>
  <si>
    <t xml:space="preserve">2017-05-12</t>
  </si>
  <si>
    <t xml:space="preserve">2017-05-15</t>
  </si>
  <si>
    <t xml:space="preserve">2017-05-16</t>
  </si>
  <si>
    <t xml:space="preserve">2017-05-17</t>
  </si>
  <si>
    <t xml:space="preserve">2017-05-18</t>
  </si>
  <si>
    <t xml:space="preserve">2017-05-19</t>
  </si>
  <si>
    <t xml:space="preserve">2017-05-22</t>
  </si>
  <si>
    <t xml:space="preserve">2017-05-23</t>
  </si>
  <si>
    <t xml:space="preserve">2017-05-24</t>
  </si>
  <si>
    <t xml:space="preserve">2017-05-25</t>
  </si>
  <si>
    <t xml:space="preserve">2017-05-26</t>
  </si>
  <si>
    <t xml:space="preserve">2017-05-29</t>
  </si>
  <si>
    <t xml:space="preserve">2017-05-30</t>
  </si>
  <si>
    <t xml:space="preserve">2017-05-31</t>
  </si>
  <si>
    <t xml:space="preserve">2017-06-01</t>
  </si>
  <si>
    <t xml:space="preserve">2017-06-02</t>
  </si>
  <si>
    <t xml:space="preserve">2017-06-05</t>
  </si>
  <si>
    <t xml:space="preserve">2017-06-06</t>
  </si>
  <si>
    <t xml:space="preserve">2017-06-07</t>
  </si>
  <si>
    <t xml:space="preserve">2017-06-08</t>
  </si>
  <si>
    <t xml:space="preserve">2017-06-09</t>
  </si>
  <si>
    <t xml:space="preserve">2017-06-13</t>
  </si>
  <si>
    <t xml:space="preserve">2017-06-14</t>
  </si>
  <si>
    <t xml:space="preserve">2017-06-15</t>
  </si>
  <si>
    <t xml:space="preserve">2017-06-16</t>
  </si>
  <si>
    <t xml:space="preserve">2017-06-19</t>
  </si>
  <si>
    <t xml:space="preserve">2017-06-20</t>
  </si>
  <si>
    <t xml:space="preserve">2017-06-21</t>
  </si>
  <si>
    <t xml:space="preserve">2017-06-22</t>
  </si>
  <si>
    <t xml:space="preserve">2017-06-23</t>
  </si>
  <si>
    <t xml:space="preserve">2017-06-26</t>
  </si>
  <si>
    <t xml:space="preserve">2017-06-27</t>
  </si>
  <si>
    <t xml:space="preserve">2017-06-28</t>
  </si>
  <si>
    <t xml:space="preserve">2017-06-29</t>
  </si>
  <si>
    <t xml:space="preserve">2017-06-30</t>
  </si>
  <si>
    <t xml:space="preserve">2017-07-03</t>
  </si>
  <si>
    <t xml:space="preserve">2017-07-04</t>
  </si>
  <si>
    <t xml:space="preserve">2017-07-05</t>
  </si>
  <si>
    <t xml:space="preserve">2017-07-06</t>
  </si>
  <si>
    <t xml:space="preserve">2017-07-07</t>
  </si>
  <si>
    <t xml:space="preserve">2017-07-11</t>
  </si>
  <si>
    <t xml:space="preserve">2017-07-12</t>
  </si>
  <si>
    <t xml:space="preserve">2017-07-13</t>
  </si>
  <si>
    <t xml:space="preserve">2017-07-17</t>
  </si>
  <si>
    <t xml:space="preserve">2017-07-18</t>
  </si>
  <si>
    <t xml:space="preserve">2017-07-19</t>
  </si>
  <si>
    <t xml:space="preserve">2017-07-20</t>
  </si>
  <si>
    <t xml:space="preserve">2017-07-21</t>
  </si>
  <si>
    <t xml:space="preserve">2017-07-24</t>
  </si>
  <si>
    <t xml:space="preserve">2017-07-25</t>
  </si>
  <si>
    <t xml:space="preserve">2017-07-26</t>
  </si>
  <si>
    <t xml:space="preserve">2017-07-27</t>
  </si>
  <si>
    <t xml:space="preserve">2017-07-31</t>
  </si>
  <si>
    <t xml:space="preserve">2017-08-01</t>
  </si>
  <si>
    <t xml:space="preserve">2017-08-02</t>
  </si>
  <si>
    <t xml:space="preserve">2017-08-03</t>
  </si>
  <si>
    <t xml:space="preserve">2017-08-04</t>
  </si>
  <si>
    <t xml:space="preserve">2017-08-07</t>
  </si>
  <si>
    <t xml:space="preserve">2017-08-08</t>
  </si>
  <si>
    <t xml:space="preserve">2017-08-09</t>
  </si>
  <si>
    <t xml:space="preserve">2017-08-10</t>
  </si>
  <si>
    <t xml:space="preserve">2017-08-11</t>
  </si>
  <si>
    <t xml:space="preserve">2017-08-15</t>
  </si>
  <si>
    <t xml:space="preserve">2017-08-16</t>
  </si>
  <si>
    <t xml:space="preserve">2017-08-17</t>
  </si>
  <si>
    <t xml:space="preserve">2017-08-18</t>
  </si>
  <si>
    <t xml:space="preserve">2017-08-21</t>
  </si>
  <si>
    <t xml:space="preserve">2017-08-22</t>
  </si>
  <si>
    <t xml:space="preserve">2017-08-23</t>
  </si>
  <si>
    <t xml:space="preserve">2017-08-24</t>
  </si>
  <si>
    <t xml:space="preserve">2017-08-25</t>
  </si>
  <si>
    <t xml:space="preserve">2017-08-28</t>
  </si>
  <si>
    <t xml:space="preserve">2017-08-29</t>
  </si>
  <si>
    <t xml:space="preserve">2017-08-30</t>
  </si>
  <si>
    <t xml:space="preserve">2017-08-31</t>
  </si>
  <si>
    <t xml:space="preserve">2017-09-01</t>
  </si>
  <si>
    <t xml:space="preserve">2017-09-04</t>
  </si>
  <si>
    <t xml:space="preserve">2017-09-05</t>
  </si>
  <si>
    <t xml:space="preserve">2017-09-06</t>
  </si>
  <si>
    <t xml:space="preserve">2017-09-07</t>
  </si>
  <si>
    <t xml:space="preserve">2017-09-08</t>
  </si>
  <si>
    <t xml:space="preserve">2017-09-11</t>
  </si>
  <si>
    <t xml:space="preserve">2017-09-12</t>
  </si>
  <si>
    <t xml:space="preserve">2017-09-13</t>
  </si>
  <si>
    <t xml:space="preserve">2017-09-14</t>
  </si>
  <si>
    <t xml:space="preserve">2017-09-15</t>
  </si>
  <si>
    <t xml:space="preserve">2017-09-18</t>
  </si>
  <si>
    <t xml:space="preserve">2017-09-19</t>
  </si>
  <si>
    <t xml:space="preserve">2017-09-20</t>
  </si>
  <si>
    <t xml:space="preserve">2017-09-21</t>
  </si>
  <si>
    <t xml:space="preserve">2017-09-22</t>
  </si>
  <si>
    <t xml:space="preserve">2017-09-25</t>
  </si>
  <si>
    <t xml:space="preserve">2017-09-26</t>
  </si>
  <si>
    <t xml:space="preserve">2017-09-27</t>
  </si>
  <si>
    <t xml:space="preserve">2017-09-28</t>
  </si>
  <si>
    <t xml:space="preserve">2017-09-29</t>
  </si>
  <si>
    <t xml:space="preserve">2017-10-02</t>
  </si>
  <si>
    <t xml:space="preserve">2017-10-03</t>
  </si>
  <si>
    <t xml:space="preserve">2017-10-04</t>
  </si>
  <si>
    <t xml:space="preserve">2017-10-05</t>
  </si>
  <si>
    <t xml:space="preserve">2017-10-06</t>
  </si>
  <si>
    <t xml:space="preserve">2017-10-09</t>
  </si>
  <si>
    <t xml:space="preserve">2017-10-10</t>
  </si>
  <si>
    <t xml:space="preserve">2017-10-11</t>
  </si>
  <si>
    <t xml:space="preserve">2017-10-12</t>
  </si>
  <si>
    <t xml:space="preserve">2017-10-16</t>
  </si>
  <si>
    <t xml:space="preserve">2017-10-17</t>
  </si>
  <si>
    <t xml:space="preserve">2017-10-18</t>
  </si>
  <si>
    <t xml:space="preserve">2017-10-19</t>
  </si>
  <si>
    <t xml:space="preserve">2017-10-20</t>
  </si>
  <si>
    <t xml:space="preserve">2017-10-24</t>
  </si>
  <si>
    <t xml:space="preserve">2017-10-25</t>
  </si>
  <si>
    <t xml:space="preserve">2017-10-27</t>
  </si>
  <si>
    <t xml:space="preserve">2017-10-30</t>
  </si>
  <si>
    <t xml:space="preserve">2017-10-31</t>
  </si>
  <si>
    <t xml:space="preserve">2017-11-01</t>
  </si>
  <si>
    <t xml:space="preserve">2017-11-02</t>
  </si>
  <si>
    <t xml:space="preserve">2017-11-03</t>
  </si>
  <si>
    <t xml:space="preserve">2017-11-06</t>
  </si>
  <si>
    <t xml:space="preserve">2017-11-07</t>
  </si>
  <si>
    <t xml:space="preserve">2017-11-08</t>
  </si>
  <si>
    <t xml:space="preserve">2017-11-09</t>
  </si>
  <si>
    <t xml:space="preserve">2017-11-10</t>
  </si>
  <si>
    <t xml:space="preserve">2017-11-13</t>
  </si>
  <si>
    <t xml:space="preserve">2017-11-14</t>
  </si>
  <si>
    <t xml:space="preserve">2017-11-15</t>
  </si>
  <si>
    <t xml:space="preserve">2017-11-16</t>
  </si>
  <si>
    <t xml:space="preserve">2017-11-17</t>
  </si>
  <si>
    <t xml:space="preserve">2017-11-20</t>
  </si>
  <si>
    <t xml:space="preserve">2017-11-21</t>
  </si>
  <si>
    <t xml:space="preserve">2017-11-22</t>
  </si>
  <si>
    <t xml:space="preserve">2017-11-23</t>
  </si>
  <si>
    <t xml:space="preserve">2017-11-24</t>
  </si>
  <si>
    <t xml:space="preserve">2017-11-27</t>
  </si>
  <si>
    <t xml:space="preserve">2017-11-28</t>
  </si>
  <si>
    <t xml:space="preserve">2017-11-29</t>
  </si>
  <si>
    <t xml:space="preserve">2017-11-30</t>
  </si>
  <si>
    <t xml:space="preserve">2017-12-01</t>
  </si>
  <si>
    <t xml:space="preserve">2017-12-04</t>
  </si>
  <si>
    <t xml:space="preserve">2017-12-06</t>
  </si>
  <si>
    <t xml:space="preserve">2017-12-07</t>
  </si>
  <si>
    <t xml:space="preserve">2017-12-08</t>
  </si>
  <si>
    <t xml:space="preserve">2017-12-12</t>
  </si>
  <si>
    <t xml:space="preserve">2017-12-13</t>
  </si>
  <si>
    <t xml:space="preserve">2017-12-14</t>
  </si>
  <si>
    <t xml:space="preserve">2017-12-15</t>
  </si>
  <si>
    <t xml:space="preserve">2017-12-18</t>
  </si>
  <si>
    <t xml:space="preserve">2017-12-19</t>
  </si>
  <si>
    <t xml:space="preserve">2017-12-20</t>
  </si>
  <si>
    <t xml:space="preserve">2017-12-21</t>
  </si>
  <si>
    <t xml:space="preserve">2017-12-22</t>
  </si>
  <si>
    <t xml:space="preserve">2017-12-25</t>
  </si>
  <si>
    <t xml:space="preserve">2017-12-26</t>
  </si>
  <si>
    <t xml:space="preserve">2017-12-27</t>
  </si>
  <si>
    <t xml:space="preserve">2017-12-28</t>
  </si>
  <si>
    <t xml:space="preserve">2017-12-29</t>
  </si>
  <si>
    <t xml:space="preserve">2018-01-03</t>
  </si>
  <si>
    <t xml:space="preserve">2018-01-04</t>
  </si>
  <si>
    <t xml:space="preserve">2018-01-05</t>
  </si>
  <si>
    <t xml:space="preserve">2018-01-08</t>
  </si>
  <si>
    <t xml:space="preserve">2018-01-09</t>
  </si>
  <si>
    <t xml:space="preserve">2018-01-10</t>
  </si>
  <si>
    <t xml:space="preserve">2018-01-11</t>
  </si>
  <si>
    <t xml:space="preserve">2018-01-12</t>
  </si>
  <si>
    <t xml:space="preserve">2018-01-15</t>
  </si>
  <si>
    <t xml:space="preserve">2018-01-16</t>
  </si>
  <si>
    <t xml:space="preserve">2018-01-17</t>
  </si>
  <si>
    <t xml:space="preserve">2018-01-18</t>
  </si>
  <si>
    <t xml:space="preserve">2018-01-19</t>
  </si>
  <si>
    <t xml:space="preserve">2018-01-22</t>
  </si>
  <si>
    <t xml:space="preserve">2018-01-23</t>
  </si>
  <si>
    <t xml:space="preserve">2018-01-24</t>
  </si>
  <si>
    <t xml:space="preserve">2018-01-25</t>
  </si>
  <si>
    <t xml:space="preserve">2018-01-26</t>
  </si>
  <si>
    <t xml:space="preserve">2018-01-29</t>
  </si>
  <si>
    <t xml:space="preserve">2018-01-30</t>
  </si>
  <si>
    <t xml:space="preserve">2018-01-31</t>
  </si>
  <si>
    <t xml:space="preserve">2018-02-01</t>
  </si>
  <si>
    <t xml:space="preserve">2018-02-02</t>
  </si>
  <si>
    <t xml:space="preserve">2018-02-05</t>
  </si>
  <si>
    <t xml:space="preserve">2018-02-06</t>
  </si>
  <si>
    <t xml:space="preserve">2018-02-07</t>
  </si>
  <si>
    <t xml:space="preserve">2018-02-08</t>
  </si>
  <si>
    <t xml:space="preserve">2018-02-09</t>
  </si>
  <si>
    <t xml:space="preserve">2018-02-12</t>
  </si>
  <si>
    <t xml:space="preserve">2018-02-13</t>
  </si>
  <si>
    <t xml:space="preserve">2018-02-14</t>
  </si>
  <si>
    <t xml:space="preserve">2018-02-15</t>
  </si>
  <si>
    <t xml:space="preserve">2018-02-16</t>
  </si>
  <si>
    <t xml:space="preserve">2018-02-19</t>
  </si>
  <si>
    <t xml:space="preserve">2018-02-20</t>
  </si>
  <si>
    <t xml:space="preserve">2018-02-21</t>
  </si>
  <si>
    <t xml:space="preserve">2018-02-22</t>
  </si>
  <si>
    <t xml:space="preserve">2018-02-23</t>
  </si>
  <si>
    <t xml:space="preserve">2018-02-26</t>
  </si>
  <si>
    <t xml:space="preserve">2018-02-27</t>
  </si>
  <si>
    <t xml:space="preserve">2018-02-28</t>
  </si>
  <si>
    <t xml:space="preserve">2018-03-02</t>
  </si>
  <si>
    <t xml:space="preserve">2018-03-05</t>
  </si>
  <si>
    <t xml:space="preserve">2018-03-06</t>
  </si>
  <si>
    <t xml:space="preserve">2018-03-07</t>
  </si>
  <si>
    <t xml:space="preserve">2018-03-08</t>
  </si>
  <si>
    <t xml:space="preserve">2018-03-09</t>
  </si>
  <si>
    <t xml:space="preserve">2018-03-12</t>
  </si>
  <si>
    <t xml:space="preserve">2018-03-13</t>
  </si>
  <si>
    <t xml:space="preserve">2018-03-14</t>
  </si>
  <si>
    <t xml:space="preserve">2018-03-15</t>
  </si>
  <si>
    <t xml:space="preserve">2018-03-16</t>
  </si>
  <si>
    <t xml:space="preserve">2018-03-19</t>
  </si>
  <si>
    <t xml:space="preserve">2018-03-20</t>
  </si>
  <si>
    <t xml:space="preserve">2018-03-21</t>
  </si>
  <si>
    <t xml:space="preserve">2018-03-22</t>
  </si>
  <si>
    <t xml:space="preserve">2018-03-23</t>
  </si>
  <si>
    <t xml:space="preserve">2018-03-26</t>
  </si>
  <si>
    <t xml:space="preserve">2018-03-27</t>
  </si>
  <si>
    <t xml:space="preserve">2018-03-28</t>
  </si>
  <si>
    <t xml:space="preserve">2018-03-29</t>
  </si>
  <si>
    <t xml:space="preserve">2018-03-30</t>
  </si>
  <si>
    <t xml:space="preserve">2018-04-02</t>
  </si>
  <si>
    <t xml:space="preserve">2018-04-03</t>
  </si>
  <si>
    <t xml:space="preserve">2018-04-04</t>
  </si>
  <si>
    <t xml:space="preserve">2018-04-05</t>
  </si>
  <si>
    <t xml:space="preserve">2018-04-09</t>
  </si>
  <si>
    <t xml:space="preserve">2018-04-10</t>
  </si>
  <si>
    <t xml:space="preserve">2018-04-11</t>
  </si>
  <si>
    <t xml:space="preserve">2018-04-12</t>
  </si>
  <si>
    <t xml:space="preserve">2018-04-17</t>
  </si>
  <si>
    <t xml:space="preserve">2018-04-18</t>
  </si>
  <si>
    <t xml:space="preserve">2018-04-19</t>
  </si>
  <si>
    <t xml:space="preserve">2018-04-20</t>
  </si>
  <si>
    <t xml:space="preserve">2018-04-23</t>
  </si>
  <si>
    <t xml:space="preserve">2018-04-24</t>
  </si>
  <si>
    <t xml:space="preserve">2018-04-25</t>
  </si>
  <si>
    <t xml:space="preserve">2018-04-26</t>
  </si>
  <si>
    <t xml:space="preserve">2018-04-27</t>
  </si>
  <si>
    <t xml:space="preserve">2018-04-30</t>
  </si>
  <si>
    <t xml:space="preserve">2018-05-02</t>
  </si>
  <si>
    <t xml:space="preserve">2018-05-03</t>
  </si>
  <si>
    <t xml:space="preserve">2018-05-04</t>
  </si>
  <si>
    <t xml:space="preserve">2018-05-07</t>
  </si>
  <si>
    <t xml:space="preserve">2018-05-08</t>
  </si>
  <si>
    <t xml:space="preserve">2018-05-09</t>
  </si>
  <si>
    <t xml:space="preserve">2018-05-10</t>
  </si>
  <si>
    <t xml:space="preserve">2018-05-11</t>
  </si>
  <si>
    <t xml:space="preserve">2018-05-14</t>
  </si>
  <si>
    <t xml:space="preserve">2018-05-15</t>
  </si>
  <si>
    <t xml:space="preserve">2018-05-16</t>
  </si>
  <si>
    <t xml:space="preserve">2018-05-17</t>
  </si>
  <si>
    <t xml:space="preserve">2018-05-18</t>
  </si>
  <si>
    <t xml:space="preserve">2018-05-21</t>
  </si>
  <si>
    <t xml:space="preserve">2018-05-22</t>
  </si>
  <si>
    <t xml:space="preserve">2018-05-23</t>
  </si>
  <si>
    <t xml:space="preserve">2018-05-24</t>
  </si>
  <si>
    <t xml:space="preserve">2018-05-25</t>
  </si>
  <si>
    <t xml:space="preserve">2018-05-28</t>
  </si>
  <si>
    <t xml:space="preserve">2018-05-30</t>
  </si>
  <si>
    <t xml:space="preserve">2018-05-31</t>
  </si>
  <si>
    <t xml:space="preserve">2018-06-01</t>
  </si>
  <si>
    <t xml:space="preserve">2018-06-04</t>
  </si>
  <si>
    <t xml:space="preserve">2018-06-05</t>
  </si>
  <si>
    <t xml:space="preserve">2018-06-06</t>
  </si>
  <si>
    <t xml:space="preserve">2018-06-07</t>
  </si>
  <si>
    <t xml:space="preserve">2018-06-08</t>
  </si>
  <si>
    <t xml:space="preserve">2018-06-11</t>
  </si>
  <si>
    <t xml:space="preserve">2018-06-12</t>
  </si>
  <si>
    <t xml:space="preserve">2018-06-13</t>
  </si>
  <si>
    <t xml:space="preserve">2018-06-14</t>
  </si>
  <si>
    <t xml:space="preserve">2018-06-15</t>
  </si>
  <si>
    <t xml:space="preserve">2018-06-18</t>
  </si>
  <si>
    <t xml:space="preserve">2018-06-19</t>
  </si>
  <si>
    <t xml:space="preserve">2018-06-20</t>
  </si>
  <si>
    <t xml:space="preserve">2018-06-21</t>
  </si>
  <si>
    <t xml:space="preserve">2018-06-22</t>
  </si>
  <si>
    <t xml:space="preserve">2018-06-25</t>
  </si>
  <si>
    <t xml:space="preserve">2018-06-26</t>
  </si>
  <si>
    <t xml:space="preserve">2018-06-27</t>
  </si>
  <si>
    <t xml:space="preserve">2018-06-28</t>
  </si>
  <si>
    <t xml:space="preserve">2018-06-29</t>
  </si>
  <si>
    <t xml:space="preserve">2018-07-02</t>
  </si>
  <si>
    <t xml:space="preserve">2018-07-03</t>
  </si>
  <si>
    <t xml:space="preserve">2018-07-04</t>
  </si>
  <si>
    <t xml:space="preserve">2018-07-05</t>
  </si>
  <si>
    <t xml:space="preserve">2018-07-06</t>
  </si>
  <si>
    <t xml:space="preserve">2018-07-09</t>
  </si>
  <si>
    <t xml:space="preserve">2018-07-10</t>
  </si>
  <si>
    <t xml:space="preserve">2018-07-11</t>
  </si>
  <si>
    <t xml:space="preserve">2018-07-12</t>
  </si>
  <si>
    <t xml:space="preserve">2018-07-13</t>
  </si>
  <si>
    <t xml:space="preserve">2018-07-16</t>
  </si>
  <si>
    <t xml:space="preserve">2018-07-17</t>
  </si>
  <si>
    <t xml:space="preserve">2018-07-18</t>
  </si>
  <si>
    <t xml:space="preserve">2018-07-19</t>
  </si>
  <si>
    <t xml:space="preserve">2018-07-20</t>
  </si>
  <si>
    <t xml:space="preserve">2018-07-23</t>
  </si>
  <si>
    <t xml:space="preserve">2018-07-24</t>
  </si>
  <si>
    <t xml:space="preserve">2018-07-25</t>
  </si>
  <si>
    <t xml:space="preserve">2018-07-26</t>
  </si>
  <si>
    <t xml:space="preserve">2018-07-31</t>
  </si>
  <si>
    <t xml:space="preserve">2018-08-01</t>
  </si>
  <si>
    <t xml:space="preserve">2018-08-02</t>
  </si>
  <si>
    <t xml:space="preserve">2018-08-03</t>
  </si>
  <si>
    <t xml:space="preserve">2018-08-06</t>
  </si>
  <si>
    <t xml:space="preserve">2018-08-07</t>
  </si>
  <si>
    <t xml:space="preserve">2018-08-08</t>
  </si>
  <si>
    <t xml:space="preserve">2018-08-09</t>
  </si>
  <si>
    <t xml:space="preserve">2018-08-10</t>
  </si>
  <si>
    <t xml:space="preserve">2018-08-14</t>
  </si>
  <si>
    <t xml:space="preserve">2018-08-15</t>
  </si>
  <si>
    <t xml:space="preserve">2018-08-16</t>
  </si>
  <si>
    <t xml:space="preserve">2018-08-17</t>
  </si>
  <si>
    <t xml:space="preserve">2018-08-20</t>
  </si>
  <si>
    <t xml:space="preserve">2018-08-21</t>
  </si>
  <si>
    <t xml:space="preserve">2018-08-22</t>
  </si>
  <si>
    <t xml:space="preserve">2018-08-23</t>
  </si>
  <si>
    <t xml:space="preserve">2018-08-24</t>
  </si>
  <si>
    <t xml:space="preserve">2018-08-27</t>
  </si>
  <si>
    <t xml:space="preserve">2018-08-28</t>
  </si>
  <si>
    <t xml:space="preserve">2018-08-29</t>
  </si>
  <si>
    <t xml:space="preserve">2018-08-30</t>
  </si>
  <si>
    <t xml:space="preserve">2018-08-31</t>
  </si>
  <si>
    <t xml:space="preserve">2018-09-03</t>
  </si>
  <si>
    <t xml:space="preserve">2018-09-04</t>
  </si>
  <si>
    <t xml:space="preserve">2018-09-05</t>
  </si>
  <si>
    <t xml:space="preserve">2018-09-06</t>
  </si>
  <si>
    <t xml:space="preserve">2018-09-07</t>
  </si>
  <si>
    <t xml:space="preserve">2018-09-10</t>
  </si>
  <si>
    <t xml:space="preserve">2018-09-11</t>
  </si>
  <si>
    <t xml:space="preserve">2018-09-12</t>
  </si>
  <si>
    <t xml:space="preserve">2018-09-13</t>
  </si>
  <si>
    <t xml:space="preserve">2018-09-14</t>
  </si>
  <si>
    <t xml:space="preserve">2018-09-17</t>
  </si>
  <si>
    <t xml:space="preserve">2018-09-18</t>
  </si>
  <si>
    <t xml:space="preserve">2018-09-19</t>
  </si>
  <si>
    <t xml:space="preserve">2018-09-20</t>
  </si>
  <si>
    <t xml:space="preserve">2018-09-21</t>
  </si>
  <si>
    <t xml:space="preserve">2018-09-24</t>
  </si>
  <si>
    <t xml:space="preserve">2018-09-25</t>
  </si>
  <si>
    <t xml:space="preserve">2018-09-26</t>
  </si>
  <si>
    <t xml:space="preserve">2018-09-27</t>
  </si>
  <si>
    <t xml:space="preserve">2018-09-28</t>
  </si>
  <si>
    <t xml:space="preserve">2018-10-01</t>
  </si>
  <si>
    <t xml:space="preserve">2018-10-02</t>
  </si>
  <si>
    <t xml:space="preserve">2018-10-03</t>
  </si>
  <si>
    <t xml:space="preserve">2018-10-04</t>
  </si>
  <si>
    <t xml:space="preserve">2018-10-05</t>
  </si>
  <si>
    <t xml:space="preserve">2018-10-08</t>
  </si>
  <si>
    <t xml:space="preserve">2018-10-09</t>
  </si>
  <si>
    <t xml:space="preserve">2018-10-10</t>
  </si>
  <si>
    <t xml:space="preserve">2018-10-11</t>
  </si>
  <si>
    <t xml:space="preserve">2018-10-12</t>
  </si>
  <si>
    <t xml:space="preserve">2018-10-16</t>
  </si>
  <si>
    <t xml:space="preserve">2018-10-17</t>
  </si>
  <si>
    <t xml:space="preserve">2018-10-18</t>
  </si>
  <si>
    <t xml:space="preserve">2018-10-19</t>
  </si>
  <si>
    <t xml:space="preserve">2018-10-22</t>
  </si>
  <si>
    <t xml:space="preserve">2018-10-24</t>
  </si>
  <si>
    <t xml:space="preserve">2018-10-25</t>
  </si>
  <si>
    <t xml:space="preserve">2018-10-26</t>
  </si>
  <si>
    <t xml:space="preserve">2018-10-29</t>
  </si>
  <si>
    <t xml:space="preserve">2018-10-30</t>
  </si>
  <si>
    <t xml:space="preserve">2018-10-31</t>
  </si>
  <si>
    <t xml:space="preserve">2018-11-01</t>
  </si>
  <si>
    <t xml:space="preserve">2018-11-02</t>
  </si>
  <si>
    <t xml:space="preserve">2018-11-05</t>
  </si>
  <si>
    <t xml:space="preserve">2018-11-06</t>
  </si>
  <si>
    <t xml:space="preserve">2018-11-07</t>
  </si>
  <si>
    <t xml:space="preserve">2018-11-08</t>
  </si>
  <si>
    <t xml:space="preserve">2018-11-09</t>
  </si>
  <si>
    <t xml:space="preserve">2018-11-12</t>
  </si>
  <si>
    <t xml:space="preserve">2018-11-13</t>
  </si>
  <si>
    <t xml:space="preserve">2018-11-14</t>
  </si>
  <si>
    <t xml:space="preserve">2018-11-15</t>
  </si>
  <si>
    <t xml:space="preserve">2018-11-16</t>
  </si>
  <si>
    <t xml:space="preserve">2018-11-19</t>
  </si>
  <si>
    <t xml:space="preserve">2018-11-20</t>
  </si>
  <si>
    <t xml:space="preserve">2018-11-21</t>
  </si>
  <si>
    <t xml:space="preserve">2018-11-22</t>
  </si>
  <si>
    <t xml:space="preserve">2018-11-23</t>
  </si>
  <si>
    <t xml:space="preserve">2018-11-26</t>
  </si>
  <si>
    <t xml:space="preserve">2018-11-27</t>
  </si>
  <si>
    <t xml:space="preserve">2018-11-28</t>
  </si>
  <si>
    <t xml:space="preserve">2018-11-29</t>
  </si>
  <si>
    <t xml:space="preserve">2018-11-30</t>
  </si>
  <si>
    <t xml:space="preserve">2018-12-03</t>
  </si>
  <si>
    <t xml:space="preserve">2018-12-04</t>
  </si>
  <si>
    <t xml:space="preserve">2018-12-06</t>
  </si>
  <si>
    <t xml:space="preserve">2018-12-07</t>
  </si>
  <si>
    <t xml:space="preserve">2018-12-11</t>
  </si>
  <si>
    <t xml:space="preserve">2018-12-12</t>
  </si>
  <si>
    <t xml:space="preserve">2018-12-13</t>
  </si>
  <si>
    <t xml:space="preserve">2018-12-14</t>
  </si>
  <si>
    <t xml:space="preserve">2018-12-17</t>
  </si>
  <si>
    <t xml:space="preserve">2018-12-18</t>
  </si>
  <si>
    <t xml:space="preserve">2018-12-19</t>
  </si>
  <si>
    <t xml:space="preserve">2018-12-20</t>
  </si>
  <si>
    <t xml:space="preserve">2018-12-21</t>
  </si>
  <si>
    <t xml:space="preserve">2018-12-24</t>
  </si>
  <si>
    <t xml:space="preserve">2018-12-25</t>
  </si>
  <si>
    <t xml:space="preserve">2018-12-26</t>
  </si>
  <si>
    <t xml:space="preserve">2018-12-27</t>
  </si>
  <si>
    <t xml:space="preserve">2018-12-28</t>
  </si>
  <si>
    <t xml:space="preserve">2019-01-02</t>
  </si>
  <si>
    <t xml:space="preserve">2019-01-03</t>
  </si>
  <si>
    <t xml:space="preserve">2019-01-04</t>
  </si>
  <si>
    <t xml:space="preserve">2019-01-07</t>
  </si>
  <si>
    <t xml:space="preserve">2019-01-08</t>
  </si>
  <si>
    <t xml:space="preserve">2019-01-09</t>
  </si>
  <si>
    <t xml:space="preserve">2019-01-10</t>
  </si>
  <si>
    <t xml:space="preserve">2019-01-11</t>
  </si>
  <si>
    <t xml:space="preserve">2019-01-14</t>
  </si>
  <si>
    <t xml:space="preserve">2019-01-15</t>
  </si>
  <si>
    <t xml:space="preserve">2019-01-16</t>
  </si>
  <si>
    <t xml:space="preserve">2019-01-17</t>
  </si>
  <si>
    <t xml:space="preserve">2019-01-18</t>
  </si>
  <si>
    <t xml:space="preserve">2019-01-21</t>
  </si>
  <si>
    <t xml:space="preserve">2019-01-22</t>
  </si>
  <si>
    <t xml:space="preserve">2019-01-23</t>
  </si>
  <si>
    <t xml:space="preserve">2019-01-24</t>
  </si>
  <si>
    <t xml:space="preserve">2019-01-25</t>
  </si>
  <si>
    <t xml:space="preserve">2019-01-28</t>
  </si>
  <si>
    <t xml:space="preserve">2019-01-29</t>
  </si>
  <si>
    <t xml:space="preserve">2019-01-30</t>
  </si>
  <si>
    <t xml:space="preserve">2019-01-31</t>
  </si>
  <si>
    <t xml:space="preserve">2019-02-01</t>
  </si>
  <si>
    <t xml:space="preserve">2019-02-04</t>
  </si>
  <si>
    <t xml:space="preserve">2019-02-05</t>
  </si>
  <si>
    <t xml:space="preserve">2019-02-06</t>
  </si>
  <si>
    <t xml:space="preserve">2019-02-07</t>
  </si>
  <si>
    <t xml:space="preserve">2019-02-08</t>
  </si>
  <si>
    <t xml:space="preserve">2019-02-11</t>
  </si>
  <si>
    <t xml:space="preserve">2019-02-12</t>
  </si>
  <si>
    <t xml:space="preserve">2019-02-13</t>
  </si>
  <si>
    <t xml:space="preserve">2019-02-14</t>
  </si>
  <si>
    <t xml:space="preserve">2019-02-15</t>
  </si>
  <si>
    <t xml:space="preserve">2019-02-18</t>
  </si>
  <si>
    <t xml:space="preserve">2019-02-20</t>
  </si>
  <si>
    <t xml:space="preserve">2019-02-21</t>
  </si>
  <si>
    <t xml:space="preserve">2019-02-22</t>
  </si>
  <si>
    <t xml:space="preserve">2019-02-25</t>
  </si>
  <si>
    <t xml:space="preserve">2019-02-26</t>
  </si>
  <si>
    <t xml:space="preserve">2019-02-27</t>
  </si>
  <si>
    <t xml:space="preserve">2019-02-28</t>
  </si>
  <si>
    <t xml:space="preserve">2019-03-01</t>
  </si>
  <si>
    <t xml:space="preserve">2019-03-04</t>
  </si>
  <si>
    <t xml:space="preserve">2019-03-05</t>
  </si>
  <si>
    <t xml:space="preserve">2019-03-06</t>
  </si>
  <si>
    <t xml:space="preserve">2019-03-07</t>
  </si>
  <si>
    <t xml:space="preserve">2019-03-08</t>
  </si>
  <si>
    <t xml:space="preserve">2019-03-11</t>
  </si>
  <si>
    <t xml:space="preserve">2019-03-12</t>
  </si>
  <si>
    <t xml:space="preserve">2019-03-13</t>
  </si>
  <si>
    <t xml:space="preserve">2019-03-14</t>
  </si>
  <si>
    <t xml:space="preserve">2019-03-15</t>
  </si>
  <si>
    <t xml:space="preserve">2019-03-18</t>
  </si>
  <si>
    <t xml:space="preserve">2019-03-19</t>
  </si>
  <si>
    <t xml:space="preserve">2019-03-20</t>
  </si>
  <si>
    <t xml:space="preserve">2019-03-21</t>
  </si>
  <si>
    <t xml:space="preserve">2019-03-22</t>
  </si>
  <si>
    <t xml:space="preserve">2019-03-25</t>
  </si>
  <si>
    <t xml:space="preserve">2019-03-26</t>
  </si>
  <si>
    <t xml:space="preserve">2019-03-27</t>
  </si>
  <si>
    <t xml:space="preserve">2019-03-28</t>
  </si>
  <si>
    <t xml:space="preserve">2019-03-29</t>
  </si>
  <si>
    <t xml:space="preserve">2019-04-01</t>
  </si>
  <si>
    <t xml:space="preserve">2019-04-02</t>
  </si>
  <si>
    <t xml:space="preserve">2019-04-03</t>
  </si>
  <si>
    <t xml:space="preserve">2019-04-04</t>
  </si>
  <si>
    <t xml:space="preserve">2019-04-05</t>
  </si>
  <si>
    <t xml:space="preserve">2019-04-09</t>
  </si>
  <si>
    <t xml:space="preserve">2019-04-10</t>
  </si>
  <si>
    <t xml:space="preserve">2019-04-11</t>
  </si>
  <si>
    <t xml:space="preserve">2019-04-12</t>
  </si>
  <si>
    <t xml:space="preserve">2019-04-17</t>
  </si>
  <si>
    <t xml:space="preserve">2019-04-18</t>
  </si>
  <si>
    <t xml:space="preserve">2019-04-19</t>
  </si>
  <si>
    <t xml:space="preserve">2019-04-22</t>
  </si>
  <si>
    <t xml:space="preserve">2019-04-23</t>
  </si>
  <si>
    <t xml:space="preserve">2019-04-24</t>
  </si>
  <si>
    <t xml:space="preserve">2019-04-25</t>
  </si>
  <si>
    <t xml:space="preserve">2019-04-26</t>
  </si>
  <si>
    <t xml:space="preserve">2019-04-29</t>
  </si>
  <si>
    <t xml:space="preserve">2019-04-30</t>
  </si>
  <si>
    <t xml:space="preserve">2019-05-02</t>
  </si>
  <si>
    <t xml:space="preserve">2019-05-03</t>
  </si>
  <si>
    <t xml:space="preserve">2019-05-07</t>
  </si>
  <si>
    <t xml:space="preserve">2019-05-08</t>
  </si>
  <si>
    <t xml:space="preserve">2019-05-09</t>
  </si>
  <si>
    <t xml:space="preserve">2019-05-10</t>
  </si>
  <si>
    <t xml:space="preserve">2019-05-13</t>
  </si>
  <si>
    <t xml:space="preserve">2019-05-14</t>
  </si>
  <si>
    <t xml:space="preserve">2019-05-15</t>
  </si>
  <si>
    <t xml:space="preserve">2019-05-16</t>
  </si>
  <si>
    <t xml:space="preserve">2019-05-17</t>
  </si>
  <si>
    <t xml:space="preserve">2019-05-21</t>
  </si>
  <si>
    <t xml:space="preserve">2019-05-22</t>
  </si>
  <si>
    <t xml:space="preserve">2019-05-23</t>
  </si>
  <si>
    <t xml:space="preserve">2019-05-24</t>
  </si>
  <si>
    <t xml:space="preserve">2019-05-27</t>
  </si>
  <si>
    <t xml:space="preserve">2019-05-28</t>
  </si>
  <si>
    <t xml:space="preserve">2019-05-29</t>
  </si>
  <si>
    <t xml:space="preserve">2019-05-30</t>
  </si>
  <si>
    <t xml:space="preserve">2019-05-31</t>
  </si>
  <si>
    <t xml:space="preserve">2019-06-04</t>
  </si>
  <si>
    <t xml:space="preserve">2019-06-05</t>
  </si>
  <si>
    <t xml:space="preserve">2019-06-06</t>
  </si>
  <si>
    <t xml:space="preserve">2019-06-07</t>
  </si>
  <si>
    <t xml:space="preserve">2019-06-10</t>
  </si>
  <si>
    <t xml:space="preserve">2019-06-11</t>
  </si>
  <si>
    <t xml:space="preserve">2019-06-12</t>
  </si>
  <si>
    <t xml:space="preserve">2019-06-13</t>
  </si>
  <si>
    <t xml:space="preserve">2019-06-14</t>
  </si>
  <si>
    <t xml:space="preserve">2019-06-17</t>
  </si>
  <si>
    <t xml:space="preserve">2019-06-18</t>
  </si>
  <si>
    <t xml:space="preserve">2019-06-19</t>
  </si>
  <si>
    <t xml:space="preserve">2019-06-20</t>
  </si>
  <si>
    <t xml:space="preserve">2019-06-21</t>
  </si>
  <si>
    <t xml:space="preserve">2019-06-24</t>
  </si>
  <si>
    <t xml:space="preserve">2019-06-25</t>
  </si>
  <si>
    <t xml:space="preserve">2019-06-26</t>
  </si>
  <si>
    <t xml:space="preserve">2019-06-27</t>
  </si>
  <si>
    <t xml:space="preserve">2019-06-28</t>
  </si>
  <si>
    <t xml:space="preserve">2019-07-01</t>
  </si>
  <si>
    <t xml:space="preserve">2019-07-02</t>
  </si>
  <si>
    <t xml:space="preserve">2019-07-03</t>
  </si>
  <si>
    <t xml:space="preserve">2019-07-04</t>
  </si>
  <si>
    <t xml:space="preserve">2019-07-05</t>
  </si>
  <si>
    <t xml:space="preserve">2019-07-08</t>
  </si>
  <si>
    <t xml:space="preserve">2019-07-09</t>
  </si>
  <si>
    <t xml:space="preserve">2019-07-10</t>
  </si>
  <si>
    <t xml:space="preserve">2019-07-11</t>
  </si>
  <si>
    <t xml:space="preserve">2019-07-12</t>
  </si>
  <si>
    <t xml:space="preserve">2019-07-15</t>
  </si>
  <si>
    <t xml:space="preserve">2019-07-17</t>
  </si>
  <si>
    <t xml:space="preserve">2019-07-18</t>
  </si>
  <si>
    <t xml:space="preserve">2019-07-19</t>
  </si>
  <si>
    <t xml:space="preserve">2019-07-22</t>
  </si>
  <si>
    <t xml:space="preserve">2019-07-23</t>
  </si>
  <si>
    <t xml:space="preserve">2019-07-24</t>
  </si>
  <si>
    <t xml:space="preserve">2019-07-25</t>
  </si>
  <si>
    <t xml:space="preserve">2019-07-26</t>
  </si>
  <si>
    <t xml:space="preserve">2019-07-30</t>
  </si>
  <si>
    <t xml:space="preserve">2019-07-31</t>
  </si>
  <si>
    <t xml:space="preserve">2019-08-01</t>
  </si>
  <si>
    <t xml:space="preserve">2019-08-02</t>
  </si>
  <si>
    <t xml:space="preserve">2019-08-05</t>
  </si>
  <si>
    <t xml:space="preserve">2019-08-06</t>
  </si>
  <si>
    <t xml:space="preserve">2019-08-07</t>
  </si>
  <si>
    <t xml:space="preserve">2019-08-08</t>
  </si>
  <si>
    <t xml:space="preserve">2019-08-09</t>
  </si>
  <si>
    <t xml:space="preserve">2019-08-13</t>
  </si>
  <si>
    <t xml:space="preserve">2019-08-14</t>
  </si>
  <si>
    <t xml:space="preserve">2019-08-15</t>
  </si>
  <si>
    <t xml:space="preserve">2019-08-16</t>
  </si>
  <si>
    <t xml:space="preserve">2019-08-19</t>
  </si>
  <si>
    <t xml:space="preserve">2019-08-20</t>
  </si>
  <si>
    <t xml:space="preserve">2019-08-21</t>
  </si>
  <si>
    <t xml:space="preserve">2019-08-22</t>
  </si>
  <si>
    <t xml:space="preserve">2019-08-23</t>
  </si>
  <si>
    <t xml:space="preserve">2019-08-26</t>
  </si>
  <si>
    <t xml:space="preserve">2019-08-27</t>
  </si>
  <si>
    <t xml:space="preserve">2019-08-28</t>
  </si>
  <si>
    <t xml:space="preserve">2019-08-29</t>
  </si>
  <si>
    <t xml:space="preserve">2019-08-30</t>
  </si>
  <si>
    <t xml:space="preserve">2019-09-02</t>
  </si>
  <si>
    <t xml:space="preserve">2019-09-03</t>
  </si>
  <si>
    <t xml:space="preserve">2019-09-04</t>
  </si>
  <si>
    <t xml:space="preserve">2019-09-05</t>
  </si>
  <si>
    <t xml:space="preserve">2019-09-06</t>
  </si>
  <si>
    <t xml:space="preserve">2019-09-09</t>
  </si>
  <si>
    <t xml:space="preserve">2019-09-10</t>
  </si>
  <si>
    <t xml:space="preserve">2019-09-11</t>
  </si>
  <si>
    <t xml:space="preserve">2019-09-12</t>
  </si>
  <si>
    <t xml:space="preserve">2019-09-13</t>
  </si>
  <si>
    <t xml:space="preserve">2019-09-16</t>
  </si>
  <si>
    <t xml:space="preserve">2019-09-17</t>
  </si>
  <si>
    <t xml:space="preserve">2019-09-18</t>
  </si>
  <si>
    <t xml:space="preserve">2019-09-19</t>
  </si>
  <si>
    <t xml:space="preserve">2019-09-20</t>
  </si>
  <si>
    <t xml:space="preserve">2019-09-23</t>
  </si>
  <si>
    <t xml:space="preserve">2019-09-24</t>
  </si>
  <si>
    <t xml:space="preserve">2019-09-25</t>
  </si>
  <si>
    <t xml:space="preserve">2019-09-26</t>
  </si>
  <si>
    <t xml:space="preserve">2019-09-27</t>
  </si>
  <si>
    <t xml:space="preserve">2019-09-30</t>
  </si>
  <si>
    <t xml:space="preserve">2019-10-01</t>
  </si>
  <si>
    <t xml:space="preserve">2019-10-02</t>
  </si>
  <si>
    <t xml:space="preserve">2019-10-03</t>
  </si>
  <si>
    <t xml:space="preserve">2019-10-04</t>
  </si>
  <si>
    <t xml:space="preserve">2019-10-07</t>
  </si>
  <si>
    <t xml:space="preserve">2019-10-08</t>
  </si>
  <si>
    <t xml:space="preserve">2019-10-09</t>
  </si>
  <si>
    <t xml:space="preserve">2019-10-10</t>
  </si>
  <si>
    <t xml:space="preserve">2019-10-11</t>
  </si>
  <si>
    <t xml:space="preserve">2019-10-15</t>
  </si>
  <si>
    <t xml:space="preserve">2019-10-16</t>
  </si>
  <si>
    <t xml:space="preserve">2019-10-17</t>
  </si>
  <si>
    <t xml:space="preserve">2019-10-18</t>
  </si>
  <si>
    <t xml:space="preserve">2019-10-21</t>
  </si>
  <si>
    <t xml:space="preserve">2019-10-22</t>
  </si>
  <si>
    <t xml:space="preserve">2019-10-24</t>
  </si>
  <si>
    <t xml:space="preserve">2019-10-25</t>
  </si>
  <si>
    <t xml:space="preserve">2019-10-28</t>
  </si>
  <si>
    <t xml:space="preserve">2019-10-29</t>
  </si>
  <si>
    <t xml:space="preserve">2019-10-30</t>
  </si>
  <si>
    <t xml:space="preserve">2019-10-31</t>
  </si>
  <si>
    <t xml:space="preserve">2019-11-01</t>
  </si>
  <si>
    <t xml:space="preserve">2019-11-04</t>
  </si>
  <si>
    <t xml:space="preserve">2019-11-05</t>
  </si>
  <si>
    <t xml:space="preserve">2019-11-06</t>
  </si>
  <si>
    <t xml:space="preserve">2019-11-07</t>
  </si>
  <si>
    <t xml:space="preserve">2019-11-08</t>
  </si>
  <si>
    <t xml:space="preserve">2019-11-11</t>
  </si>
  <si>
    <t xml:space="preserve">2019-11-12</t>
  </si>
  <si>
    <t xml:space="preserve">2019-11-13</t>
  </si>
  <si>
    <t xml:space="preserve">2019-11-14</t>
  </si>
  <si>
    <t xml:space="preserve">2019-11-15</t>
  </si>
  <si>
    <t xml:space="preserve">2019-11-18</t>
  </si>
  <si>
    <t xml:space="preserve">2019-11-19</t>
  </si>
  <si>
    <t xml:space="preserve">2019-11-20</t>
  </si>
  <si>
    <t xml:space="preserve">2019-11-21</t>
  </si>
  <si>
    <t xml:space="preserve">2019-11-22</t>
  </si>
  <si>
    <t xml:space="preserve">2019-11-25</t>
  </si>
  <si>
    <t xml:space="preserve">2019-11-26</t>
  </si>
  <si>
    <t xml:space="preserve">2019-11-27</t>
  </si>
  <si>
    <t xml:space="preserve">2019-11-28</t>
  </si>
  <si>
    <t xml:space="preserve">2019-11-29</t>
  </si>
  <si>
    <t xml:space="preserve">2019-12-02</t>
  </si>
  <si>
    <t xml:space="preserve">2019-12-03</t>
  </si>
  <si>
    <t xml:space="preserve">2019-12-04</t>
  </si>
  <si>
    <t xml:space="preserve">2019-12-06</t>
  </si>
  <si>
    <t xml:space="preserve">2019-12-09</t>
  </si>
  <si>
    <t xml:space="preserve">2019-12-11</t>
  </si>
  <si>
    <t xml:space="preserve">2019-12-12</t>
  </si>
  <si>
    <t xml:space="preserve">2019-12-13</t>
  </si>
  <si>
    <t xml:space="preserve">2019-12-16</t>
  </si>
  <si>
    <t xml:space="preserve">2019-12-17</t>
  </si>
  <si>
    <t xml:space="preserve">2019-12-18</t>
  </si>
  <si>
    <t xml:space="preserve">2019-12-19</t>
  </si>
  <si>
    <t xml:space="preserve">2019-12-20</t>
  </si>
  <si>
    <t xml:space="preserve">2019-12-23</t>
  </si>
  <si>
    <t xml:space="preserve">2019-12-24</t>
  </si>
  <si>
    <t xml:space="preserve">2019-12-25</t>
  </si>
  <si>
    <t xml:space="preserve">2019-12-26</t>
  </si>
  <si>
    <t xml:space="preserve">2019-12-27</t>
  </si>
  <si>
    <t xml:space="preserve">2019-12-30</t>
  </si>
  <si>
    <t xml:space="preserve">2020-01-02</t>
  </si>
  <si>
    <t xml:space="preserve">2020-01-03</t>
  </si>
  <si>
    <t xml:space="preserve">2020-01-06</t>
  </si>
  <si>
    <t xml:space="preserve">2020-01-07</t>
  </si>
  <si>
    <t xml:space="preserve">2020-01-08</t>
  </si>
  <si>
    <t xml:space="preserve">2020-01-09</t>
  </si>
  <si>
    <t xml:space="preserve">2020-01-10</t>
  </si>
  <si>
    <t xml:space="preserve">2020-01-13</t>
  </si>
  <si>
    <t xml:space="preserve">2020-01-14</t>
  </si>
  <si>
    <t xml:space="preserve">2020-01-15</t>
  </si>
  <si>
    <t xml:space="preserve">2020-01-16</t>
  </si>
  <si>
    <t xml:space="preserve">2020-01-17</t>
  </si>
  <si>
    <t xml:space="preserve">2020-01-20</t>
  </si>
  <si>
    <t xml:space="preserve">2020-01-21</t>
  </si>
  <si>
    <t xml:space="preserve">2020-01-22</t>
  </si>
  <si>
    <t xml:space="preserve">2020-01-23</t>
  </si>
  <si>
    <t xml:space="preserve">2020-01-24</t>
  </si>
  <si>
    <t xml:space="preserve">2020-01-27</t>
  </si>
  <si>
    <t xml:space="preserve">2020-01-28</t>
  </si>
  <si>
    <t xml:space="preserve">2020-01-29</t>
  </si>
  <si>
    <t xml:space="preserve">2020-01-30</t>
  </si>
  <si>
    <t xml:space="preserve">2020-01-31</t>
  </si>
  <si>
    <t xml:space="preserve">2020-02-03</t>
  </si>
  <si>
    <t xml:space="preserve">2020-02-04</t>
  </si>
  <si>
    <t xml:space="preserve">2020-02-05</t>
  </si>
  <si>
    <t xml:space="preserve">2020-02-06</t>
  </si>
  <si>
    <t xml:space="preserve">2020-02-07</t>
  </si>
  <si>
    <t xml:space="preserve">2020-02-11</t>
  </si>
  <si>
    <t xml:space="preserve">2020-02-12</t>
  </si>
  <si>
    <t xml:space="preserve">2020-02-13</t>
  </si>
  <si>
    <t xml:space="preserve">2020-02-14</t>
  </si>
  <si>
    <t xml:space="preserve">2020-02-17</t>
  </si>
  <si>
    <t xml:space="preserve">2020-02-18</t>
  </si>
  <si>
    <t xml:space="preserve">2020-02-19</t>
  </si>
  <si>
    <t xml:space="preserve">2020-02-20</t>
  </si>
  <si>
    <t xml:space="preserve">2020-02-21</t>
  </si>
  <si>
    <t xml:space="preserve">2020-02-24</t>
  </si>
  <si>
    <t xml:space="preserve">2020-02-25</t>
  </si>
  <si>
    <t xml:space="preserve">2020-02-26</t>
  </si>
  <si>
    <t xml:space="preserve">2020-02-27</t>
  </si>
  <si>
    <t xml:space="preserve">2020-02-28</t>
  </si>
  <si>
    <t xml:space="preserve">2020-03-02</t>
  </si>
  <si>
    <t xml:space="preserve">2020-03-03</t>
  </si>
  <si>
    <t xml:space="preserve">2020-03-04</t>
  </si>
  <si>
    <t xml:space="preserve">2020-03-05</t>
  </si>
  <si>
    <t xml:space="preserve">2020-03-06</t>
  </si>
  <si>
    <t xml:space="preserve">2020-03-09</t>
  </si>
  <si>
    <t xml:space="preserve">2020-03-10</t>
  </si>
  <si>
    <t xml:space="preserve">2020-03-11</t>
  </si>
  <si>
    <t xml:space="preserve">2020-03-12</t>
  </si>
  <si>
    <t xml:space="preserve">2020-03-13</t>
  </si>
  <si>
    <t xml:space="preserve">2020-03-16</t>
  </si>
  <si>
    <t xml:space="preserve">2020-03-17</t>
  </si>
  <si>
    <t xml:space="preserve">2020-03-18</t>
  </si>
  <si>
    <t xml:space="preserve">2020-03-19</t>
  </si>
  <si>
    <t xml:space="preserve">2020-03-20</t>
  </si>
  <si>
    <t xml:space="preserve">2020-03-23</t>
  </si>
  <si>
    <t xml:space="preserve">2020-03-24</t>
  </si>
  <si>
    <t xml:space="preserve">2020-03-25</t>
  </si>
  <si>
    <t xml:space="preserve">2020-03-26</t>
  </si>
  <si>
    <t xml:space="preserve">2020-03-27</t>
  </si>
  <si>
    <t xml:space="preserve">2020-03-30</t>
  </si>
  <si>
    <t xml:space="preserve">2020-03-31</t>
  </si>
  <si>
    <t xml:space="preserve">2020-04-01</t>
  </si>
  <si>
    <t xml:space="preserve">2020-04-02</t>
  </si>
  <si>
    <t xml:space="preserve">2020-04-03</t>
  </si>
  <si>
    <t xml:space="preserve">2020-04-07</t>
  </si>
  <si>
    <t xml:space="preserve">2020-04-08</t>
  </si>
  <si>
    <t xml:space="preserve">2020-04-09</t>
  </si>
  <si>
    <t xml:space="preserve">2020-04-10</t>
  </si>
  <si>
    <t xml:space="preserve">2020-04-13</t>
  </si>
  <si>
    <t xml:space="preserve">2020-04-14</t>
  </si>
  <si>
    <t xml:space="preserve">2020-04-15</t>
  </si>
  <si>
    <t xml:space="preserve">2020-04-16</t>
  </si>
  <si>
    <t xml:space="preserve">2020-04-17</t>
  </si>
  <si>
    <t xml:space="preserve">2020-04-20</t>
  </si>
  <si>
    <t xml:space="preserve">2020-04-21</t>
  </si>
  <si>
    <t xml:space="preserve">2020-04-22</t>
  </si>
  <si>
    <t xml:space="preserve">2020-04-23</t>
  </si>
  <si>
    <t xml:space="preserve">2020-04-24</t>
  </si>
  <si>
    <t xml:space="preserve">2020-04-27</t>
  </si>
  <si>
    <t xml:space="preserve">2020-04-28</t>
  </si>
  <si>
    <t xml:space="preserve">2020-04-29</t>
  </si>
  <si>
    <t xml:space="preserve">2020-04-30</t>
  </si>
  <si>
    <t xml:space="preserve">2020-05-05</t>
  </si>
  <si>
    <t xml:space="preserve">2020-05-07</t>
  </si>
  <si>
    <t xml:space="preserve">2020-05-08</t>
  </si>
  <si>
    <t xml:space="preserve">2020-05-11</t>
  </si>
  <si>
    <t xml:space="preserve">2020-05-12</t>
  </si>
  <si>
    <t xml:space="preserve">2020-05-13</t>
  </si>
  <si>
    <t xml:space="preserve">2020-05-14</t>
  </si>
  <si>
    <t xml:space="preserve">2020-05-15</t>
  </si>
  <si>
    <t xml:space="preserve">2020-05-18</t>
  </si>
  <si>
    <t xml:space="preserve">2020-05-19</t>
  </si>
  <si>
    <t xml:space="preserve">2020-05-20</t>
  </si>
  <si>
    <t xml:space="preserve">2020-05-21</t>
  </si>
  <si>
    <t xml:space="preserve">2020-05-22</t>
  </si>
  <si>
    <t xml:space="preserve">2020-05-25</t>
  </si>
  <si>
    <t xml:space="preserve">2020-05-26</t>
  </si>
  <si>
    <t xml:space="preserve">2020-05-27</t>
  </si>
  <si>
    <t xml:space="preserve">2020-05-28</t>
  </si>
  <si>
    <t xml:space="preserve">2020-05-29</t>
  </si>
  <si>
    <t xml:space="preserve">2020-06-01</t>
  </si>
  <si>
    <t xml:space="preserve">2020-06-02</t>
  </si>
  <si>
    <t xml:space="preserve">2020-06-04</t>
  </si>
  <si>
    <t xml:space="preserve">2020-06-05</t>
  </si>
  <si>
    <t xml:space="preserve">2020-06-08</t>
  </si>
  <si>
    <t xml:space="preserve">2020-06-09</t>
  </si>
  <si>
    <t xml:space="preserve">2020-06-10</t>
  </si>
  <si>
    <t xml:space="preserve">2020-06-11</t>
  </si>
  <si>
    <t xml:space="preserve">2020-06-12</t>
  </si>
  <si>
    <t xml:space="preserve">2020-06-15</t>
  </si>
  <si>
    <t xml:space="preserve">2020-06-16</t>
  </si>
  <si>
    <t xml:space="preserve">2020-06-17</t>
  </si>
  <si>
    <t xml:space="preserve">2020-06-18</t>
  </si>
  <si>
    <t xml:space="preserve">2020-06-19</t>
  </si>
  <si>
    <t xml:space="preserve">2020-06-22</t>
  </si>
  <si>
    <t xml:space="preserve">2020-06-23</t>
  </si>
  <si>
    <t xml:space="preserve">2020-06-24</t>
  </si>
  <si>
    <t xml:space="preserve">2020-06-25</t>
  </si>
  <si>
    <t xml:space="preserve">2020-06-26</t>
  </si>
  <si>
    <t xml:space="preserve">2020-06-29</t>
  </si>
  <si>
    <t xml:space="preserve">2020-06-30</t>
  </si>
  <si>
    <t xml:space="preserve">2020-07-01</t>
  </si>
  <si>
    <t xml:space="preserve">2020-07-02</t>
  </si>
  <si>
    <t xml:space="preserve">2020-07-03</t>
  </si>
  <si>
    <t xml:space="preserve">2020-07-07</t>
  </si>
  <si>
    <t xml:space="preserve">2020-07-08</t>
  </si>
  <si>
    <t xml:space="preserve">2020-07-09</t>
  </si>
  <si>
    <t xml:space="preserve">2020-07-10</t>
  </si>
  <si>
    <t xml:space="preserve">2020-07-13</t>
  </si>
  <si>
    <t xml:space="preserve">2020-07-14</t>
  </si>
  <si>
    <t xml:space="preserve">2020-07-15</t>
  </si>
  <si>
    <t xml:space="preserve">2020-07-16</t>
  </si>
  <si>
    <t xml:space="preserve">2020-07-17</t>
  </si>
  <si>
    <t xml:space="preserve">2020-07-20</t>
  </si>
  <si>
    <t xml:space="preserve">2020-07-21</t>
  </si>
  <si>
    <t xml:space="preserve">2020-07-22</t>
  </si>
  <si>
    <t xml:space="preserve">2020-07-23</t>
  </si>
  <si>
    <t xml:space="preserve">2020-07-24</t>
  </si>
  <si>
    <t xml:space="preserve">2020-07-29</t>
  </si>
  <si>
    <t xml:space="preserve">2020-07-30</t>
  </si>
  <si>
    <t xml:space="preserve">2020-07-31</t>
  </si>
  <si>
    <t xml:space="preserve">2020-08-03</t>
  </si>
  <si>
    <t xml:space="preserve">2020-08-04</t>
  </si>
  <si>
    <t xml:space="preserve">2020-08-05</t>
  </si>
  <si>
    <t xml:space="preserve">2020-08-06</t>
  </si>
  <si>
    <t xml:space="preserve">2020-08-07</t>
  </si>
  <si>
    <t xml:space="preserve">2020-08-10</t>
  </si>
  <si>
    <t xml:space="preserve">2020-08-11</t>
  </si>
  <si>
    <t xml:space="preserve">2020-08-13</t>
  </si>
  <si>
    <t xml:space="preserve">2020-08-14</t>
  </si>
  <si>
    <t xml:space="preserve">2020-08-17</t>
  </si>
  <si>
    <t xml:space="preserve">2020-08-18</t>
  </si>
  <si>
    <t xml:space="preserve">2020-08-19</t>
  </si>
  <si>
    <t xml:space="preserve">2020-08-20</t>
  </si>
  <si>
    <t xml:space="preserve">2020-08-21</t>
  </si>
  <si>
    <t xml:space="preserve">2020-08-24</t>
  </si>
  <si>
    <t xml:space="preserve">2020-08-25</t>
  </si>
  <si>
    <t xml:space="preserve">2020-08-26</t>
  </si>
  <si>
    <t xml:space="preserve">2020-08-27</t>
  </si>
  <si>
    <t xml:space="preserve">2020-08-28</t>
  </si>
  <si>
    <t xml:space="preserve">2020-08-31</t>
  </si>
  <si>
    <t xml:space="preserve">2020-09-01</t>
  </si>
  <si>
    <t xml:space="preserve">2020-09-02</t>
  </si>
  <si>
    <t xml:space="preserve">2020-09-03</t>
  </si>
  <si>
    <t xml:space="preserve">2020-09-08</t>
  </si>
  <si>
    <t xml:space="preserve">2020-09-09</t>
  </si>
  <si>
    <t xml:space="preserve">2020-09-10</t>
  </si>
  <si>
    <t xml:space="preserve">2020-09-11</t>
  </si>
  <si>
    <t xml:space="preserve">2020-09-14</t>
  </si>
  <si>
    <t xml:space="preserve">2020-09-15</t>
  </si>
  <si>
    <t xml:space="preserve">2020-09-16</t>
  </si>
  <si>
    <t xml:space="preserve">2020-09-17</t>
  </si>
  <si>
    <t xml:space="preserve">2020-09-18</t>
  </si>
  <si>
    <t xml:space="preserve">2020-09-21</t>
  </si>
  <si>
    <t xml:space="preserve">2020-09-22</t>
  </si>
  <si>
    <t xml:space="preserve">2020-09-23</t>
  </si>
  <si>
    <t xml:space="preserve">2020-09-24</t>
  </si>
  <si>
    <t xml:space="preserve">2020-09-25</t>
  </si>
  <si>
    <t xml:space="preserve">2020-09-28</t>
  </si>
  <si>
    <t xml:space="preserve">2020-09-29</t>
  </si>
  <si>
    <t xml:space="preserve">2020-09-30</t>
  </si>
  <si>
    <t xml:space="preserve">2020-10-01</t>
  </si>
  <si>
    <t xml:space="preserve">2020-10-02</t>
  </si>
  <si>
    <t xml:space="preserve">2020-10-05</t>
  </si>
  <si>
    <t xml:space="preserve">2020-10-06</t>
  </si>
  <si>
    <t xml:space="preserve">2020-10-07</t>
  </si>
  <si>
    <t xml:space="preserve">2020-10-08</t>
  </si>
  <si>
    <t xml:space="preserve">2020-10-09</t>
  </si>
  <si>
    <t xml:space="preserve">2020-10-12</t>
  </si>
  <si>
    <t xml:space="preserve">2020-10-14</t>
  </si>
  <si>
    <t xml:space="preserve">2020-10-15</t>
  </si>
  <si>
    <t xml:space="preserve">2020-10-16</t>
  </si>
  <si>
    <t xml:space="preserve">2020-10-19</t>
  </si>
  <si>
    <t xml:space="preserve">2020-10-20</t>
  </si>
  <si>
    <t xml:space="preserve">2020-10-21</t>
  </si>
  <si>
    <t xml:space="preserve">2020-10-22</t>
  </si>
  <si>
    <t xml:space="preserve">2020-10-26</t>
  </si>
  <si>
    <t xml:space="preserve">2020-10-27</t>
  </si>
  <si>
    <t xml:space="preserve">2020-10-28</t>
  </si>
  <si>
    <t xml:space="preserve">2020-10-29</t>
  </si>
  <si>
    <t xml:space="preserve">2020-10-30</t>
  </si>
  <si>
    <t xml:space="preserve">2020-11-02</t>
  </si>
  <si>
    <t xml:space="preserve">2020-11-03</t>
  </si>
  <si>
    <t xml:space="preserve">2020-11-04</t>
  </si>
  <si>
    <t xml:space="preserve">2020-11-05</t>
  </si>
  <si>
    <t xml:space="preserve">2020-11-06</t>
  </si>
  <si>
    <t xml:space="preserve">2020-11-09</t>
  </si>
  <si>
    <t xml:space="preserve">2020-11-10</t>
  </si>
  <si>
    <t xml:space="preserve">2020-11-11</t>
  </si>
  <si>
    <t xml:space="preserve">2020-11-12</t>
  </si>
  <si>
    <t xml:space="preserve">2020-11-13</t>
  </si>
  <si>
    <t xml:space="preserve">2020-11-16</t>
  </si>
  <si>
    <t xml:space="preserve">2020-11-17</t>
  </si>
  <si>
    <t xml:space="preserve">2020-11-18</t>
  </si>
  <si>
    <t xml:space="preserve">2020-11-19</t>
  </si>
  <si>
    <t xml:space="preserve">2020-11-20</t>
  </si>
  <si>
    <t xml:space="preserve">2020-11-23</t>
  </si>
  <si>
    <t xml:space="preserve">2020-11-24</t>
  </si>
  <si>
    <t xml:space="preserve">2020-11-25</t>
  </si>
  <si>
    <t xml:space="preserve">2020-11-26</t>
  </si>
  <si>
    <t xml:space="preserve">2020-11-27</t>
  </si>
  <si>
    <t xml:space="preserve">2020-11-30</t>
  </si>
  <si>
    <t xml:space="preserve">2020-12-01</t>
  </si>
  <si>
    <t xml:space="preserve">2020-12-02</t>
  </si>
  <si>
    <t xml:space="preserve">2020-12-03</t>
  </si>
  <si>
    <t xml:space="preserve">2020-12-04</t>
  </si>
  <si>
    <t xml:space="preserve">2020-12-08</t>
  </si>
  <si>
    <t xml:space="preserve">2020-12-09</t>
  </si>
  <si>
    <t xml:space="preserve">2020-12-14</t>
  </si>
  <si>
    <t xml:space="preserve">2020-12-15</t>
  </si>
  <si>
    <t xml:space="preserve">2020-12-16</t>
  </si>
  <si>
    <t xml:space="preserve">2020-12-17</t>
  </si>
  <si>
    <t xml:space="preserve">2020-12-18</t>
  </si>
  <si>
    <t xml:space="preserve">2020-12-21</t>
  </si>
  <si>
    <t xml:space="preserve">2020-12-22</t>
  </si>
  <si>
    <t xml:space="preserve">2020-12-23</t>
  </si>
  <si>
    <t xml:space="preserve">2020-12-24</t>
  </si>
  <si>
    <t xml:space="preserve">2020-12-25</t>
  </si>
  <si>
    <t xml:space="preserve">2020-12-28</t>
  </si>
  <si>
    <t xml:space="preserve">2020-12-29</t>
  </si>
  <si>
    <t xml:space="preserve">2020-12-30</t>
  </si>
  <si>
    <t xml:space="preserve">2021-01-04</t>
  </si>
  <si>
    <t xml:space="preserve">2021-01-05</t>
  </si>
  <si>
    <t xml:space="preserve">2021-01-06</t>
  </si>
  <si>
    <t xml:space="preserve">2021-01-07</t>
  </si>
  <si>
    <t xml:space="preserve">2021-01-08</t>
  </si>
  <si>
    <t xml:space="preserve">2021-01-11</t>
  </si>
  <si>
    <t xml:space="preserve">2021-01-12</t>
  </si>
  <si>
    <t xml:space="preserve">2021-01-13</t>
  </si>
  <si>
    <t xml:space="preserve">2021-01-14</t>
  </si>
  <si>
    <t xml:space="preserve">2021-01-15</t>
  </si>
  <si>
    <t xml:space="preserve">2021-01-18</t>
  </si>
  <si>
    <t xml:space="preserve">2021-01-19</t>
  </si>
  <si>
    <t xml:space="preserve">2021-01-20</t>
  </si>
  <si>
    <t xml:space="preserve">2021-01-21</t>
  </si>
  <si>
    <t xml:space="preserve">2021-01-22</t>
  </si>
  <si>
    <t xml:space="preserve">2021-01-25</t>
  </si>
  <si>
    <t xml:space="preserve">2021-01-26</t>
  </si>
  <si>
    <t xml:space="preserve">2021-01-27</t>
  </si>
  <si>
    <t xml:space="preserve">2021-01-28</t>
  </si>
  <si>
    <t xml:space="preserve">2021-01-29</t>
  </si>
  <si>
    <t xml:space="preserve">2021-02-01</t>
  </si>
  <si>
    <t xml:space="preserve">2021-02-02</t>
  </si>
  <si>
    <t xml:space="preserve">2021-02-03</t>
  </si>
  <si>
    <t xml:space="preserve">2021-02-04</t>
  </si>
  <si>
    <t xml:space="preserve">2021-02-05</t>
  </si>
  <si>
    <t xml:space="preserve">2021-02-08</t>
  </si>
  <si>
    <t xml:space="preserve">2021-02-09</t>
  </si>
  <si>
    <t xml:space="preserve">2021-02-10</t>
  </si>
  <si>
    <t xml:space="preserve">2021-02-11</t>
  </si>
  <si>
    <t xml:space="preserve">2021-02-15</t>
  </si>
  <si>
    <t xml:space="preserve">2021-02-16</t>
  </si>
  <si>
    <t xml:space="preserve">2021-02-17</t>
  </si>
  <si>
    <t xml:space="preserve">2021-02-18</t>
  </si>
  <si>
    <t xml:space="preserve">2021-02-19</t>
  </si>
  <si>
    <t xml:space="preserve">2021-02-22</t>
  </si>
  <si>
    <t xml:space="preserve">2021-02-23</t>
  </si>
  <si>
    <t xml:space="preserve">2021-02-24</t>
  </si>
  <si>
    <t xml:space="preserve">2021-02-25</t>
  </si>
  <si>
    <t xml:space="preserve">2021-03-01</t>
  </si>
  <si>
    <t xml:space="preserve">2021-03-02</t>
  </si>
  <si>
    <t xml:space="preserve">2021-03-03</t>
  </si>
  <si>
    <t xml:space="preserve">2021-03-04</t>
  </si>
  <si>
    <t xml:space="preserve">2021-03-05</t>
  </si>
  <si>
    <t xml:space="preserve">2021-03-08</t>
  </si>
  <si>
    <t xml:space="preserve">2021-03-09</t>
  </si>
  <si>
    <t xml:space="preserve">2021-03-10</t>
  </si>
  <si>
    <t xml:space="preserve">2021-03-11</t>
  </si>
  <si>
    <t xml:space="preserve">2021-03-12</t>
  </si>
  <si>
    <t xml:space="preserve">2021-03-15</t>
  </si>
  <si>
    <t xml:space="preserve">2021-03-16</t>
  </si>
  <si>
    <t xml:space="preserve">2021-03-17</t>
  </si>
  <si>
    <t xml:space="preserve">2021-03-18</t>
  </si>
  <si>
    <t xml:space="preserve">2021-03-19</t>
  </si>
  <si>
    <t xml:space="preserve">2021-03-22</t>
  </si>
  <si>
    <t xml:space="preserve">2021-03-23</t>
  </si>
  <si>
    <t xml:space="preserve">2021-03-24</t>
  </si>
  <si>
    <t xml:space="preserve">2021-03-25</t>
  </si>
  <si>
    <t xml:space="preserve">2021-03-26</t>
  </si>
  <si>
    <t xml:space="preserve">2021-03-29</t>
  </si>
  <si>
    <t xml:space="preserve">2021-03-30</t>
  </si>
  <si>
    <t xml:space="preserve">2021-03-31</t>
  </si>
  <si>
    <t xml:space="preserve">2021-04-01</t>
  </si>
  <si>
    <t xml:space="preserve">2021-04-02</t>
  </si>
  <si>
    <t xml:space="preserve">2021-04-05</t>
  </si>
  <si>
    <t xml:space="preserve">2021-04-07</t>
  </si>
  <si>
    <t xml:space="preserve">2021-04-08</t>
  </si>
  <si>
    <t xml:space="preserve">2021-04-09</t>
  </si>
  <si>
    <t xml:space="preserve">2021-04-12</t>
  </si>
  <si>
    <t xml:space="preserve">2021-04-16</t>
  </si>
  <si>
    <t xml:space="preserve">2021-04-19</t>
  </si>
  <si>
    <t xml:space="preserve">2021-04-20</t>
  </si>
  <si>
    <t xml:space="preserve">2021-04-21</t>
  </si>
  <si>
    <t xml:space="preserve">2021-04-22</t>
  </si>
  <si>
    <t xml:space="preserve">2021-04-23</t>
  </si>
  <si>
    <t xml:space="preserve">2021-04-26</t>
  </si>
  <si>
    <t xml:space="preserve">2021-04-27</t>
  </si>
  <si>
    <t xml:space="preserve">2021-04-28</t>
  </si>
  <si>
    <t xml:space="preserve">2021-04-29</t>
  </si>
  <si>
    <t xml:space="preserve">2021-04-30</t>
  </si>
  <si>
    <t xml:space="preserve">2021-05-05</t>
  </si>
  <si>
    <t xml:space="preserve">2021-05-06</t>
  </si>
  <si>
    <t xml:space="preserve">2021-05-07</t>
  </si>
  <si>
    <t xml:space="preserve">2021-05-10</t>
  </si>
  <si>
    <t xml:space="preserve">2021-05-11</t>
  </si>
  <si>
    <t xml:space="preserve">2021-05-12</t>
  </si>
  <si>
    <t xml:space="preserve">2021-05-13</t>
  </si>
  <si>
    <t xml:space="preserve">2021-05-14</t>
  </si>
  <si>
    <t xml:space="preserve">2021-05-17</t>
  </si>
  <si>
    <t xml:space="preserve">2021-05-18</t>
  </si>
  <si>
    <t xml:space="preserve">2021-05-19</t>
  </si>
  <si>
    <t xml:space="preserve">2021-05-20</t>
  </si>
  <si>
    <t xml:space="preserve">2021-05-21</t>
  </si>
  <si>
    <t xml:space="preserve">2021-05-24</t>
  </si>
  <si>
    <t xml:space="preserve">2021-05-25</t>
  </si>
  <si>
    <t xml:space="preserve">2021-05-27</t>
  </si>
  <si>
    <t xml:space="preserve">2021-05-28</t>
  </si>
  <si>
    <t xml:space="preserve">2021-05-31</t>
  </si>
  <si>
    <t xml:space="preserve">2021-06-01</t>
  </si>
  <si>
    <t xml:space="preserve">2021-06-02</t>
  </si>
  <si>
    <t xml:space="preserve">2021-06-04</t>
  </si>
  <si>
    <t xml:space="preserve">2021-06-07</t>
  </si>
  <si>
    <t xml:space="preserve">2021-06-08</t>
  </si>
  <si>
    <t xml:space="preserve">2021-06-09</t>
  </si>
  <si>
    <t xml:space="preserve">2021-06-10</t>
  </si>
  <si>
    <t xml:space="preserve">2021-06-11</t>
  </si>
  <si>
    <t xml:space="preserve">2021-06-14</t>
  </si>
  <si>
    <t xml:space="preserve">2021-06-15</t>
  </si>
  <si>
    <t xml:space="preserve">2021-06-16</t>
  </si>
  <si>
    <t xml:space="preserve">2021-06-17</t>
  </si>
  <si>
    <t xml:space="preserve">2021-06-18</t>
  </si>
  <si>
    <t xml:space="preserve">2021-06-21</t>
  </si>
  <si>
    <t xml:space="preserve">2021-06-22</t>
  </si>
  <si>
    <t xml:space="preserve">2021-06-23</t>
  </si>
  <si>
    <t xml:space="preserve">2021-06-24</t>
  </si>
  <si>
    <t xml:space="preserve">2021-06-25</t>
  </si>
  <si>
    <t xml:space="preserve">2021-06-28</t>
  </si>
  <si>
    <t xml:space="preserve">2021-06-29</t>
  </si>
  <si>
    <t xml:space="preserve">2021-06-30</t>
  </si>
  <si>
    <t xml:space="preserve">2021-07-01</t>
  </si>
  <si>
    <t xml:space="preserve">2021-07-02</t>
  </si>
  <si>
    <t xml:space="preserve">2021-07-05</t>
  </si>
  <si>
    <t xml:space="preserve">2021-07-06</t>
  </si>
  <si>
    <t xml:space="preserve">2021-07-07</t>
  </si>
  <si>
    <t xml:space="preserve">2021-07-08</t>
  </si>
  <si>
    <t xml:space="preserve">2021-07-09</t>
  </si>
  <si>
    <t xml:space="preserve">2021-07-12</t>
  </si>
  <si>
    <t xml:space="preserve">2021-07-13</t>
  </si>
  <si>
    <t xml:space="preserve">2021-07-14</t>
  </si>
  <si>
    <t xml:space="preserve">2021-07-15</t>
  </si>
  <si>
    <t xml:space="preserve">2021-07-16</t>
  </si>
  <si>
    <t xml:space="preserve">2021-07-19</t>
  </si>
  <si>
    <t xml:space="preserve">2021-07-20</t>
  </si>
  <si>
    <t xml:space="preserve">2021-07-21</t>
  </si>
  <si>
    <t xml:space="preserve">2021-07-22</t>
  </si>
  <si>
    <t xml:space="preserve">2021-07-23</t>
  </si>
  <si>
    <t xml:space="preserve">2021-07-27</t>
  </si>
  <si>
    <t xml:space="preserve">2021-07-29</t>
  </si>
  <si>
    <t xml:space="preserve">2021-07-30</t>
  </si>
  <si>
    <t xml:space="preserve">2021-08-02</t>
  </si>
  <si>
    <t xml:space="preserve">2021-08-03</t>
  </si>
  <si>
    <t xml:space="preserve">2021-08-04</t>
  </si>
  <si>
    <t xml:space="preserve">2021-08-05</t>
  </si>
  <si>
    <t xml:space="preserve">2021-08-06</t>
  </si>
  <si>
    <t xml:space="preserve">2021-08-09</t>
  </si>
  <si>
    <t xml:space="preserve">2021-08-10</t>
  </si>
  <si>
    <t xml:space="preserve">2021-08-11</t>
  </si>
  <si>
    <t xml:space="preserve">2021-08-13</t>
  </si>
  <si>
    <t xml:space="preserve">2021-08-16</t>
  </si>
  <si>
    <t xml:space="preserve">2021-08-17</t>
  </si>
  <si>
    <t xml:space="preserve">2021-08-18</t>
  </si>
  <si>
    <t xml:space="preserve">2021-08-19</t>
  </si>
  <si>
    <t xml:space="preserve">2021-08-20</t>
  </si>
  <si>
    <t xml:space="preserve">2021-08-23</t>
  </si>
  <si>
    <t xml:space="preserve">2021-08-24</t>
  </si>
  <si>
    <t xml:space="preserve">2021-08-25</t>
  </si>
  <si>
    <t xml:space="preserve">2021-08-26</t>
  </si>
  <si>
    <t xml:space="preserve">2021-08-27</t>
  </si>
  <si>
    <t xml:space="preserve">2021-08-30</t>
  </si>
  <si>
    <t xml:space="preserve">2021-08-31</t>
  </si>
  <si>
    <t xml:space="preserve">2021-09-01</t>
  </si>
  <si>
    <t xml:space="preserve">2021-09-02</t>
  </si>
  <si>
    <t xml:space="preserve">2021-09-03</t>
  </si>
  <si>
    <t xml:space="preserve">2021-09-06</t>
  </si>
  <si>
    <t xml:space="preserve">2021-09-07</t>
  </si>
  <si>
    <t xml:space="preserve">2021-09-08</t>
  </si>
  <si>
    <t xml:space="preserve">2021-09-09</t>
  </si>
  <si>
    <t xml:space="preserve">2021-09-10</t>
  </si>
  <si>
    <t xml:space="preserve">2021-09-13</t>
  </si>
  <si>
    <t xml:space="preserve">2021-09-14</t>
  </si>
  <si>
    <t xml:space="preserve">2021-09-15</t>
  </si>
  <si>
    <t xml:space="preserve">2021-09-16</t>
  </si>
  <si>
    <t xml:space="preserve">2021-09-17</t>
  </si>
  <si>
    <t xml:space="preserve">2021-09-20</t>
  </si>
  <si>
    <t xml:space="preserve">2021-09-21</t>
  </si>
  <si>
    <t xml:space="preserve">2021-09-22</t>
  </si>
  <si>
    <t xml:space="preserve">2021-09-23</t>
  </si>
  <si>
    <t xml:space="preserve">2021-09-27</t>
  </si>
  <si>
    <t xml:space="preserve">2021-09-28</t>
  </si>
  <si>
    <t xml:space="preserve">2021-09-29</t>
  </si>
  <si>
    <t xml:space="preserve">2021-09-30</t>
  </si>
  <si>
    <t xml:space="preserve">2021-10-01</t>
  </si>
  <si>
    <t xml:space="preserve">2021-10-04</t>
  </si>
  <si>
    <t xml:space="preserve">2021-10-05</t>
  </si>
  <si>
    <t xml:space="preserve">2021-10-06</t>
  </si>
  <si>
    <t xml:space="preserve">2021-10-07</t>
  </si>
  <si>
    <t xml:space="preserve">2021-10-08</t>
  </si>
  <si>
    <t xml:space="preserve">2021-10-11</t>
  </si>
  <si>
    <t xml:space="preserve">2021-10-12</t>
  </si>
  <si>
    <t xml:space="preserve">2021-10-14</t>
  </si>
  <si>
    <t xml:space="preserve">2021-10-15</t>
  </si>
  <si>
    <t xml:space="preserve">2021-10-18</t>
  </si>
  <si>
    <t xml:space="preserve">2021-10-19</t>
  </si>
  <si>
    <t xml:space="preserve">2021-10-20</t>
  </si>
  <si>
    <t xml:space="preserve">2021-10-21</t>
  </si>
  <si>
    <t xml:space="preserve">2021-10-25</t>
  </si>
  <si>
    <t xml:space="preserve">2021-10-26</t>
  </si>
  <si>
    <t xml:space="preserve">2021-10-27</t>
  </si>
  <si>
    <t xml:space="preserve">2021-10-28</t>
  </si>
  <si>
    <t xml:space="preserve">2021-10-29</t>
  </si>
  <si>
    <t xml:space="preserve">2021-11-01</t>
  </si>
  <si>
    <t xml:space="preserve">2021-11-02</t>
  </si>
  <si>
    <t xml:space="preserve">2021-11-03</t>
  </si>
  <si>
    <t xml:space="preserve">2021-11-04</t>
  </si>
  <si>
    <t xml:space="preserve">2021-11-05</t>
  </si>
  <si>
    <t xml:space="preserve">2021-11-08</t>
  </si>
  <si>
    <t xml:space="preserve">2021-11-09</t>
  </si>
  <si>
    <t xml:space="preserve">2021-11-10</t>
  </si>
  <si>
    <t xml:space="preserve">2021-11-11</t>
  </si>
  <si>
    <t xml:space="preserve">2021-11-12</t>
  </si>
  <si>
    <t xml:space="preserve">2021-11-15</t>
  </si>
  <si>
    <t xml:space="preserve">2021-11-16</t>
  </si>
  <si>
    <t xml:space="preserve">2021-11-17</t>
  </si>
  <si>
    <t xml:space="preserve">2021-11-18</t>
  </si>
  <si>
    <t xml:space="preserve">2021-11-19</t>
  </si>
  <si>
    <t xml:space="preserve">2021-11-22</t>
  </si>
  <si>
    <t xml:space="preserve">2021-11-23</t>
  </si>
  <si>
    <t xml:space="preserve">2021-11-24</t>
  </si>
  <si>
    <t xml:space="preserve">2021-11-25</t>
  </si>
  <si>
    <t xml:space="preserve">2021-11-26</t>
  </si>
  <si>
    <t xml:space="preserve">2021-11-29</t>
  </si>
  <si>
    <t xml:space="preserve">2021-11-30</t>
  </si>
  <si>
    <t xml:space="preserve">2021-12-01</t>
  </si>
  <si>
    <t xml:space="preserve">2021-12-02</t>
  </si>
  <si>
    <t xml:space="preserve">2021-12-03</t>
  </si>
  <si>
    <t xml:space="preserve">2021-12-07</t>
  </si>
  <si>
    <t xml:space="preserve">2021-12-08</t>
  </si>
  <si>
    <t xml:space="preserve">2021-12-09</t>
  </si>
  <si>
    <t xml:space="preserve">2021-12-13</t>
  </si>
  <si>
    <t xml:space="preserve">2021-12-14</t>
  </si>
  <si>
    <t xml:space="preserve">2021-12-15</t>
  </si>
  <si>
    <t xml:space="preserve">2021-12-16</t>
  </si>
  <si>
    <t xml:space="preserve">2021-12-17</t>
  </si>
  <si>
    <t xml:space="preserve">2021-12-20</t>
  </si>
  <si>
    <t xml:space="preserve">2021-12-21</t>
  </si>
  <si>
    <t xml:space="preserve">2021-12-22</t>
  </si>
  <si>
    <t xml:space="preserve">2021-12-23</t>
  </si>
  <si>
    <t xml:space="preserve">2021-12-24</t>
  </si>
  <si>
    <t xml:space="preserve">2021-12-27</t>
  </si>
  <si>
    <t xml:space="preserve">2021-12-28</t>
  </si>
  <si>
    <t xml:space="preserve">2021-12-29</t>
  </si>
  <si>
    <t xml:space="preserve">2021-12-30</t>
  </si>
  <si>
    <t xml:space="preserve">2022-01-04</t>
  </si>
  <si>
    <t xml:space="preserve">2022-01-05</t>
  </si>
  <si>
    <t xml:space="preserve">2022-01-06</t>
  </si>
  <si>
    <t xml:space="preserve">2022-01-07</t>
  </si>
  <si>
    <t xml:space="preserve">2022-01-10</t>
  </si>
  <si>
    <t xml:space="preserve">2022-01-11</t>
  </si>
  <si>
    <t xml:space="preserve">2022-01-12</t>
  </si>
  <si>
    <t xml:space="preserve">2022-01-13</t>
  </si>
  <si>
    <t xml:space="preserve">2022-01-14</t>
  </si>
  <si>
    <t xml:space="preserve">2022-01-17</t>
  </si>
  <si>
    <t xml:space="preserve">2022-01-18</t>
  </si>
  <si>
    <t xml:space="preserve">2022-01-19</t>
  </si>
  <si>
    <t xml:space="preserve">2022-01-20</t>
  </si>
  <si>
    <t xml:space="preserve">2022-01-21</t>
  </si>
  <si>
    <t xml:space="preserve">2022-01-24</t>
  </si>
  <si>
    <t xml:space="preserve">2022-01-25</t>
  </si>
  <si>
    <t xml:space="preserve">2022-01-26</t>
  </si>
  <si>
    <t xml:space="preserve">2022-01-27</t>
  </si>
  <si>
    <t xml:space="preserve">2022-01-28</t>
  </si>
  <si>
    <t xml:space="preserve">2022-01-31</t>
  </si>
  <si>
    <t xml:space="preserve">2022-02-01</t>
  </si>
  <si>
    <t xml:space="preserve">2022-02-02</t>
  </si>
  <si>
    <t xml:space="preserve">2022-02-03</t>
  </si>
  <si>
    <t xml:space="preserve">2022-02-04</t>
  </si>
  <si>
    <t xml:space="preserve">2022-02-07</t>
  </si>
  <si>
    <t xml:space="preserve">2022-02-08</t>
  </si>
  <si>
    <t xml:space="preserve">2022-02-09</t>
  </si>
  <si>
    <t xml:space="preserve">2022-02-10</t>
  </si>
  <si>
    <t xml:space="preserve">2022-02-11</t>
  </si>
  <si>
    <t xml:space="preserve">2022-02-14</t>
  </si>
  <si>
    <t xml:space="preserve">2022-02-15</t>
  </si>
  <si>
    <t xml:space="preserve">2022-02-17</t>
  </si>
  <si>
    <t xml:space="preserve">2022-02-18</t>
  </si>
  <si>
    <t xml:space="preserve">2022-02-21</t>
  </si>
  <si>
    <t xml:space="preserve">2022-02-22</t>
  </si>
  <si>
    <t xml:space="preserve">2022-02-23</t>
  </si>
  <si>
    <t xml:space="preserve">2022-02-24</t>
  </si>
  <si>
    <t xml:space="preserve">2022-02-25</t>
  </si>
  <si>
    <t xml:space="preserve">2022-02-28</t>
  </si>
  <si>
    <t xml:space="preserve">2022-03-01</t>
  </si>
  <si>
    <t xml:space="preserve">2022-03-02</t>
  </si>
  <si>
    <t xml:space="preserve">2022-03-03</t>
  </si>
  <si>
    <t xml:space="preserve">2022-03-04</t>
  </si>
  <si>
    <t xml:space="preserve">2022-03-07</t>
  </si>
  <si>
    <t xml:space="preserve">2022-03-08</t>
  </si>
  <si>
    <t xml:space="preserve">2022-03-09</t>
  </si>
  <si>
    <t xml:space="preserve">2022-03-10</t>
  </si>
  <si>
    <t xml:space="preserve">2022-03-11</t>
  </si>
  <si>
    <t xml:space="preserve">2022-03-14</t>
  </si>
  <si>
    <t xml:space="preserve">2022-03-15</t>
  </si>
  <si>
    <t xml:space="preserve">2022-03-16</t>
  </si>
  <si>
    <t xml:space="preserve">2022-03-17</t>
  </si>
  <si>
    <t xml:space="preserve">2022-03-18</t>
  </si>
  <si>
    <t xml:space="preserve">2022-03-21</t>
  </si>
  <si>
    <t xml:space="preserve">2022-03-22</t>
  </si>
  <si>
    <t xml:space="preserve">2022-03-23</t>
  </si>
  <si>
    <t xml:space="preserve">2022-03-24</t>
  </si>
  <si>
    <t xml:space="preserve">2022-03-25</t>
  </si>
  <si>
    <t xml:space="preserve">2022-03-28</t>
  </si>
  <si>
    <t xml:space="preserve">2022-03-29</t>
  </si>
  <si>
    <t xml:space="preserve">2022-03-30</t>
  </si>
  <si>
    <t xml:space="preserve">2022-03-31</t>
  </si>
  <si>
    <t xml:space="preserve">2022-04-01</t>
  </si>
  <si>
    <t xml:space="preserve">2022-04-04</t>
  </si>
  <si>
    <t xml:space="preserve">2022-04-05</t>
  </si>
  <si>
    <t xml:space="preserve">2022-04-07</t>
  </si>
  <si>
    <t xml:space="preserve">2022-04-08</t>
  </si>
  <si>
    <t xml:space="preserve">2022-04-11</t>
  </si>
  <si>
    <t xml:space="preserve">2022-04-12</t>
  </si>
  <si>
    <t xml:space="preserve">2022-04-18</t>
  </si>
  <si>
    <t xml:space="preserve">2022-04-19</t>
  </si>
  <si>
    <t xml:space="preserve">2022-04-20</t>
  </si>
  <si>
    <t xml:space="preserve">2022-04-21</t>
  </si>
  <si>
    <t xml:space="preserve">2022-04-22</t>
  </si>
  <si>
    <t xml:space="preserve">2022-04-25</t>
  </si>
  <si>
    <t xml:space="preserve">2022-04-26</t>
  </si>
  <si>
    <t xml:space="preserve">2022-04-27</t>
  </si>
  <si>
    <t xml:space="preserve">2022-04-28</t>
  </si>
  <si>
    <t xml:space="preserve">2022-04-29</t>
  </si>
  <si>
    <t xml:space="preserve">2022-05-03</t>
  </si>
  <si>
    <t xml:space="preserve">2022-05-05</t>
  </si>
  <si>
    <t xml:space="preserve">2022-05-06</t>
  </si>
  <si>
    <t xml:space="preserve">2022-05-09</t>
  </si>
  <si>
    <t xml:space="preserve">2022-05-10</t>
  </si>
  <si>
    <t xml:space="preserve">2022-05-11</t>
  </si>
  <si>
    <t xml:space="preserve">2022-05-12</t>
  </si>
  <si>
    <t xml:space="preserve">2022-05-13</t>
  </si>
  <si>
    <t xml:space="preserve">2022-05-17</t>
  </si>
  <si>
    <t xml:space="preserve">2022-05-18</t>
  </si>
  <si>
    <t xml:space="preserve">2022-05-19</t>
  </si>
  <si>
    <t xml:space="preserve">2022-05-20</t>
  </si>
  <si>
    <t xml:space="preserve">2022-05-23</t>
  </si>
  <si>
    <t xml:space="preserve">2022-05-24</t>
  </si>
  <si>
    <t xml:space="preserve">2022-05-25</t>
  </si>
  <si>
    <t xml:space="preserve">2022-05-26</t>
  </si>
  <si>
    <t xml:space="preserve">2022-05-27</t>
  </si>
  <si>
    <t xml:space="preserve">2022-05-30</t>
  </si>
  <si>
    <t xml:space="preserve">2022-05-31</t>
  </si>
  <si>
    <t xml:space="preserve">2022-06-01</t>
  </si>
  <si>
    <t xml:space="preserve">2022-06-02</t>
  </si>
  <si>
    <t xml:space="preserve">2022-06-06</t>
  </si>
  <si>
    <t xml:space="preserve">2022-06-07</t>
  </si>
  <si>
    <t xml:space="preserve">2022-06-08</t>
  </si>
  <si>
    <t xml:space="preserve">2022-06-09</t>
  </si>
  <si>
    <t xml:space="preserve">2022-06-10</t>
  </si>
  <si>
    <t xml:space="preserve">2022-06-13</t>
  </si>
  <si>
    <t xml:space="preserve">2022-06-14</t>
  </si>
  <si>
    <t xml:space="preserve">2022-06-15</t>
  </si>
  <si>
    <t xml:space="preserve">2022-06-16</t>
  </si>
  <si>
    <t xml:space="preserve">2022-06-17</t>
  </si>
  <si>
    <t xml:space="preserve">2022-06-20</t>
  </si>
  <si>
    <t xml:space="preserve">2022-06-21</t>
  </si>
  <si>
    <t xml:space="preserve">2022-06-22</t>
  </si>
  <si>
    <t xml:space="preserve">2022-06-23</t>
  </si>
  <si>
    <t xml:space="preserve">2022-06-24</t>
  </si>
  <si>
    <t xml:space="preserve">2022-06-27</t>
  </si>
  <si>
    <t xml:space="preserve">2022-06-28</t>
  </si>
  <si>
    <t xml:space="preserve">2022-06-29</t>
  </si>
  <si>
    <t xml:space="preserve">2022-06-30</t>
  </si>
  <si>
    <t xml:space="preserve">2022-07-01</t>
  </si>
  <si>
    <t xml:space="preserve">2022-07-04</t>
  </si>
  <si>
    <t xml:space="preserve">2022-07-05</t>
  </si>
  <si>
    <t xml:space="preserve">2022-07-06</t>
  </si>
  <si>
    <t xml:space="preserve">2022-07-07</t>
  </si>
  <si>
    <t xml:space="preserve">2022-07-08</t>
  </si>
  <si>
    <t xml:space="preserve">2022-07-11</t>
  </si>
  <si>
    <t xml:space="preserve">2022-07-12</t>
  </si>
  <si>
    <t xml:space="preserve">2022-07-14</t>
  </si>
  <si>
    <t xml:space="preserve">2022-07-15</t>
  </si>
  <si>
    <t xml:space="preserve">2022-07-18</t>
  </si>
  <si>
    <t xml:space="preserve">2022-07-19</t>
  </si>
  <si>
    <t xml:space="preserve">2022-07-20</t>
  </si>
  <si>
    <t xml:space="preserve">2022-07-21</t>
  </si>
  <si>
    <t xml:space="preserve">2022-07-22</t>
  </si>
  <si>
    <t xml:space="preserve">2022-07-25</t>
  </si>
  <si>
    <t xml:space="preserve">2022-07-26</t>
  </si>
  <si>
    <t xml:space="preserve">2022-07-27</t>
  </si>
  <si>
    <t xml:space="preserve">2022-08-01</t>
  </si>
  <si>
    <t xml:space="preserve">2022-08-02</t>
  </si>
  <si>
    <t xml:space="preserve">2022-08-03</t>
  </si>
  <si>
    <t xml:space="preserve">2022-08-04</t>
  </si>
  <si>
    <t xml:space="preserve">2022-08-05</t>
  </si>
  <si>
    <t xml:space="preserve">2022-08-08</t>
  </si>
  <si>
    <t xml:space="preserve">2022-08-09</t>
  </si>
  <si>
    <t xml:space="preserve">2022-08-10</t>
  </si>
  <si>
    <t xml:space="preserve">2022-08-11</t>
  </si>
  <si>
    <t xml:space="preserve">2022-08-15</t>
  </si>
  <si>
    <t xml:space="preserve">2022-08-16</t>
  </si>
  <si>
    <t xml:space="preserve">2022-08-17</t>
  </si>
  <si>
    <t xml:space="preserve">2022-08-18</t>
  </si>
  <si>
    <t xml:space="preserve">2022-08-19</t>
  </si>
  <si>
    <t xml:space="preserve">2022-08-22</t>
  </si>
  <si>
    <t xml:space="preserve">2022-08-23</t>
  </si>
  <si>
    <t xml:space="preserve">2022-08-24</t>
  </si>
  <si>
    <t xml:space="preserve">2022-08-25</t>
  </si>
  <si>
    <t xml:space="preserve">2022-08-26</t>
  </si>
  <si>
    <t xml:space="preserve">2022-08-29</t>
  </si>
  <si>
    <t xml:space="preserve">2022-08-30</t>
  </si>
  <si>
    <t xml:space="preserve">2022-08-31</t>
  </si>
  <si>
    <t xml:space="preserve">2022-09-01</t>
  </si>
  <si>
    <t xml:space="preserve">2022-09-02</t>
  </si>
  <si>
    <t xml:space="preserve">2022-09-05</t>
  </si>
  <si>
    <t xml:space="preserve">2022-09-06</t>
  </si>
  <si>
    <t xml:space="preserve">2022-09-07</t>
  </si>
  <si>
    <t xml:space="preserve">2022-09-08</t>
  </si>
  <si>
    <t xml:space="preserve">2022-09-09</t>
  </si>
  <si>
    <t xml:space="preserve">2022-09-12</t>
  </si>
  <si>
    <t xml:space="preserve">2022-09-13</t>
  </si>
  <si>
    <t xml:space="preserve">2022-09-14</t>
  </si>
  <si>
    <t xml:space="preserve">2022-09-15</t>
  </si>
  <si>
    <t xml:space="preserve">2022-09-16</t>
  </si>
  <si>
    <t xml:space="preserve">2022-09-19</t>
  </si>
  <si>
    <t xml:space="preserve">2022-09-20</t>
  </si>
  <si>
    <t xml:space="preserve">2022-09-21</t>
  </si>
  <si>
    <t xml:space="preserve">2022-09-22</t>
  </si>
  <si>
    <t xml:space="preserve">2022-09-23</t>
  </si>
  <si>
    <t xml:space="preserve">2022-09-26</t>
  </si>
  <si>
    <t xml:space="preserve">2022-09-27</t>
  </si>
  <si>
    <t xml:space="preserve">2022-09-28</t>
  </si>
  <si>
    <t xml:space="preserve">2022-09-29</t>
  </si>
  <si>
    <t xml:space="preserve">2022-09-30</t>
  </si>
  <si>
    <t xml:space="preserve">2022-10-03</t>
  </si>
  <si>
    <t xml:space="preserve">2022-10-04</t>
  </si>
  <si>
    <t xml:space="preserve">2022-10-05</t>
  </si>
  <si>
    <t xml:space="preserve">2022-10-06</t>
  </si>
  <si>
    <t xml:space="preserve">2022-10-07</t>
  </si>
  <si>
    <t xml:space="preserve">2022-10-10</t>
  </si>
  <si>
    <t xml:space="preserve">2022-10-11</t>
  </si>
  <si>
    <t xml:space="preserve">2022-10-12</t>
  </si>
  <si>
    <t xml:space="preserve">2022-10-17</t>
  </si>
  <si>
    <t xml:space="preserve">2022-10-18</t>
  </si>
  <si>
    <t xml:space="preserve">2022-10-19</t>
  </si>
  <si>
    <t xml:space="preserve">2022-10-20</t>
  </si>
  <si>
    <t xml:space="preserve">2022-10-21</t>
  </si>
  <si>
    <t xml:space="preserve">2022-10-25</t>
  </si>
  <si>
    <t xml:space="preserve">2022-10-26</t>
  </si>
  <si>
    <t xml:space="preserve">2022-10-27</t>
  </si>
  <si>
    <t xml:space="preserve">2022-10-28</t>
  </si>
  <si>
    <t xml:space="preserve">2022-10-31</t>
  </si>
  <si>
    <t xml:space="preserve">2022-11-01</t>
  </si>
  <si>
    <t xml:space="preserve">2022-11-02</t>
  </si>
  <si>
    <t xml:space="preserve">2022-11-03</t>
  </si>
  <si>
    <t xml:space="preserve">2022-11-04</t>
  </si>
  <si>
    <t xml:space="preserve">2022-11-07</t>
  </si>
  <si>
    <t xml:space="preserve">2022-11-08</t>
  </si>
  <si>
    <t xml:space="preserve">2022-11-09</t>
  </si>
  <si>
    <t xml:space="preserve">2022-11-10</t>
  </si>
  <si>
    <t xml:space="preserve">2022-11-11</t>
  </si>
  <si>
    <t xml:space="preserve">2022-11-14</t>
  </si>
  <si>
    <t xml:space="preserve">2022-11-15</t>
  </si>
  <si>
    <t xml:space="preserve">2022-11-16</t>
  </si>
  <si>
    <t xml:space="preserve">2022-11-17</t>
  </si>
  <si>
    <t xml:space="preserve">2022-11-18</t>
  </si>
  <si>
    <t xml:space="preserve">2022-11-21</t>
  </si>
  <si>
    <t xml:space="preserve">2022-11-22</t>
  </si>
  <si>
    <t xml:space="preserve">2022-11-23</t>
  </si>
  <si>
    <t xml:space="preserve">2022-11-24</t>
  </si>
  <si>
    <t xml:space="preserve">2022-11-25</t>
  </si>
  <si>
    <t xml:space="preserve">2022-11-28</t>
  </si>
  <si>
    <t xml:space="preserve">2022-11-29</t>
  </si>
  <si>
    <t xml:space="preserve">2022-11-30</t>
  </si>
  <si>
    <t xml:space="preserve">2022-12-01</t>
  </si>
  <si>
    <t xml:space="preserve">2022-12-02</t>
  </si>
  <si>
    <t xml:space="preserve">2022-12-06</t>
  </si>
  <si>
    <t xml:space="preserve">2022-12-07</t>
  </si>
  <si>
    <t xml:space="preserve">2022-12-08</t>
  </si>
  <si>
    <t xml:space="preserve">2022-12-09</t>
  </si>
  <si>
    <t xml:space="preserve">2022-12-13</t>
  </si>
  <si>
    <t xml:space="preserve">2022-12-14</t>
  </si>
  <si>
    <t xml:space="preserve">2022-12-15</t>
  </si>
  <si>
    <t xml:space="preserve">2022-12-16</t>
  </si>
  <si>
    <t xml:space="preserve">2022-12-19</t>
  </si>
  <si>
    <t xml:space="preserve">2022-12-20</t>
  </si>
  <si>
    <t xml:space="preserve">2022-12-21</t>
  </si>
  <si>
    <t xml:space="preserve">2022-12-22</t>
  </si>
  <si>
    <t xml:space="preserve">2022-12-23</t>
  </si>
  <si>
    <t xml:space="preserve">2022-12-26</t>
  </si>
  <si>
    <t xml:space="preserve">2022-12-27</t>
  </si>
  <si>
    <t xml:space="preserve">2022-12-28</t>
  </si>
  <si>
    <t xml:space="preserve">2022-12-29</t>
  </si>
  <si>
    <t xml:space="preserve">2022-12-30</t>
  </si>
  <si>
    <t xml:space="preserve">2023-01-03</t>
  </si>
  <si>
    <t xml:space="preserve">2023-01-04</t>
  </si>
  <si>
    <t xml:space="preserve">2023-01-05</t>
  </si>
  <si>
    <t xml:space="preserve">2023-01-06</t>
  </si>
  <si>
    <t xml:space="preserve">2023-01-09</t>
  </si>
  <si>
    <t xml:space="preserve">2023-01-10</t>
  </si>
  <si>
    <t xml:space="preserve">2023-01-11</t>
  </si>
  <si>
    <t xml:space="preserve">2023-01-12</t>
  </si>
  <si>
    <t xml:space="preserve">2023-01-13</t>
  </si>
  <si>
    <t xml:space="preserve">2023-01-16</t>
  </si>
  <si>
    <t xml:space="preserve">2023-01-17</t>
  </si>
  <si>
    <t xml:space="preserve">2023-01-18</t>
  </si>
  <si>
    <t xml:space="preserve">2023-01-19</t>
  </si>
  <si>
    <t xml:space="preserve">2023-01-20</t>
  </si>
  <si>
    <t xml:space="preserve">2023-01-23</t>
  </si>
  <si>
    <t xml:space="preserve">2023-01-24</t>
  </si>
  <si>
    <t xml:space="preserve">2023-01-25</t>
  </si>
  <si>
    <t xml:space="preserve">2023-01-26</t>
  </si>
  <si>
    <t xml:space="preserve">2023-01-27</t>
  </si>
  <si>
    <t xml:space="preserve">2023-01-30</t>
  </si>
  <si>
    <t xml:space="preserve">2023-01-31</t>
  </si>
  <si>
    <t xml:space="preserve">2023-02-01</t>
  </si>
  <si>
    <t xml:space="preserve">2023-02-02</t>
  </si>
  <si>
    <t xml:space="preserve">2023-02-03</t>
  </si>
  <si>
    <t xml:space="preserve">2023-02-06</t>
  </si>
  <si>
    <t xml:space="preserve">2023-02-07</t>
  </si>
  <si>
    <t xml:space="preserve">2023-02-08</t>
  </si>
  <si>
    <t xml:space="preserve">2023-02-09</t>
  </si>
  <si>
    <t xml:space="preserve">2023-02-10</t>
  </si>
  <si>
    <t xml:space="preserve">2023-02-13</t>
  </si>
  <si>
    <t xml:space="preserve">2023-02-14</t>
  </si>
  <si>
    <t xml:space="preserve">2023-02-15</t>
  </si>
  <si>
    <t xml:space="preserve">2023-02-16</t>
  </si>
  <si>
    <t xml:space="preserve">2023-02-17</t>
  </si>
  <si>
    <t xml:space="preserve">2023-02-20</t>
  </si>
  <si>
    <t xml:space="preserve">2023-02-21</t>
  </si>
  <si>
    <t xml:space="preserve">2023-02-22</t>
  </si>
  <si>
    <t xml:space="preserve">2023-02-23</t>
  </si>
  <si>
    <t xml:space="preserve">2023-02-24</t>
  </si>
  <si>
    <t xml:space="preserve">2023-02-27</t>
  </si>
  <si>
    <t xml:space="preserve">2023-02-28</t>
  </si>
  <si>
    <t xml:space="preserve">2023-03-01</t>
  </si>
  <si>
    <t xml:space="preserve">2023-03-02</t>
  </si>
  <si>
    <t xml:space="preserve">2023-03-03</t>
  </si>
  <si>
    <t xml:space="preserve">2023-03-07</t>
  </si>
  <si>
    <t xml:space="preserve">2023-03-08</t>
  </si>
  <si>
    <t xml:space="preserve">2023-03-09</t>
  </si>
  <si>
    <t xml:space="preserve">2023-03-10</t>
  </si>
  <si>
    <t xml:space="preserve">2023-03-13</t>
  </si>
  <si>
    <t xml:space="preserve">2023-03-14</t>
  </si>
  <si>
    <t xml:space="preserve">2023-03-15</t>
  </si>
  <si>
    <t xml:space="preserve">2023-03-16</t>
  </si>
  <si>
    <t xml:space="preserve">2023-03-17</t>
  </si>
  <si>
    <t xml:space="preserve">2023-03-20</t>
  </si>
  <si>
    <t xml:space="preserve">2023-03-21</t>
  </si>
  <si>
    <t xml:space="preserve">2023-03-22</t>
  </si>
  <si>
    <t xml:space="preserve">2023-03-23</t>
  </si>
  <si>
    <t xml:space="preserve">2023-03-24</t>
  </si>
  <si>
    <t xml:space="preserve">2023-03-27</t>
  </si>
  <si>
    <t xml:space="preserve">2023-03-28</t>
  </si>
  <si>
    <t xml:space="preserve">2023-03-29</t>
  </si>
  <si>
    <t xml:space="preserve">2023-03-30</t>
  </si>
  <si>
    <t xml:space="preserve">2023-03-31</t>
  </si>
  <si>
    <t xml:space="preserve">2023-04-03</t>
  </si>
  <si>
    <t xml:space="preserve">2023-04-04</t>
  </si>
  <si>
    <t xml:space="preserve">2023-04-05</t>
  </si>
  <si>
    <t xml:space="preserve">2023-04-07</t>
  </si>
  <si>
    <t xml:space="preserve">2023-04-10</t>
  </si>
  <si>
    <t xml:space="preserve">2023-04-11</t>
  </si>
  <si>
    <t xml:space="preserve">2023-04-12</t>
  </si>
  <si>
    <t xml:space="preserve">2023-04-17</t>
  </si>
  <si>
    <t xml:space="preserve">2023-04-18</t>
  </si>
  <si>
    <t xml:space="preserve">2023-04-19</t>
  </si>
  <si>
    <t xml:space="preserve">2023-04-20</t>
  </si>
  <si>
    <t xml:space="preserve">2023-04-21</t>
  </si>
  <si>
    <t xml:space="preserve">2023-04-24</t>
  </si>
  <si>
    <t xml:space="preserve">2023-04-25</t>
  </si>
  <si>
    <t xml:space="preserve">2023-04-26</t>
  </si>
  <si>
    <t xml:space="preserve">2023-04-27</t>
  </si>
  <si>
    <t xml:space="preserve">2023-04-28</t>
  </si>
  <si>
    <t xml:space="preserve">2023-05-02</t>
  </si>
  <si>
    <t xml:space="preserve">2023-05-03</t>
  </si>
  <si>
    <t xml:space="preserve">2023-05-08</t>
  </si>
  <si>
    <t xml:space="preserve">2023-05-09</t>
  </si>
  <si>
    <t xml:space="preserve">2023-05-10</t>
  </si>
  <si>
    <t xml:space="preserve">2023-05-11</t>
  </si>
  <si>
    <t xml:space="preserve">2023-05-12</t>
  </si>
  <si>
    <t xml:space="preserve">2023-05-15</t>
  </si>
  <si>
    <t xml:space="preserve">2023-05-16</t>
  </si>
  <si>
    <t xml:space="preserve">2023-05-17</t>
  </si>
  <si>
    <t xml:space="preserve">2023-05-18</t>
  </si>
  <si>
    <t xml:space="preserve">2023-05-19</t>
  </si>
  <si>
    <t xml:space="preserve">2023-05-22</t>
  </si>
  <si>
    <t xml:space="preserve">2023-05-23</t>
  </si>
  <si>
    <t xml:space="preserve">2023-05-24</t>
  </si>
  <si>
    <t xml:space="preserve">2023-05-25</t>
  </si>
  <si>
    <t xml:space="preserve">2023-05-26</t>
  </si>
  <si>
    <t xml:space="preserve">2023-05-29</t>
  </si>
  <si>
    <t xml:space="preserve">2023-05-30</t>
  </si>
  <si>
    <t xml:space="preserve">2023-05-31</t>
  </si>
  <si>
    <t xml:space="preserve">2023-06-01</t>
  </si>
  <si>
    <t xml:space="preserve">2023-06-02</t>
  </si>
  <si>
    <t xml:space="preserve">2023-06-06</t>
  </si>
  <si>
    <t xml:space="preserve">2023-06-07</t>
  </si>
  <si>
    <t xml:space="preserve">2023-06-08</t>
  </si>
  <si>
    <t xml:space="preserve">2023-06-09</t>
  </si>
  <si>
    <t xml:space="preserve">2023-06-12</t>
  </si>
  <si>
    <t xml:space="preserve">2023-06-13</t>
  </si>
  <si>
    <t xml:space="preserve">2023-06-14</t>
  </si>
  <si>
    <t xml:space="preserve">2023-06-15</t>
  </si>
  <si>
    <t xml:space="preserve">2023-06-16</t>
  </si>
  <si>
    <t xml:space="preserve">2023-06-19</t>
  </si>
  <si>
    <t xml:space="preserve">2023-06-20</t>
  </si>
  <si>
    <t xml:space="preserve">2023-06-21</t>
  </si>
  <si>
    <t xml:space="preserve">2023-06-22</t>
  </si>
  <si>
    <t xml:space="preserve">2023-06-23</t>
  </si>
  <si>
    <t xml:space="preserve">2023-06-26</t>
  </si>
  <si>
    <t xml:space="preserve">2023-06-27</t>
  </si>
  <si>
    <t xml:space="preserve">2023-06-28</t>
  </si>
  <si>
    <t xml:space="preserve">2023-06-29</t>
  </si>
  <si>
    <t xml:space="preserve">2023-06-30</t>
  </si>
  <si>
    <t xml:space="preserve">2023-07-03</t>
  </si>
  <si>
    <t xml:space="preserve">2023-07-04</t>
  </si>
  <si>
    <t xml:space="preserve">2023-07-05</t>
  </si>
  <si>
    <t xml:space="preserve">2023-07-06</t>
  </si>
  <si>
    <t xml:space="preserve">2023-07-07</t>
  </si>
  <si>
    <t xml:space="preserve">2023-07-10</t>
  </si>
  <si>
    <t xml:space="preserve">2023-07-11</t>
  </si>
  <si>
    <t xml:space="preserve">2023-07-12</t>
  </si>
  <si>
    <t xml:space="preserve">2023-07-13</t>
  </si>
  <si>
    <t xml:space="preserve">2023-07-14</t>
  </si>
  <si>
    <t xml:space="preserve">2023-07-17</t>
  </si>
  <si>
    <t xml:space="preserve">2023-07-18</t>
  </si>
  <si>
    <t xml:space="preserve">2023-07-19</t>
  </si>
  <si>
    <t xml:space="preserve">2023-07-20</t>
  </si>
  <si>
    <t xml:space="preserve">2023-07-21</t>
  </si>
  <si>
    <t xml:space="preserve">2023-07-24</t>
  </si>
  <si>
    <t xml:space="preserve">2023-07-25</t>
  </si>
  <si>
    <t xml:space="preserve">2023-07-26</t>
  </si>
  <si>
    <t xml:space="preserve">2023-07-27</t>
  </si>
  <si>
    <t xml:space="preserve">2023-07-31</t>
  </si>
  <si>
    <t xml:space="preserve">2023-08-02</t>
  </si>
  <si>
    <t xml:space="preserve">2023-08-03</t>
  </si>
  <si>
    <t xml:space="preserve">2023-08-04</t>
  </si>
  <si>
    <t xml:space="preserve">2023-08-07</t>
  </si>
  <si>
    <t xml:space="preserve">2023-08-08</t>
  </si>
  <si>
    <t xml:space="preserve">2023-08-09</t>
  </si>
  <si>
    <t xml:space="preserve">2023-08-10</t>
  </si>
  <si>
    <t xml:space="preserve">2023-08-11</t>
  </si>
  <si>
    <t xml:space="preserve">2023-08-15</t>
  </si>
  <si>
    <t xml:space="preserve">2023-08-16</t>
  </si>
  <si>
    <t xml:space="preserve">2023-08-17</t>
  </si>
  <si>
    <t xml:space="preserve">2023-08-18</t>
  </si>
  <si>
    <t xml:space="preserve">2023-08-21</t>
  </si>
  <si>
    <t xml:space="preserve">2023-08-22</t>
  </si>
  <si>
    <t xml:space="preserve">2023-08-23</t>
  </si>
  <si>
    <t xml:space="preserve">2023-08-24</t>
  </si>
  <si>
    <t xml:space="preserve">2023-08-25</t>
  </si>
  <si>
    <t xml:space="preserve">2023-08-28</t>
  </si>
  <si>
    <t xml:space="preserve">2023-08-29</t>
  </si>
  <si>
    <t xml:space="preserve">2023-08-30</t>
  </si>
  <si>
    <t xml:space="preserve">2023-08-31</t>
  </si>
  <si>
    <t xml:space="preserve">2023-09-01</t>
  </si>
  <si>
    <t xml:space="preserve">2023-09-04</t>
  </si>
  <si>
    <t xml:space="preserve">2023-09-05</t>
  </si>
  <si>
    <t xml:space="preserve">2023-09-06</t>
  </si>
  <si>
    <t xml:space="preserve">2023-09-07</t>
  </si>
  <si>
    <t xml:space="preserve">2023-09-08</t>
  </si>
  <si>
    <t xml:space="preserve">2023-09-11</t>
  </si>
  <si>
    <t xml:space="preserve">2023-09-12</t>
  </si>
  <si>
    <t xml:space="preserve">2023-09-13</t>
  </si>
  <si>
    <t xml:space="preserve">2023-09-14</t>
  </si>
  <si>
    <t xml:space="preserve">2023-09-15</t>
  </si>
  <si>
    <t xml:space="preserve">2023-09-18</t>
  </si>
  <si>
    <t xml:space="preserve">2023-09-19</t>
  </si>
  <si>
    <t xml:space="preserve">2023-09-20</t>
  </si>
  <si>
    <t xml:space="preserve">2023-09-21</t>
  </si>
  <si>
    <t xml:space="preserve">2023-09-22</t>
  </si>
  <si>
    <t xml:space="preserve">2023-09-25</t>
  </si>
  <si>
    <t xml:space="preserve">2023-09-26</t>
  </si>
  <si>
    <t xml:space="preserve">2023-09-27</t>
  </si>
  <si>
    <t xml:space="preserve">2023-09-28</t>
  </si>
  <si>
    <t xml:space="preserve">2023-09-29</t>
  </si>
  <si>
    <t xml:space="preserve">2023-10-02</t>
  </si>
  <si>
    <t xml:space="preserve">2023-10-03</t>
  </si>
  <si>
    <t xml:space="preserve">2023-10-04</t>
  </si>
  <si>
    <t xml:space="preserve">2023-10-05</t>
  </si>
  <si>
    <t xml:space="preserve">2023-10-06</t>
  </si>
  <si>
    <t xml:space="preserve">2023-10-09</t>
  </si>
  <si>
    <t xml:space="preserve">2023-10-10</t>
  </si>
  <si>
    <t xml:space="preserve">2023-10-11</t>
  </si>
  <si>
    <t xml:space="preserve">2023-10-12</t>
  </si>
  <si>
    <t xml:space="preserve">2023-10-16</t>
  </si>
  <si>
    <t xml:space="preserve">2023-10-17</t>
  </si>
  <si>
    <t xml:space="preserve">2023-10-18</t>
  </si>
  <si>
    <t xml:space="preserve">2023-10-19</t>
  </si>
  <si>
    <t xml:space="preserve">2023-10-20</t>
  </si>
  <si>
    <t xml:space="preserve">2023-10-24</t>
  </si>
  <si>
    <t xml:space="preserve">2023-10-25</t>
  </si>
  <si>
    <t xml:space="preserve">2023-10-26</t>
  </si>
  <si>
    <t xml:space="preserve">2023-10-27</t>
  </si>
  <si>
    <t xml:space="preserve">2023-10-30</t>
  </si>
  <si>
    <t xml:space="preserve">2023-10-31</t>
  </si>
  <si>
    <t xml:space="preserve">2023-11-01</t>
  </si>
  <si>
    <t xml:space="preserve">2023-11-02</t>
  </si>
  <si>
    <t xml:space="preserve">2023-11-03</t>
  </si>
  <si>
    <t xml:space="preserve">2023-11-06</t>
  </si>
  <si>
    <t xml:space="preserve">2023-11-07</t>
  </si>
  <si>
    <t xml:space="preserve">2023-11-08</t>
  </si>
  <si>
    <t xml:space="preserve">2023-11-09</t>
  </si>
  <si>
    <t xml:space="preserve">2023-11-10</t>
  </si>
  <si>
    <t xml:space="preserve">2023-11-13</t>
  </si>
  <si>
    <t xml:space="preserve">2023-11-14</t>
  </si>
  <si>
    <t xml:space="preserve">2023-11-15</t>
  </si>
  <si>
    <t xml:space="preserve">2023-11-16</t>
  </si>
  <si>
    <t xml:space="preserve">2023-11-17</t>
  </si>
  <si>
    <t xml:space="preserve">2023-11-20</t>
  </si>
  <si>
    <t xml:space="preserve">2023-11-21</t>
  </si>
  <si>
    <t xml:space="preserve">2023-11-22</t>
  </si>
  <si>
    <t xml:space="preserve">2023-11-23</t>
  </si>
  <si>
    <t xml:space="preserve">2023-11-24</t>
  </si>
  <si>
    <t xml:space="preserve">2023-11-27</t>
  </si>
  <si>
    <t xml:space="preserve">2023-11-28</t>
  </si>
  <si>
    <t xml:space="preserve">2023-11-29</t>
  </si>
  <si>
    <t xml:space="preserve">2023-11-30</t>
  </si>
  <si>
    <t xml:space="preserve">2023-12-01</t>
  </si>
  <si>
    <t xml:space="preserve">2023-12-04</t>
  </si>
  <si>
    <t xml:space="preserve">2023-12-06</t>
  </si>
  <si>
    <t xml:space="preserve">2023-12-07</t>
  </si>
  <si>
    <t xml:space="preserve">2023-12-08</t>
  </si>
  <si>
    <t xml:space="preserve">2023-12-12</t>
  </si>
  <si>
    <t xml:space="preserve">2023-12-13</t>
  </si>
  <si>
    <t xml:space="preserve">2023-12-14</t>
  </si>
  <si>
    <t xml:space="preserve">2023-12-15</t>
  </si>
  <si>
    <t xml:space="preserve">2023-12-18</t>
  </si>
  <si>
    <t xml:space="preserve">2023-12-19</t>
  </si>
  <si>
    <t xml:space="preserve">2023-12-20</t>
  </si>
  <si>
    <t xml:space="preserve">2023-12-21</t>
  </si>
  <si>
    <t xml:space="preserve">2023-12-22</t>
  </si>
  <si>
    <t xml:space="preserve">2023-12-25</t>
  </si>
  <si>
    <t xml:space="preserve">2023-12-26</t>
  </si>
  <si>
    <t xml:space="preserve">2023-12-27</t>
  </si>
  <si>
    <t xml:space="preserve">2023-12-28</t>
  </si>
  <si>
    <t xml:space="preserve">2024-01-02</t>
  </si>
  <si>
    <t xml:space="preserve">2024-01-03</t>
  </si>
  <si>
    <t xml:space="preserve">2024-01-04</t>
  </si>
  <si>
    <t xml:space="preserve">2024-01-05</t>
  </si>
  <si>
    <t xml:space="preserve">2024-01-08</t>
  </si>
  <si>
    <t xml:space="preserve">2024-01-09</t>
  </si>
  <si>
    <t xml:space="preserve">2024-01-10</t>
  </si>
  <si>
    <t xml:space="preserve">2024-01-11</t>
  </si>
  <si>
    <t xml:space="preserve">2024-01-12</t>
  </si>
  <si>
    <t xml:space="preserve">2024-01-15</t>
  </si>
  <si>
    <t xml:space="preserve">2024-01-16</t>
  </si>
  <si>
    <t xml:space="preserve">2024-01-17</t>
  </si>
  <si>
    <t xml:space="preserve">2024-01-18</t>
  </si>
  <si>
    <t xml:space="preserve">2024-01-19</t>
  </si>
  <si>
    <t xml:space="preserve">2024-01-22</t>
  </si>
  <si>
    <t xml:space="preserve">2024-01-23</t>
  </si>
  <si>
    <t xml:space="preserve">2024-01-24</t>
  </si>
  <si>
    <t xml:space="preserve">2024-01-25</t>
  </si>
  <si>
    <t xml:space="preserve">2024-01-26</t>
  </si>
  <si>
    <t xml:space="preserve">2024-01-29</t>
  </si>
  <si>
    <t xml:space="preserve">2024-01-30</t>
  </si>
  <si>
    <t xml:space="preserve">2024-01-31</t>
  </si>
  <si>
    <t xml:space="preserve">2024-02-01</t>
  </si>
  <si>
    <t xml:space="preserve">2024-02-02</t>
  </si>
  <si>
    <t xml:space="preserve">2024-02-05</t>
  </si>
  <si>
    <t xml:space="preserve">2024-02-06</t>
  </si>
  <si>
    <t xml:space="preserve">2024-02-07</t>
  </si>
  <si>
    <t xml:space="preserve">2024-02-08</t>
  </si>
  <si>
    <t xml:space="preserve">2024-02-09</t>
  </si>
  <si>
    <t xml:space="preserve">2024-02-12</t>
  </si>
  <si>
    <t xml:space="preserve">2024-02-13</t>
  </si>
  <si>
    <t xml:space="preserve">2024-02-14</t>
  </si>
  <si>
    <t xml:space="preserve">2024-02-15</t>
  </si>
  <si>
    <t xml:space="preserve">2024-02-16</t>
  </si>
  <si>
    <t xml:space="preserve">2024-02-19</t>
  </si>
  <si>
    <t xml:space="preserve">2024-02-20</t>
  </si>
  <si>
    <t xml:space="preserve">2024-02-21</t>
  </si>
  <si>
    <t xml:space="preserve">2024-02-22</t>
  </si>
  <si>
    <t xml:space="preserve">2024-02-23</t>
  </si>
  <si>
    <t xml:space="preserve">2024-02-27</t>
  </si>
  <si>
    <t xml:space="preserve">2024-02-28</t>
  </si>
  <si>
    <t xml:space="preserve">2024-02-29</t>
  </si>
  <si>
    <t xml:space="preserve">2024-03-01</t>
  </si>
  <si>
    <t xml:space="preserve">2024-03-04</t>
  </si>
  <si>
    <t xml:space="preserve">2024-03-05</t>
  </si>
  <si>
    <t xml:space="preserve">2024-03-06</t>
  </si>
  <si>
    <t xml:space="preserve">2024-03-07</t>
  </si>
  <si>
    <t xml:space="preserve">2024-03-08</t>
  </si>
  <si>
    <t xml:space="preserve">2024-03-11</t>
  </si>
  <si>
    <t xml:space="preserve">2024-03-12</t>
  </si>
  <si>
    <t xml:space="preserve">2024-03-13</t>
  </si>
  <si>
    <t xml:space="preserve">2024-03-14</t>
  </si>
  <si>
    <t xml:space="preserve">2024-03-15</t>
  </si>
  <si>
    <t xml:space="preserve">2024-03-18</t>
  </si>
  <si>
    <t xml:space="preserve">2024-03-19</t>
  </si>
  <si>
    <t xml:space="preserve">2024-03-20</t>
  </si>
  <si>
    <t xml:space="preserve">2024-03-21</t>
  </si>
  <si>
    <t xml:space="preserve">2024-03-22</t>
  </si>
  <si>
    <t xml:space="preserve">2024-03-25</t>
  </si>
  <si>
    <t xml:space="preserve">2024-03-26</t>
  </si>
  <si>
    <t xml:space="preserve">2024-03-27</t>
  </si>
  <si>
    <t xml:space="preserve">2024-03-28</t>
  </si>
  <si>
    <t xml:space="preserve">2024-03-29</t>
  </si>
  <si>
    <t xml:space="preserve">2024-04-01</t>
  </si>
  <si>
    <t xml:space="preserve">2024-04-02</t>
  </si>
  <si>
    <t xml:space="preserve">2024-04-03</t>
  </si>
  <si>
    <t xml:space="preserve">2024-04-04</t>
  </si>
  <si>
    <t xml:space="preserve">2024-04-05</t>
  </si>
  <si>
    <t xml:space="preserve">2024-04-09</t>
  </si>
  <si>
    <t xml:space="preserve">2024-04-10</t>
  </si>
  <si>
    <t xml:space="preserve">2024-04-11</t>
  </si>
  <si>
    <t xml:space="preserve">2024-04-17</t>
  </si>
  <si>
    <t xml:space="preserve">2024-04-18</t>
  </si>
  <si>
    <t xml:space="preserve">2024-04-19</t>
  </si>
  <si>
    <t xml:space="preserve">2024-04-22</t>
  </si>
  <si>
    <t xml:space="preserve">2024-04-23</t>
  </si>
  <si>
    <t xml:space="preserve">2024-04-24</t>
  </si>
  <si>
    <t xml:space="preserve">2024-04-25</t>
  </si>
  <si>
    <t xml:space="preserve">2024-04-26</t>
  </si>
  <si>
    <t xml:space="preserve">2024-04-29</t>
  </si>
  <si>
    <t xml:space="preserve">2024-04-30</t>
  </si>
  <si>
    <t xml:space="preserve">2024-05-02</t>
  </si>
  <si>
    <t xml:space="preserve">2024-05-03</t>
  </si>
  <si>
    <t xml:space="preserve">2024-05-07</t>
  </si>
  <si>
    <t xml:space="preserve">2024-05-08</t>
  </si>
  <si>
    <t xml:space="preserve">2024-05-09</t>
  </si>
  <si>
    <t xml:space="preserve">2024-05-10</t>
  </si>
  <si>
    <t xml:space="preserve">2024-05-13</t>
  </si>
  <si>
    <t xml:space="preserve">2024-05-14</t>
  </si>
  <si>
    <t xml:space="preserve">2024-05-15</t>
  </si>
  <si>
    <t xml:space="preserve">2024-05-16</t>
  </si>
  <si>
    <t xml:space="preserve">2024-05-17</t>
  </si>
  <si>
    <t xml:space="preserve">2024-05-20</t>
  </si>
  <si>
    <t xml:space="preserve">2024-05-21</t>
  </si>
  <si>
    <t xml:space="preserve">2024-05-23</t>
  </si>
  <si>
    <t xml:space="preserve">2024-05-24</t>
  </si>
  <si>
    <t xml:space="preserve">2024-05-27</t>
  </si>
  <si>
    <t xml:space="preserve">2024-05-28</t>
  </si>
  <si>
    <t xml:space="preserve">2024-05-29</t>
  </si>
  <si>
    <t xml:space="preserve">2024-05-30</t>
  </si>
  <si>
    <t xml:space="preserve">2024-05-31</t>
  </si>
  <si>
    <t xml:space="preserve">2024-06-04</t>
  </si>
  <si>
    <t xml:space="preserve">2024-06-05</t>
  </si>
  <si>
    <t xml:space="preserve">2024-06-06</t>
  </si>
  <si>
    <t xml:space="preserve">2024-06-07</t>
  </si>
  <si>
    <t xml:space="preserve">2024-06-10</t>
  </si>
  <si>
    <t xml:space="preserve">2024-06-11</t>
  </si>
  <si>
    <t xml:space="preserve">2024-06-12</t>
  </si>
  <si>
    <t xml:space="preserve">2024-06-13</t>
  </si>
  <si>
    <t xml:space="preserve">2024-06-14</t>
  </si>
  <si>
    <t xml:space="preserve">2024-06-17</t>
  </si>
  <si>
    <t xml:space="preserve">2024-06-18</t>
  </si>
  <si>
    <t xml:space="preserve">2024-06-19</t>
  </si>
  <si>
    <t xml:space="preserve">2024-06-20</t>
  </si>
  <si>
    <t xml:space="preserve">2024-06-21</t>
  </si>
  <si>
    <t xml:space="preserve">2024-06-24</t>
  </si>
  <si>
    <t xml:space="preserve">2024-06-25</t>
  </si>
  <si>
    <t xml:space="preserve">2024-06-26</t>
  </si>
  <si>
    <t xml:space="preserve">2024-11-15</t>
  </si>
  <si>
    <t xml:space="preserve">2024-11-18</t>
  </si>
  <si>
    <t xml:space="preserve">2024-11-19</t>
  </si>
  <si>
    <t xml:space="preserve">2024-11-20</t>
  </si>
  <si>
    <t xml:space="preserve">2024-11-21</t>
  </si>
  <si>
    <t xml:space="preserve">2024-11-22</t>
  </si>
  <si>
    <t xml:space="preserve">2024-11-25</t>
  </si>
  <si>
    <t xml:space="preserve">2024-11-26</t>
  </si>
  <si>
    <t xml:space="preserve">2024-11-27</t>
  </si>
  <si>
    <t xml:space="preserve">2024-11-28</t>
  </si>
  <si>
    <t xml:space="preserve">2024-11-29</t>
  </si>
  <si>
    <t xml:space="preserve">2024-12-02</t>
  </si>
  <si>
    <t xml:space="preserve">2024-12-03</t>
  </si>
  <si>
    <t xml:space="preserve">2024-12-04</t>
  </si>
  <si>
    <t xml:space="preserve">2024-12-06</t>
  </si>
  <si>
    <t xml:space="preserve">2024-12-09</t>
  </si>
  <si>
    <t xml:space="preserve">2024-12-11</t>
  </si>
  <si>
    <t xml:space="preserve">2024-12-12</t>
  </si>
  <si>
    <t xml:space="preserve">2024-12-13</t>
  </si>
  <si>
    <t xml:space="preserve">2024-12-16</t>
  </si>
  <si>
    <t xml:space="preserve">2024-12-17</t>
  </si>
  <si>
    <t xml:space="preserve">2024-12-18</t>
  </si>
  <si>
    <t xml:space="preserve">2024-12-19</t>
  </si>
  <si>
    <t xml:space="preserve">2024-12-20</t>
  </si>
  <si>
    <t xml:space="preserve">2024-12-23</t>
  </si>
  <si>
    <t xml:space="preserve">2024-12-24</t>
  </si>
  <si>
    <t xml:space="preserve">2024-12-25</t>
  </si>
  <si>
    <t xml:space="preserve">2024-12-26</t>
  </si>
  <si>
    <t xml:space="preserve">2024-12-27</t>
  </si>
  <si>
    <t xml:space="preserve">2024-12-30</t>
  </si>
  <si>
    <t xml:space="preserve">2025-01-02</t>
  </si>
  <si>
    <t xml:space="preserve">2025-01-03</t>
  </si>
  <si>
    <t xml:space="preserve">2025-01-06</t>
  </si>
  <si>
    <t xml:space="preserve">2025-01-07</t>
  </si>
  <si>
    <t xml:space="preserve">2025-01-08</t>
  </si>
  <si>
    <t xml:space="preserve">2025-01-09</t>
  </si>
  <si>
    <t xml:space="preserve">2025-01-10</t>
  </si>
  <si>
    <t xml:space="preserve">2025-01-13</t>
  </si>
  <si>
    <t xml:space="preserve">2025-01-14</t>
  </si>
  <si>
    <t xml:space="preserve">2025-01-15</t>
  </si>
  <si>
    <t xml:space="preserve">2025-01-16</t>
  </si>
  <si>
    <t xml:space="preserve">2025-01-17</t>
  </si>
  <si>
    <t xml:space="preserve">2025-01-20</t>
  </si>
  <si>
    <t xml:space="preserve">2025-01-21</t>
  </si>
  <si>
    <t xml:space="preserve">2025-01-22</t>
  </si>
  <si>
    <t xml:space="preserve">2025-01-23</t>
  </si>
  <si>
    <t xml:space="preserve">2025-01-24</t>
  </si>
  <si>
    <t xml:space="preserve">2025-01-27</t>
  </si>
  <si>
    <t xml:space="preserve">2025-01-28</t>
  </si>
  <si>
    <t xml:space="preserve">2025-01-29</t>
  </si>
  <si>
    <t xml:space="preserve">2025-01-30</t>
  </si>
  <si>
    <t xml:space="preserve">2025-01-31</t>
  </si>
  <si>
    <t xml:space="preserve">2025-02-03</t>
  </si>
  <si>
    <t xml:space="preserve">2025-02-04</t>
  </si>
  <si>
    <t xml:space="preserve">2025-02-05</t>
  </si>
  <si>
    <t xml:space="preserve">2025-02-06</t>
  </si>
  <si>
    <t xml:space="preserve">2025-02-07</t>
  </si>
  <si>
    <t xml:space="preserve">2025-02-10</t>
  </si>
  <si>
    <t xml:space="preserve">2025-02-11</t>
  </si>
  <si>
    <t xml:space="preserve">2025-02-13</t>
  </si>
  <si>
    <t xml:space="preserve">2025-02-14</t>
  </si>
  <si>
    <t xml:space="preserve">2025-02-17</t>
  </si>
  <si>
    <t xml:space="preserve">2025-02-18</t>
  </si>
  <si>
    <t xml:space="preserve">2025-02-19</t>
  </si>
  <si>
    <t xml:space="preserve">2025-02-20</t>
  </si>
  <si>
    <t xml:space="preserve">2025-02-21</t>
  </si>
  <si>
    <t xml:space="preserve">2025-02-24</t>
  </si>
  <si>
    <t xml:space="preserve">2025-02-25</t>
  </si>
  <si>
    <t xml:space="preserve">2025-02-26</t>
  </si>
  <si>
    <t xml:space="preserve">2025-02-27</t>
  </si>
  <si>
    <t xml:space="preserve">2025-02-28</t>
  </si>
  <si>
    <t xml:space="preserve">2025-03-03</t>
  </si>
  <si>
    <t xml:space="preserve">2025-03-04</t>
  </si>
  <si>
    <t xml:space="preserve">2025-03-05</t>
  </si>
  <si>
    <t xml:space="preserve">2025-03-06</t>
  </si>
  <si>
    <t xml:space="preserve">2025-03-07</t>
  </si>
  <si>
    <t xml:space="preserve">2025-03-10</t>
  </si>
  <si>
    <t xml:space="preserve">2025-03-11</t>
  </si>
  <si>
    <t xml:space="preserve">2025-03-12</t>
  </si>
  <si>
    <t xml:space="preserve">2025-03-13</t>
  </si>
  <si>
    <t xml:space="preserve">2025-03-14</t>
  </si>
  <si>
    <t xml:space="preserve">2025-03-17</t>
  </si>
  <si>
    <t xml:space="preserve">2025-03-18</t>
  </si>
  <si>
    <t xml:space="preserve">2025-03-19</t>
  </si>
  <si>
    <t xml:space="preserve">2025-03-20</t>
  </si>
  <si>
    <t xml:space="preserve">2025-03-21</t>
  </si>
  <si>
    <t xml:space="preserve">2025-03-24</t>
  </si>
  <si>
    <t xml:space="preserve">2025-03-25</t>
  </si>
  <si>
    <t xml:space="preserve">2025-03-26</t>
  </si>
  <si>
    <t xml:space="preserve">2025-03-27</t>
  </si>
  <si>
    <t xml:space="preserve">2025-03-31</t>
  </si>
  <si>
    <t xml:space="preserve">2025-04-01</t>
  </si>
  <si>
    <t xml:space="preserve">2025-04-02</t>
  </si>
  <si>
    <t xml:space="preserve">2025-04-03</t>
  </si>
  <si>
    <t xml:space="preserve">2025-04-04</t>
  </si>
  <si>
    <t xml:space="preserve">2025-04-08</t>
  </si>
  <si>
    <t xml:space="preserve">2025-04-09</t>
  </si>
  <si>
    <t xml:space="preserve">2025-04-10</t>
  </si>
  <si>
    <t xml:space="preserve">2025-04-11</t>
  </si>
  <si>
    <t xml:space="preserve">2025-04-16</t>
  </si>
  <si>
    <t xml:space="preserve">2025-04-17</t>
  </si>
  <si>
    <t xml:space="preserve">2025-04-18</t>
  </si>
  <si>
    <t xml:space="preserve">2025-04-21</t>
  </si>
  <si>
    <t xml:space="preserve">2025-04-22</t>
  </si>
  <si>
    <t xml:space="preserve">2025-04-23</t>
  </si>
  <si>
    <t xml:space="preserve">2025-04-24</t>
  </si>
  <si>
    <t xml:space="preserve">2025-04-25</t>
  </si>
  <si>
    <t xml:space="preserve">2025-04-28</t>
  </si>
  <si>
    <t xml:space="preserve">2025-04-29</t>
  </si>
  <si>
    <t xml:space="preserve">2025-04-30</t>
  </si>
  <si>
    <t xml:space="preserve">2025-05-02</t>
  </si>
  <si>
    <t xml:space="preserve">2025-05-06</t>
  </si>
  <si>
    <t xml:space="preserve">2025-05-07</t>
  </si>
  <si>
    <t xml:space="preserve">2025-05-08</t>
  </si>
  <si>
    <t xml:space="preserve">2025-05-09</t>
  </si>
  <si>
    <t xml:space="preserve">2025-05-13</t>
  </si>
  <si>
    <t xml:space="preserve">2025-05-14</t>
  </si>
  <si>
    <t xml:space="preserve">2025-05-15</t>
  </si>
  <si>
    <t xml:space="preserve">2025-05-16</t>
  </si>
  <si>
    <t xml:space="preserve">2025-05-19</t>
  </si>
  <si>
    <t xml:space="preserve">2025-05-20</t>
  </si>
  <si>
    <t xml:space="preserve">2025-05-21</t>
  </si>
  <si>
    <t xml:space="preserve">2025-05-22</t>
  </si>
  <si>
    <t xml:space="preserve">2025-05-23</t>
  </si>
  <si>
    <t xml:space="preserve">2025-05-26</t>
  </si>
  <si>
    <t xml:space="preserve">2025-05-27</t>
  </si>
  <si>
    <t xml:space="preserve">2025-05-28</t>
  </si>
  <si>
    <t xml:space="preserve">2025-05-29</t>
  </si>
  <si>
    <t xml:space="preserve">2025-05-30</t>
  </si>
  <si>
    <t xml:space="preserve">2025-06-04</t>
  </si>
  <si>
    <t xml:space="preserve">2025-06-05</t>
  </si>
  <si>
    <t xml:space="preserve">2025-06-06</t>
  </si>
  <si>
    <t xml:space="preserve">2025-06-09</t>
  </si>
  <si>
    <t xml:space="preserve">2025-06-10</t>
  </si>
  <si>
    <t xml:space="preserve">2025-06-11</t>
  </si>
  <si>
    <t xml:space="preserve">2025-06-12</t>
  </si>
  <si>
    <t xml:space="preserve">2025-06-13</t>
  </si>
  <si>
    <t xml:space="preserve">2025-06-16</t>
  </si>
  <si>
    <t xml:space="preserve">2025-06-17</t>
  </si>
  <si>
    <t xml:space="preserve">2025-06-18</t>
  </si>
  <si>
    <t xml:space="preserve">2025-06-19</t>
  </si>
  <si>
    <t xml:space="preserve">2025-06-20</t>
  </si>
  <si>
    <t xml:space="preserve">2025-06-23</t>
  </si>
  <si>
    <t xml:space="preserve">2025-06-24</t>
  </si>
  <si>
    <t xml:space="preserve">2025-06-25</t>
  </si>
  <si>
    <t xml:space="preserve">2025-06-26</t>
  </si>
  <si>
    <t xml:space="preserve">2025-06-27</t>
  </si>
  <si>
    <t xml:space="preserve">2025-06-30</t>
  </si>
  <si>
    <t xml:space="preserve">2025-07-01</t>
  </si>
  <si>
    <t xml:space="preserve">2025-07-02</t>
  </si>
  <si>
    <t xml:space="preserve">2025-07-03</t>
  </si>
  <si>
    <t xml:space="preserve">2025-07-04</t>
  </si>
  <si>
    <t xml:space="preserve">2025-07-07</t>
  </si>
  <si>
    <t xml:space="preserve">2025-07-08</t>
  </si>
  <si>
    <t xml:space="preserve">2025-07-09</t>
  </si>
  <si>
    <t xml:space="preserve">2025-07-11</t>
  </si>
  <si>
    <t xml:space="preserve">2025-07-14</t>
  </si>
  <si>
    <t xml:space="preserve">2025-07-15</t>
  </si>
  <si>
    <t xml:space="preserve">2025-07-16</t>
  </si>
  <si>
    <t xml:space="preserve">2025-07-17</t>
  </si>
  <si>
    <t xml:space="preserve">2025-07-18</t>
  </si>
  <si>
    <t xml:space="preserve">2025-07-21</t>
  </si>
  <si>
    <t xml:space="preserve">2025-07-22</t>
  </si>
  <si>
    <t xml:space="preserve">2025-07-23</t>
  </si>
  <si>
    <t xml:space="preserve">2025-07-24</t>
  </si>
  <si>
    <t xml:space="preserve">2025-07-25</t>
  </si>
  <si>
    <t xml:space="preserve">2025-07-29</t>
  </si>
  <si>
    <t xml:space="preserve">2025-07-30</t>
  </si>
  <si>
    <t xml:space="preserve">2025-07-31</t>
  </si>
  <si>
    <t xml:space="preserve">2025-08-01</t>
  </si>
  <si>
    <t xml:space="preserve">2025-08-04</t>
  </si>
  <si>
    <t xml:space="preserve">2025-08-05</t>
  </si>
  <si>
    <t xml:space="preserve">2025-08-06</t>
  </si>
  <si>
    <t xml:space="preserve">2025-08-07</t>
  </si>
  <si>
    <t xml:space="preserve">2025-08-08</t>
  </si>
  <si>
    <t xml:space="preserve">2025-08-13</t>
  </si>
  <si>
    <t xml:space="preserve">2025-08-14</t>
  </si>
  <si>
    <t xml:space="preserve">2025-08-15</t>
  </si>
  <si>
    <t xml:space="preserve">2025-08-18</t>
  </si>
  <si>
    <t xml:space="preserve">2025-08-19</t>
  </si>
  <si>
    <t xml:space="preserve">2025-08-20</t>
  </si>
  <si>
    <t xml:space="preserve">2025-08-21</t>
  </si>
  <si>
    <t xml:space="preserve">2025-08-22</t>
  </si>
  <si>
    <t xml:space="preserve">2025-08-25</t>
  </si>
  <si>
    <t xml:space="preserve">2025-08-26</t>
  </si>
  <si>
    <t xml:space="preserve">2025-08-27</t>
  </si>
  <si>
    <t xml:space="preserve">2025-08-28</t>
  </si>
  <si>
    <t xml:space="preserve">2025-08-29</t>
  </si>
  <si>
    <t xml:space="preserve">2025-09-01</t>
  </si>
  <si>
    <t xml:space="preserve">2025-09-02</t>
  </si>
  <si>
    <t xml:space="preserve">2025-09-03</t>
  </si>
  <si>
    <t xml:space="preserve">2025-09-04</t>
  </si>
  <si>
    <t xml:space="preserve">2025-09-05</t>
  </si>
  <si>
    <t xml:space="preserve">2025-09-08</t>
  </si>
  <si>
    <t xml:space="preserve">2025-09-09</t>
  </si>
  <si>
    <t xml:space="preserve">2025-09-10</t>
  </si>
  <si>
    <t xml:space="preserve">2025-09-11</t>
  </si>
  <si>
    <t xml:space="preserve">2025-09-12</t>
  </si>
  <si>
    <t xml:space="preserve">2025-09-15</t>
  </si>
  <si>
    <t xml:space="preserve">2025-09-16</t>
  </si>
  <si>
    <t xml:space="preserve">2025-09-17</t>
  </si>
  <si>
    <t xml:space="preserve">2025-09-18</t>
  </si>
  <si>
    <t xml:space="preserve">2025-09-19</t>
  </si>
  <si>
    <t xml:space="preserve">2025-09-22</t>
  </si>
  <si>
    <t xml:space="preserve">2025-09-23</t>
  </si>
  <si>
    <t xml:space="preserve">2025-09-24</t>
  </si>
  <si>
    <t xml:space="preserve">2025-09-25</t>
  </si>
  <si>
    <t xml:space="preserve">2025-09-26</t>
  </si>
  <si>
    <t xml:space="preserve">2025-09-29</t>
  </si>
  <si>
    <t xml:space="preserve">2025-09-30</t>
  </si>
  <si>
    <t xml:space="preserve">2025-10-01</t>
  </si>
  <si>
    <t xml:space="preserve">2025-10-02</t>
  </si>
  <si>
    <t xml:space="preserve">2025-10-03</t>
  </si>
  <si>
    <t xml:space="preserve">2025-10-06</t>
  </si>
  <si>
    <t xml:space="preserve">2025-10-07</t>
  </si>
  <si>
    <t xml:space="preserve">2025-10-08</t>
  </si>
  <si>
    <t xml:space="preserve">2025-10-09</t>
  </si>
  <si>
    <t xml:space="preserve">2025-10-10</t>
  </si>
  <si>
    <t xml:space="preserve">2025-10-14</t>
  </si>
  <si>
    <t xml:space="preserve">2025-10-15</t>
  </si>
  <si>
    <t xml:space="preserve">2025-10-16</t>
  </si>
  <si>
    <t xml:space="preserve">2025-10-17</t>
  </si>
  <si>
    <t xml:space="preserve">2025-10-20</t>
  </si>
  <si>
    <t xml:space="preserve">2025-10-21</t>
  </si>
  <si>
    <t xml:space="preserve">2025-10-22</t>
  </si>
  <si>
    <t xml:space="preserve">2025-10-24</t>
  </si>
  <si>
    <t xml:space="preserve">2025-10-27</t>
  </si>
  <si>
    <t xml:space="preserve">2025-10-28</t>
  </si>
  <si>
    <t xml:space="preserve">2025-10-29</t>
  </si>
  <si>
    <t xml:space="preserve">2025-10-30</t>
  </si>
  <si>
    <t xml:space="preserve">2025-10-31</t>
  </si>
  <si>
    <t xml:space="preserve">2025-11-03</t>
  </si>
  <si>
    <t xml:space="preserve">2025-11-04</t>
  </si>
  <si>
    <t xml:space="preserve">2025-11-05</t>
  </si>
  <si>
    <t xml:space="preserve">2025-11-06</t>
  </si>
  <si>
    <t xml:space="preserve">2025-11-07</t>
  </si>
  <si>
    <t xml:space="preserve">2025-11-10</t>
  </si>
  <si>
    <t xml:space="preserve">2025-11-11</t>
  </si>
  <si>
    <t xml:space="preserve">2025-11-12</t>
  </si>
  <si>
    <t xml:space="preserve">2025-11-13</t>
  </si>
  <si>
    <t xml:space="preserve">2025-11-14</t>
  </si>
  <si>
    <t xml:space="preserve">2025-11-17</t>
  </si>
  <si>
    <t xml:space="preserve">2025-11-18</t>
  </si>
  <si>
    <t xml:space="preserve">2025-11-19</t>
  </si>
  <si>
    <t xml:space="preserve">2025-11-20</t>
  </si>
  <si>
    <t xml:space="preserve">2025-11-21</t>
  </si>
  <si>
    <t xml:space="preserve">2025-11-24</t>
  </si>
  <si>
    <t xml:space="preserve">2025-11-25</t>
  </si>
  <si>
    <t xml:space="preserve">2025-11-26</t>
  </si>
  <si>
    <t xml:space="preserve">2025-11-27</t>
  </si>
  <si>
    <t xml:space="preserve">2025-11-28</t>
  </si>
  <si>
    <t xml:space="preserve">2025-12-01</t>
  </si>
  <si>
    <t xml:space="preserve">2025-12-02</t>
  </si>
  <si>
    <t xml:space="preserve">2025-12-03</t>
  </si>
  <si>
    <t xml:space="preserve">2025-12-04</t>
  </si>
  <si>
    <t xml:space="preserve">2025-12-08</t>
  </si>
  <si>
    <t xml:space="preserve">2025-12-09</t>
  </si>
  <si>
    <t xml:space="preserve">2025-12-11</t>
  </si>
  <si>
    <t xml:space="preserve">2025-12-12</t>
  </si>
  <si>
    <t xml:space="preserve">2025-12-15</t>
  </si>
  <si>
    <t xml:space="preserve">2025-12-16</t>
  </si>
  <si>
    <t xml:space="preserve">2025-12-17</t>
  </si>
  <si>
    <t xml:space="preserve">2025-12-18</t>
  </si>
  <si>
    <t xml:space="preserve">2025-12-19</t>
  </si>
  <si>
    <t xml:space="preserve">2025-12-22</t>
  </si>
  <si>
    <t xml:space="preserve">2025-12-23</t>
  </si>
  <si>
    <t xml:space="preserve">2025-12-24</t>
  </si>
  <si>
    <t xml:space="preserve">2025-12-25</t>
  </si>
  <si>
    <t xml:space="preserve">2025-12-26</t>
  </si>
  <si>
    <t xml:space="preserve">2025-12-29</t>
  </si>
  <si>
    <t xml:space="preserve">2025-12-30</t>
  </si>
  <si>
    <t xml:space="preserve">2026-01-05</t>
  </si>
  <si>
    <t xml:space="preserve">2026-01-06</t>
  </si>
  <si>
    <t xml:space="preserve">2026-01-07</t>
  </si>
  <si>
    <t xml:space="preserve">2026-01-08</t>
  </si>
  <si>
    <t xml:space="preserve">2026-01-09</t>
  </si>
  <si>
    <t xml:space="preserve">2026-01-12</t>
  </si>
  <si>
    <t xml:space="preserve">2026-01-13</t>
  </si>
  <si>
    <t xml:space="preserve">2026-01-14</t>
  </si>
  <si>
    <t xml:space="preserve">2026-01-15</t>
  </si>
  <si>
    <t xml:space="preserve">2026-01-16</t>
  </si>
  <si>
    <t xml:space="preserve">2026-01-19</t>
  </si>
  <si>
    <t xml:space="preserve">2026-01-20</t>
  </si>
  <si>
    <t xml:space="preserve">2026-01-21</t>
  </si>
  <si>
    <t xml:space="preserve">2026-01-22</t>
  </si>
  <si>
    <t xml:space="preserve">2026-01-23</t>
  </si>
  <si>
    <t xml:space="preserve">2026-01-26</t>
  </si>
  <si>
    <t xml:space="preserve">2026-01-27</t>
  </si>
  <si>
    <t xml:space="preserve">2026-01-28</t>
  </si>
  <si>
    <t xml:space="preserve">2026-01-29</t>
  </si>
  <si>
    <t xml:space="preserve">2026-01-30</t>
  </si>
  <si>
    <t xml:space="preserve">2026-02-02</t>
  </si>
  <si>
    <t xml:space="preserve">2026-02-03</t>
  </si>
  <si>
    <t xml:space="preserve">2026-02-04</t>
  </si>
  <si>
    <t xml:space="preserve">2026-02-05</t>
  </si>
  <si>
    <t xml:space="preserve">2026-02-06</t>
  </si>
  <si>
    <t xml:space="preserve">2026-02-09</t>
  </si>
  <si>
    <t xml:space="preserve">2026-02-10</t>
  </si>
  <si>
    <t xml:space="preserve">2026-02-11</t>
  </si>
  <si>
    <t xml:space="preserve">2026-02-12</t>
  </si>
  <si>
    <t xml:space="preserve">2026-02-13</t>
  </si>
  <si>
    <t xml:space="preserve">2026-02-16</t>
  </si>
  <si>
    <t xml:space="preserve">2026-02-17</t>
  </si>
  <si>
    <t xml:space="preserve">2026-02-18</t>
  </si>
  <si>
    <t xml:space="preserve">2026-02-19</t>
  </si>
  <si>
    <t xml:space="preserve">2026-02-20</t>
  </si>
  <si>
    <t xml:space="preserve">2026-02-23</t>
  </si>
  <si>
    <t xml:space="preserve">2026-02-24</t>
  </si>
  <si>
    <t xml:space="preserve">2026-02-25</t>
  </si>
  <si>
    <t xml:space="preserve">2026-02-26</t>
  </si>
  <si>
    <t xml:space="preserve">2026-02-27</t>
  </si>
  <si>
    <t xml:space="preserve">2026-03-02</t>
  </si>
  <si>
    <t xml:space="preserve">2026-03-04</t>
  </si>
  <si>
    <t xml:space="preserve">2026-03-05</t>
  </si>
  <si>
    <t xml:space="preserve">2026-03-06</t>
  </si>
  <si>
    <t xml:space="preserve">2026-03-09</t>
  </si>
  <si>
    <t xml:space="preserve">2026-03-10</t>
  </si>
  <si>
    <t xml:space="preserve">2026-03-11</t>
  </si>
  <si>
    <t xml:space="preserve">2026-03-12</t>
  </si>
  <si>
    <t xml:space="preserve">2026-03-13</t>
  </si>
  <si>
    <t xml:space="preserve">2026-03-16</t>
  </si>
  <si>
    <t xml:space="preserve">2026-03-17</t>
  </si>
  <si>
    <t xml:space="preserve">2026-03-18</t>
  </si>
  <si>
    <t xml:space="preserve">2026-03-19</t>
  </si>
  <si>
    <t xml:space="preserve">2026-03-20</t>
  </si>
  <si>
    <t xml:space="preserve">2026-03-23</t>
  </si>
  <si>
    <t xml:space="preserve">2026-03-24</t>
  </si>
  <si>
    <t xml:space="preserve">2026-03-25</t>
  </si>
  <si>
    <t xml:space="preserve">2026-03-26</t>
  </si>
  <si>
    <t xml:space="preserve">2026-03-27</t>
  </si>
  <si>
    <t xml:space="preserve">2026-03-30</t>
  </si>
  <si>
    <t xml:space="preserve">2026-03-31</t>
  </si>
  <si>
    <t xml:space="preserve">2026-04-01</t>
  </si>
  <si>
    <t xml:space="preserve">2026-04-02</t>
  </si>
  <si>
    <t xml:space="preserve">2026-04-03</t>
  </si>
  <si>
    <t xml:space="preserve">2026-04-07</t>
  </si>
  <si>
    <t xml:space="preserve">2026-04-08</t>
  </si>
  <si>
    <t xml:space="preserve">2026-04-09</t>
  </si>
  <si>
    <t xml:space="preserve">2026-04-10</t>
  </si>
  <si>
    <t xml:space="preserve">2026-04-16</t>
  </si>
  <si>
    <t xml:space="preserve">2026-04-17</t>
  </si>
  <si>
    <t xml:space="preserve">2026-04-20</t>
  </si>
  <si>
    <t xml:space="preserve">2026-04-21</t>
  </si>
  <si>
    <t xml:space="preserve">2026-04-22</t>
  </si>
  <si>
    <t xml:space="preserve">2026-04-23</t>
  </si>
  <si>
    <t xml:space="preserve">2026-04-24</t>
  </si>
  <si>
    <t xml:space="preserve">2026-04-27</t>
  </si>
  <si>
    <t xml:space="preserve">2026-04-28</t>
  </si>
  <si>
    <t xml:space="preserve">2026-04-29</t>
  </si>
  <si>
    <t xml:space="preserve">2026-04-30</t>
  </si>
  <si>
    <t xml:space="preserve">2026-05-05</t>
  </si>
  <si>
    <t xml:space="preserve">2026-05-06</t>
  </si>
  <si>
    <t xml:space="preserve">2026-05-07</t>
  </si>
  <si>
    <t xml:space="preserve">2026-05-08</t>
  </si>
  <si>
    <t xml:space="preserve">2026-05-11</t>
  </si>
  <si>
    <t xml:space="preserve">2026-05-12</t>
  </si>
  <si>
    <t xml:space="preserve">2026-05-13</t>
  </si>
  <si>
    <t xml:space="preserve">2026-05-14</t>
  </si>
  <si>
    <t xml:space="preserve">2026-05-15</t>
  </si>
  <si>
    <t xml:space="preserve">2026-05-18</t>
  </si>
  <si>
    <t xml:space="preserve">2026-05-19</t>
  </si>
  <si>
    <t xml:space="preserve">2026-05-20</t>
  </si>
  <si>
    <t xml:space="preserve">2026-05-21</t>
  </si>
  <si>
    <t xml:space="preserve">2026-05-22</t>
  </si>
  <si>
    <t xml:space="preserve">2026-05-25</t>
  </si>
  <si>
    <t xml:space="preserve">2026-05-26</t>
  </si>
  <si>
    <t xml:space="preserve">2026-05-27</t>
  </si>
  <si>
    <t xml:space="preserve">2026-05-28</t>
  </si>
  <si>
    <t xml:space="preserve">2026-05-29</t>
  </si>
  <si>
    <t xml:space="preserve">2026-06-02</t>
  </si>
  <si>
    <t xml:space="preserve">2026-06-04</t>
  </si>
  <si>
    <t xml:space="preserve">2026-06-05</t>
  </si>
  <si>
    <t xml:space="preserve">2026-06-08</t>
  </si>
  <si>
    <t xml:space="preserve">2026-06-09</t>
  </si>
  <si>
    <t xml:space="preserve">2026-06-10</t>
  </si>
  <si>
    <t xml:space="preserve">2026-06-11</t>
  </si>
  <si>
    <t xml:space="preserve">2026-06-12</t>
  </si>
  <si>
    <t xml:space="preserve">2026-06-15</t>
  </si>
  <si>
    <t xml:space="preserve">2026-06-16</t>
  </si>
  <si>
    <t xml:space="preserve">2026-06-17</t>
  </si>
  <si>
    <t xml:space="preserve">2026-06-18</t>
  </si>
  <si>
    <t xml:space="preserve">2026-06-19</t>
  </si>
  <si>
    <t xml:space="preserve">2026-06-22</t>
  </si>
  <si>
    <t xml:space="preserve">2026-06-23</t>
  </si>
  <si>
    <t xml:space="preserve">2026-06-24</t>
  </si>
  <si>
    <t xml:space="preserve">2026-06-25</t>
  </si>
  <si>
    <t xml:space="preserve">2026-06-26</t>
  </si>
  <si>
    <t xml:space="preserve">2026-06-29</t>
  </si>
  <si>
    <t xml:space="preserve">2026-06-30</t>
  </si>
  <si>
    <t xml:space="preserve">2026-07-01</t>
  </si>
  <si>
    <t xml:space="preserve">2026-07-02</t>
  </si>
  <si>
    <t xml:space="preserve">2026-07-03</t>
  </si>
  <si>
    <t xml:space="preserve">2026-07-06</t>
  </si>
  <si>
    <t xml:space="preserve">2026-07-07</t>
  </si>
  <si>
    <t xml:space="preserve">2026-07-08</t>
  </si>
  <si>
    <t xml:space="preserve">2026-07-09</t>
  </si>
  <si>
    <t xml:space="preserve">2026-07-10</t>
  </si>
  <si>
    <t xml:space="preserve">2026-07-13</t>
  </si>
  <si>
    <t xml:space="preserve">2026-07-14</t>
  </si>
  <si>
    <t xml:space="preserve">2026-07-15</t>
  </si>
  <si>
    <t xml:space="preserve">2026-07-16</t>
  </si>
  <si>
    <t xml:space="preserve">2026-07-17</t>
  </si>
  <si>
    <t xml:space="preserve">2026-07-20</t>
  </si>
  <si>
    <t xml:space="preserve">2026-07-21</t>
  </si>
  <si>
    <t xml:space="preserve">2026-07-22</t>
  </si>
  <si>
    <t xml:space="preserve">2026-07-23</t>
  </si>
  <si>
    <t xml:space="preserve">2026-07-24</t>
  </si>
  <si>
    <t xml:space="preserve">2026-07-27</t>
  </si>
  <si>
    <t xml:space="preserve">2026-07-30</t>
  </si>
  <si>
    <t xml:space="preserve">2026-07-31</t>
  </si>
  <si>
    <t xml:space="preserve">Risk &amp; Correlation — deterministic functions of the historical log-return series (bit-exact target)</t>
  </si>
  <si>
    <t xml:space="preserve">Code path: backend/app/engine/results.py::correlation_and_returns_table(returns_df, asset_names, periods_per_year=252), called on the same log-return series in Raw Data columns D/E. All formulas below reference Raw Data cells directly (no pasted Python numbers except the JSON comparison column, which is the ground truth being reconciled against).</t>
  </si>
  <si>
    <t xml:space="preserve">Metric</t>
  </si>
  <si>
    <t xml:space="preserve">Fund</t>
  </si>
  <si>
    <t xml:space="preserve">Excel Formula (native)</t>
  </si>
  <si>
    <t xml:space="preserve">Excel Value</t>
  </si>
  <si>
    <t xml:space="preserve">JSON Value</t>
  </si>
  <si>
    <t xml:space="preserve">Diff</t>
  </si>
  <si>
    <t xml:space="preserve">Match (6dp)</t>
  </si>
  <si>
    <t xml:space="preserve">Notes</t>
  </si>
  <si>
    <t xml:space="preserve">Correlation</t>
  </si>
  <si>
    <t xml:space="preserve">SET50 vs MONEY</t>
  </si>
  <si>
    <t xml:space="preserve">CORREL on the full-history log-return series</t>
  </si>
  <si>
    <t xml:space="preserve">Expected return (annualized)</t>
  </si>
  <si>
    <t xml:space="preserve">SET50</t>
  </si>
  <si>
    <t xml:space="preserve">mean(daily log return) * 252</t>
  </si>
  <si>
    <t xml:space="preserve">MONEY</t>
  </si>
  <si>
    <t xml:space="preserve">Volatility (annualized)</t>
  </si>
  <si>
    <t xml:space="preserve">sample stdev (ddof=1) of daily log return * sqrt(252)</t>
  </si>
  <si>
    <t xml:space="preserve">CAGR (from log-return series)</t>
  </si>
  <si>
    <t xml:space="preserve">Code literally does PRODUCT(1+log_return) — treats log returns as if simple for the cumulative product step (results.py:179-181). This is what the engine actually computes, so it is what we replicate here for bit-exact reconciliation with the JSON; it is arithmetically NOT a rigorous CAGR (a true CAGR would use PRODUCT(EXP(log_returns)) since prices compound multiplicatively under log returns), but it is not one of the 3 audit-flagged bug candidates so we report it as an additional, previously-uncatalogued minor formula quirk rather than re-litigating it here.</t>
  </si>
  <si>
    <t xml:space="preserve">Same PRODUCT(1+log_return) convention as SET50 row above.</t>
  </si>
  <si>
    <t xml:space="preserve">Parametric VaR/ES (Gaussian, Jorion closed-form) — portfolio-level cross-check</t>
  </si>
  <si>
    <t xml:space="preserve">Note: JSON risk.value_at_risk / risk.expected_shortfall are NOT this parametric figure. Tracing orchestrator.py confirms those two JSON fields come from results.py::compute_var_es(), the HISTORICAL/EMPIRICAL VaR/ES computed on the 2000 simulated ending dollar balances (percentile of simulated outcomes), not the closed-form Gaussian formula below. Since ending balances are a function of the 2000 stochastic GBM paths, that JSON figure falls under the same documented PRNG-reproducibility limitation as the Overview/Distribution sheets (plausibility-only, not bit-exact). The parametric closed-form below is shown as an independent, deterministic cross-check of results.py::parametric_var_es against a Python-computed reference value (not the JSON) — comparing it directly to the JSON's empirical VaR/ES would be an apples-to-oranges mismatch, not a bug.</t>
  </si>
  <si>
    <t xml:space="preserve">Weight SET50</t>
  </si>
  <si>
    <t xml:space="preserve">Weight MONEY</t>
  </si>
  <si>
    <t xml:space="preserve">Portfolio mean return (annualized) = w'*mu</t>
  </si>
  <si>
    <t xml:space="preserve">Portfolio variance = w' Sigma w (via COVARIANCE.S)</t>
  </si>
  <si>
    <t xml:space="preserve">Portfolio volatility (annualized) = sqrt(port variance)</t>
  </si>
  <si>
    <t xml:space="preserve">z = _xlfn.NORM.S.INV(0.90)</t>
  </si>
  <si>
    <t xml:space="preserve">Parametric VaR (90%) = -port_mu + z*port_sd</t>
  </si>
  <si>
    <t xml:space="preserve">Parametric ES (90%) = -port_mu + [_xlfn.NORM.S.DIST(z,FALSE)/(1-0.90)]*port_sd</t>
  </si>
  <si>
    <t xml:space="preserve">Python cross-check VaR (parametric_var_es, independently computed)</t>
  </si>
  <si>
    <t xml:space="preserve">Python cross-check ES (parametric_var_es, independently computed)</t>
  </si>
  <si>
    <t xml:space="preserve">Growth — deterministic mu/sigma ingredients feeding the GBM fan chart</t>
  </si>
  <si>
    <t xml:space="preserve">The fan_chart itself is generated from 2000 stochastic GBM paths (backend/app/engine/gbm.py) driven by numpy default_rng(seed=42) — Excel cannot replicate that PRNG stream bit-for-bit, so per-path percentile reproduction is out of scope here (see Distribution/Overview sheets for the documented limitation and plausibility checks). What IS deterministic and independently verifiable in Excel is the mu vector and Sigma covariance matrix that estimate_mu_sigma() (returns.py) derives from the historical log-return series, and the portfolio-level w'*mu / w'*Sigma*w reduction of those inputs (statistical.py's GBM branch consumes exactly this mu/Sigma pair). Comparison values below are the Python reference computed directly from estimate_mu_sigma() on the same Raw Data series (not JSON fields — the API does not expose mu/Sigma directly), used as an independent cross-check that the MMULT-based Excel computation is correct.</t>
  </si>
  <si>
    <t xml:space="preserve">mu vector (annualized, 2x1)</t>
  </si>
  <si>
    <t xml:space="preserve">mu (Excel formula)</t>
  </si>
  <si>
    <t xml:space="preserve">M0209_2548 (SET50)</t>
  </si>
  <si>
    <t xml:space="preserve">M0337_2550 (MONEY)</t>
  </si>
  <si>
    <t xml:space="preserve">Sigma covariance matrix (annualized, 2x2)</t>
  </si>
  <si>
    <t xml:space="preserve">Weights (w)</t>
  </si>
  <si>
    <t xml:space="preserve">w_SET50</t>
  </si>
  <si>
    <t xml:space="preserve">w_MONEY</t>
  </si>
  <si>
    <t xml:space="preserve">Portfolio statistics via MMULT</t>
  </si>
  <si>
    <t xml:space="preserve">Portfolio mean = w' * mu  (=MMULT(TRANSPOSE(w),mu))</t>
  </si>
  <si>
    <t xml:space="preserve">Python cross-check (estimate_mu_sigma, w=[0.5,0.5])</t>
  </si>
  <si>
    <t xml:space="preserve">Portfolio variance = w' * Sigma * w  (via MMULT)</t>
  </si>
  <si>
    <t xml:space="preserve">Python cross-check</t>
  </si>
  <si>
    <t xml:space="preserve">Portfolio volatility = sqrt(portfolio variance)</t>
  </si>
  <si>
    <t xml:space="preserve">Plausibility check vs JSON overview.median_cagr / metrics.percentile_table.cagr[50]</t>
  </si>
  <si>
    <t xml:space="preserve">GBM 1-year expected log-return drift ~ port_mu - 0.5*port_variance (risk-neutral-of-noise center; the median of many compounded years converges near this under GBM). Reported here as a STOCHASTIC-PLAUSIBILITY check only (not bit-exact) since the JSON's cagr[50] is the median of 2000 simulated paths, subject to Monte Carlo sampling noise.</t>
  </si>
  <si>
    <t xml:space="preserve">Expected GBM drift (5yr horizon, port_mu - 0.5*port_var)</t>
  </si>
  <si>
    <t xml:space="preserve">JSON metrics.percentile_table.cagr[50]  (median of 2000 simulated paths)</t>
  </si>
  <si>
    <t xml:space="preserve">JSON overview.median_cagr (should equal cagr[50] above)</t>
  </si>
  <si>
    <t xml:space="preserve">Diff (drift proxy vs JSON median) — expected to be within one simulation-noise band, not exact</t>
  </si>
  <si>
    <t xml:space="preserve">Within plausible band? (|diff| &lt; 0.03, i.e. within a few pct-pts of annual vol)</t>
  </si>
  <si>
    <t xml:space="preserve">Overview — closed-form portfolio statistics vs. percentile_table / overview block</t>
  </si>
  <si>
    <t xml:space="preserve">Per Task 4 brief Step 2: reconcile the annualized mean/vol of the historical window feeding GBM's mu/sigma against what metrics.percentile_table implies. Deterministic aggregate formulas (mu, sigma per fund) are bit-exact to 6dp (cross-checked against Python, see Risk &amp; Correlation / Growth sheets which contain the authoritative bit-exact comparisons). The percentile BAND values (10/25/50/75/90) below are functions of 2000 stochastic GBM paths and are PLAUSIBILITY-CHECKED ONLY, per the documented PRNG-reproducibility limitation — Excel cannot replicate numpy's default_rng(seed=42) stream.</t>
  </si>
  <si>
    <t xml:space="preserve">Run overview (from JSON, hardcoded ground truth)</t>
  </si>
  <si>
    <t xml:space="preserve">n_paths</t>
  </si>
  <si>
    <t xml:space="preserve">survived_count</t>
  </si>
  <si>
    <t xml:space="preserve">survival_rate</t>
  </si>
  <si>
    <t xml:space="preserve">median_ending_balance</t>
  </si>
  <si>
    <t xml:space="preserve">median_cagr</t>
  </si>
  <si>
    <t xml:space="preserve">Monotonicity check (plausibility): ending_balance percentile band strictly increasing</t>
  </si>
  <si>
    <t xml:space="preserve">Percentile</t>
  </si>
  <si>
    <t xml:space="preserve">ending_balance</t>
  </si>
  <si>
    <t xml:space="preserve">cagr</t>
  </si>
  <si>
    <t xml:space="preserve">twrr_nominal</t>
  </si>
  <si>
    <t xml:space="preserve">annual_mean_return</t>
  </si>
  <si>
    <t xml:space="preserve">annualized_volatility</t>
  </si>
  <si>
    <t xml:space="preserve">Monotonic increasing in ending_balance (P90&gt;P75&gt;P50&gt;P25&gt;P10)?</t>
  </si>
  <si>
    <t xml:space="preserve">Monotonic increasing in cagr (P90&gt;P75&gt;P50&gt;P25&gt;P10)?</t>
  </si>
  <si>
    <t xml:space="preserve">twrr_nominal identical to cagr, all percentiles? (TWRR/CAGR conflation bug candidate)</t>
  </si>
  <si>
    <t xml:space="preserve">Task 2 audit flagged results.py:33 sets twrr_nominal = cagr verbatim (same array), which is only mathematically correct in the absence of cashflows. This run HAS a real goal (withdrawal years 1-5), so twrr_nominal in this JSON should differ from cagr if TWRR were computed correctly (i.e. cashflow-timing-stripped). Numeric check below confirms whether they are bit-identical in this real run, which would corroborate the audit's bug finding.</t>
  </si>
  <si>
    <t xml:space="preserve">P10: cagr - twrr_nominal</t>
  </si>
  <si>
    <t xml:space="preserve">P25: cagr - twrr_nominal</t>
  </si>
  <si>
    <t xml:space="preserve">P50: cagr - twrr_nominal</t>
  </si>
  <si>
    <t xml:space="preserve">P75: cagr - twrr_nominal</t>
  </si>
  <si>
    <t xml:space="preserve">P90: cagr - twrr_nominal</t>
  </si>
  <si>
    <t xml:space="preserve">NOTE: cagr/twrr_nominal are computed in results.py::percentile_table() on `paths` (normalized balance ratio, post-cashflow when a goal is configured). Since this run's `paths` array already has the withdrawal cashflow applied (orchestrator.py passes normalized_paths = dollar_paths / initial_amount, where dollar_paths is apply_named_goals()'s output), the identical-values result above is EXPECTED given the current code (both fields read the exact same underlying `cagr` array — see results.py line 33 `twrr_nominal = cagr`), and is exactly the bug the Task 2 audit flagged: a correctly-computed TWRR would strip the cashflow-timing effect and would NOT equal this cashflow-inclusive CAGR figure whenever a goal/cashflow is present, as it is here.</t>
  </si>
  <si>
    <t xml:space="preserve">Distribution — monotonicity checks on stochastic-path-derived risk outputs</t>
  </si>
  <si>
    <t xml:space="preserve">risk.expected_return_by_horizon and risk.annual_return_probability (and the 2000-length ending_balance_histogram / max_drawdown_histogram arrays) are functions of the SAME mu/sigma/n_paths/seed as the fan chart — exact percentile reproduction requires numpy's default_rng(seed=42) PRNG stream, which Excel cannot replicate deterministically. KNOWN, DOCUMENTED LIMITATION: this sheet does not attempt bit-exact reproduction of those percentile values. Instead it verifies two properties directly on the JSON-exported numbers via native Excel formulas: (a) monotonicity of the percentile band (P90&gt;P75&gt;P50&gt;P25&gt;P10) for each horizon, and (b) monotonically DECREASING probability as the return threshold rises, for each fixed horizon.</t>
  </si>
  <si>
    <t xml:space="preserve">(a) expected_return_by_horizon — percentile-band monotonicity</t>
  </si>
  <si>
    <t xml:space="preserve">Horizon (yrs)</t>
  </si>
  <si>
    <t xml:space="preserve">P10</t>
  </si>
  <si>
    <t xml:space="preserve">P25</t>
  </si>
  <si>
    <t xml:space="preserve">P50</t>
  </si>
  <si>
    <t xml:space="preserve">P75</t>
  </si>
  <si>
    <t xml:space="preserve">P90</t>
  </si>
  <si>
    <t xml:space="preserve">Monotonic Increasing?</t>
  </si>
  <si>
    <t xml:space="preserve">(b) annual_return_probability — decreasing in threshold, per horizon</t>
  </si>
  <si>
    <t xml:space="preserve">Threshold</t>
  </si>
  <si>
    <t xml:space="preserve">Horizon 1yr</t>
  </si>
  <si>
    <t xml:space="preserve">Horizon 3yr</t>
  </si>
  <si>
    <t xml:space="preserve">Horizon 5yr</t>
  </si>
  <si>
    <t xml:space="preserve">&gt;= 0.00%</t>
  </si>
  <si>
    <t xml:space="preserve">&gt;= 2.50%</t>
  </si>
  <si>
    <t xml:space="preserve">&gt;= 5.00%</t>
  </si>
  <si>
    <t xml:space="preserve">&gt;= 7.50%</t>
  </si>
  <si>
    <t xml:space="preserve">&gt;= 10.00%</t>
  </si>
  <si>
    <t xml:space="preserve">&gt;= 12.50%</t>
  </si>
  <si>
    <t xml:space="preserve">Horizon 1yr: strictly decreasing as threshold rises?</t>
  </si>
  <si>
    <t xml:space="preserve">Horizon 3yr: strictly decreasing as threshold rises?</t>
  </si>
  <si>
    <t xml:space="preserve">Horizon 5yr: strictly decreasing as threshold rises?</t>
  </si>
  <si>
    <t xml:space="preserve">Note: probability of exceeding a HIGHER return threshold should be lower or equal for a fixed horizon; a strict AND-based check flags any inversion for manual review even though minor ties/plateaus at extreme thresholds are not necessarily bugs.</t>
  </si>
  <si>
    <t xml:space="preserve">Metrics — Sharpe/Sortino/Withdrawal-Rate formula validation on one illustrative 5-year path</t>
  </si>
  <si>
    <t xml:space="preserve">Per brief Step 5: exact percentile-of-2000-paths reproduction is out of scope (documented limitation, see Distribution sheet). Instead this sheet hand-traces the FORMULAS themselves — Sharpe, Sortino, safe withdrawal rate, perpetual withdrawal rate — against one concrete illustrative 5-year annual return path (simulation_period_years=5, matching this run's config), fully worked in native Excel formulas, cross-referencing Task 2 audit's two flagged bug candidates: the Sharpe/Sortino numerator (per-path geometric CAGR) vs. denominator (arithmetic per-period std) basis mismatch.</t>
  </si>
  <si>
    <t xml:space="preserve">Illustrative path — 5 annual returns (arbitrary but realistic, chosen by us for this hand-trace, NOT from the simulation)</t>
  </si>
  <si>
    <t xml:space="preserve">Year 1</t>
  </si>
  <si>
    <t xml:space="preserve">Year 2</t>
  </si>
  <si>
    <t xml:space="preserve">Year 3</t>
  </si>
  <si>
    <t xml:space="preserve">Year 4</t>
  </si>
  <si>
    <t xml:space="preserve">Year 5</t>
  </si>
  <si>
    <t xml:space="preserve">Growth factors (1+r)</t>
  </si>
  <si>
    <t xml:space="preserve">Per-path CAGR (code's numerator) = PRODUCT(growth factors)^(1/5) - 1</t>
  </si>
  <si>
    <t xml:space="preserve">Arithmetic mean annual return (textbook numerator) = AVERAGE(returns)</t>
  </si>
  <si>
    <t xml:space="preserve">Volatility (sample stdev of the 5 annual returns) = _xlfn.STDEV.S(returns)</t>
  </si>
  <si>
    <t xml:space="preserve">Downside deviation = SQRT(SUMPRODUCT((returns&lt;0)*returns^2)/COUNT(returns))</t>
  </si>
  <si>
    <t xml:space="preserve">Risk-free rate assumption</t>
  </si>
  <si>
    <t xml:space="preserve">Sharpe — code's version (CAGR numerator / std denominator)</t>
  </si>
  <si>
    <t xml:space="preserve">Formula: (CAGR - rf) / Volatility</t>
  </si>
  <si>
    <t xml:space="preserve">Sharpe — textbook same-basis version = (ArithmeticMean - rf) / Volatility</t>
  </si>
  <si>
    <t xml:space="preserve">Absolute difference (code vs. textbook Sharpe)</t>
  </si>
  <si>
    <t xml:space="preserve">Relative difference (% of textbook value)</t>
  </si>
  <si>
    <t xml:space="preserve">Sortino — code's version (CAGR numerator / downside-dev denominator)</t>
  </si>
  <si>
    <t xml:space="preserve">Formula: (CAGR - rf) / Downside Deviation</t>
  </si>
  <si>
    <t xml:space="preserve">Sortino — textbook same-basis version = (ArithmeticMean - rf) / Downside Deviation</t>
  </si>
  <si>
    <t xml:space="preserve">Absolute difference (code vs. textbook Sortino)</t>
  </si>
  <si>
    <t xml:space="preserve">CONCLUSION: CAGR (geometric) is systematically below the arithmetic mean whenever returns are volatile (Jensen's gap = ~0.5*variance), so the code's Sharpe/Sortino numerator is biased LOW relative to a textbook same-basis ratio built from the SAME return series' arithmetic mean. On this illustrative path the relative difference shown above quantifies the size of that bias for a mid-volatility 5-year annual path -- confirming the Task 2 audit's basis-mismatch finding is numerically material, not just a theoretical nuance.</t>
  </si>
  <si>
    <t xml:space="preserve">Safe withdrawal rate — manual bisection on the SAME illustrative path</t>
  </si>
  <si>
    <t xml:space="preserve">Code (results.py::withdrawal_rates_by_percentile): finds constant per-period withdrawal rate (fraction of the path's $1 normalized starting balance) such that balance = MAX(balance*g - rate, 0) for each of the 5 growth factors g, and the balance hits exactly 0 by year 5 (brentq root-find). We replicate this with a manual bisection table: guess a rate, roll forward the 5-period balance, check the sign of the terminal balance, narrow the bracket, repeat.</t>
  </si>
  <si>
    <t xml:space="preserve">Iter</t>
  </si>
  <si>
    <t xml:space="preserve">Low</t>
  </si>
  <si>
    <t xml:space="preserve">High</t>
  </si>
  <si>
    <t xml:space="preserve">Guess rate</t>
  </si>
  <si>
    <t xml:space="preserve">Bal Y1</t>
  </si>
  <si>
    <t xml:space="preserve">Bal Y2</t>
  </si>
  <si>
    <t xml:space="preserve">Bal Y3</t>
  </si>
  <si>
    <t xml:space="preserve">Bal Y4</t>
  </si>
  <si>
    <t xml:space="preserve">Bal Y5 (terminal)</t>
  </si>
  <si>
    <t xml:space="preserve">Converged safe withdrawal rate (guess at final iteration)</t>
  </si>
  <si>
    <t xml:space="preserve">Terminal balance at converged rate (should be ~0)</t>
  </si>
  <si>
    <t xml:space="preserve">This bisection table implements exactly the same 'balance = MAX(balance*g - rate, 0)' roll-forward as results.py:151-155, narrowing the [0,1] bracket by bisection instead of brentq (which converges faster but to the same root for a well-behaved monotone function); 25 iterations is more than enough for 1e-4-level convergence, matching results.py's xtol=1e-4.</t>
  </si>
  <si>
    <t xml:space="preserve">Goals &amp; Cashflows — MANDATORY (run has a real goal: $20,000/yr inflation-adjusted withdrawal, yrs 1-5)</t>
  </si>
  <si>
    <t xml:space="preserve">Code path: backend/app/engine/goals.py::apply_named_goals / _inflation_factors. Formula: Balance_(t+1) = MAX(Balance_t*(1+R_t) +/- CF_t, 0), and for an inflation-adjusted withdrawal, the real $20,000 target grows nominally by the cumulative inflation factor I_t = PRODUCT(1+inflation_draws up to year t) before being subtracted: nominal_CF_t = -20000 * I_t. goals.summary.success_rate=1.0 is a function of the full 2000-path Monte Carlo (whether each simulated path sustains the withdrawal without hitting 0) and is therefore PLAUSIBILITY-ONLY per the documented PRNG limitation; the cashflow SCHEDULE itself (nominal vs present-dollar reconciliation) is deterministic given the run's median/reported inflation path and is bit-exact checkable below.</t>
  </si>
  <si>
    <t xml:space="preserve">Goal config (from run_config.goals[0], hardcoded)</t>
  </si>
  <si>
    <t xml:space="preserve">purpose</t>
  </si>
  <si>
    <t xml:space="preserve">Retirement withdrawal</t>
  </si>
  <si>
    <t xml:space="preserve">is_withdrawal</t>
  </si>
  <si>
    <t xml:space="preserve">amount</t>
  </si>
  <si>
    <t xml:space="preserve">inflation_adjusted</t>
  </si>
  <si>
    <t xml:space="preserve">frequency</t>
  </si>
  <si>
    <t xml:space="preserve">annually</t>
  </si>
  <si>
    <t xml:space="preserve">starts_year</t>
  </si>
  <si>
    <t xml:space="preserve">ends_year</t>
  </si>
  <si>
    <t xml:space="preserve">Cell-by-cell 5-period cashflow reconciliation</t>
  </si>
  <si>
    <t xml:space="preserve">Year</t>
  </si>
  <si>
    <t xml:space="preserve">cashflows_nominal (JSON)</t>
  </si>
  <si>
    <t xml:space="preserve">cashflows_present_dollar (JSON)</t>
  </si>
  <si>
    <t xml:space="preserve">Implied cumulative inflation factor = nominal/-20000</t>
  </si>
  <si>
    <t xml:space="preserve">Reconstructed present-dollar = nominal / inflation factor</t>
  </si>
  <si>
    <t xml:space="preserve">Diff vs -20000 target</t>
  </si>
  <si>
    <t xml:space="preserve">n/a (year 0, no withdrawal — goal starts_year=1)</t>
  </si>
  <si>
    <t xml:space="preserve">n/a</t>
  </si>
  <si>
    <t xml:space="preserve">This reconciles goals.py's Fisher-style nominal grossing-up: dividing the reported nominal cashflow by its own implied inflation factor must return exactly the configured real amount (-$20,000), by construction of _inflation_factors()/apply_named_goals(). A Match=N would indicate the reported present_dollar array is NOT self-consistent with the reported nominal array and its own implied inflation path -- a real internal-consistency bug, not a stochastic artifact, since this identity must hold exactly regardless of which inflation path realized.</t>
  </si>
  <si>
    <t xml:space="preserve">** CANDIDATE BUG — missing year-5 withdrawal (flagged by task reviewer, requires Task 5 investigation) **</t>
  </si>
  <si>
    <t xml:space="preserve">The configured goal has starts_year=1, ends_year=5 (5 withdrawal years, run_config.goals[0] above). goals.cashflows_nominal from the JSON is [0.0, -21212.121378191365, -21832.69940272253, -22491.157017779355, -23180.486085702538] — index 0 is year 0 (before the goal starts, correctly 0.0), but that leaves only indices 1-4 (4 entries) carrying a nonzero withdrawal, each of which the reconciliation table above labels 'Year 1' .. 'Year 4'. A goal spanning years 1 through 5 inclusive should produce 5 nonzero withdrawal entries (years 1,2,3,4,5), not 4 — there is no distinct array element for a 'year 5' withdrawal at all. This is NOT simply a mislabeling of an existing value; the array is one element short of what starts_year=1/ends_year=5 requires. The roll-forward table below intentionally does NOT reuse the year-4 value (-23180.4860857025) as a stand-in for year 5's withdrawal — that would misrepresent a real data gap as data. Task 5 should trace this exact discrepancy into backend/app/engine/goals.py's cashflow-array construction (likely an off-by-one in the starts_year/ends_year -&gt; array-index mapping, or the array is built with length simulation_period_years=5 covering only year-indices 0..4 while the goal's inclusive 1..5 range needs index 5 as well).</t>
  </si>
  <si>
    <t xml:space="preserve">Manual 5-period balance roll-forward illustration (1 illustrative path, growth factors from Metrics sheet)</t>
  </si>
  <si>
    <t xml:space="preserve">Uses the SAME illustrative 5-year path from the Metrics sheet as growth factors, applying the JSON's actual nominal withdrawal schedule, to hand-trace Balance_(t+1)=MAX(Balance_t*(1+R_t)-CF_t,0) exactly as goals.py::apply_named_goals implements it (illustrative only — real per-path balances from the actual 2000-path run are not individually recoverable from the JSON).</t>
  </si>
  <si>
    <t xml:space="preserve">Growth factor (1+R)</t>
  </si>
  <si>
    <t xml:space="preserve">Nominal withdrawal (from JSON)</t>
  </si>
  <si>
    <t xml:space="preserve">Balance start</t>
  </si>
  <si>
    <t xml:space="preserve">Balance after growth</t>
  </si>
  <si>
    <t xml:space="preserve">Balance after withdrawal (=MAX(...,0))</t>
  </si>
  <si>
    <t xml:space="preserve">MISSING FROM JSON — see note above</t>
  </si>
  <si>
    <t xml:space="preserve">N/A — withdrawal amount for year 5 is not present in the JSON response, so this balance cannot be computed</t>
  </si>
  <si>
    <t xml:space="preserve">Note: this is an illustrative demonstration of the roll-forward MECHANICS using the real reported nominal withdrawal schedule combined with an arbitrary (not-from-simulation) return path; it validates that the formula in goals.py is correctly reproduced cell-by-cell, not that this specific ending balance matches any single simulated path in the JSON (those individual paths are not exposed in the response — only percentile summaries are).</t>
  </si>
  <si>
    <t xml:space="preserve">Success rate (plausibility-only, stochastic)</t>
  </si>
  <si>
    <t xml:space="preserve">goals.summary success_rate (JSON, fraction of 2000 paths that never hit 0 while sustaining withdrawals)</t>
  </si>
  <si>
    <t xml:space="preserve">Plausible given overview.survival_rate (should be consistent, both are 2000-path Monte Carlo fractions)?</t>
  </si>
  <si>
    <t xml:space="preserve">Summary Tie-Out — one row per bit-exact-checkable JSON metric</t>
  </si>
  <si>
    <t xml:space="preserve">Only metrics that are DETERMINISTIC functions of the historical return series (not of the 2000 stochastic GBM paths) are listed here per the brief's Step 8 scope. Match column: =ROUND(ABS(JSON-Excel),6)=0. All Excel values reference the native-formula cells on their respective sheets (no re-typed numbers). IMPORTANT FRAMING: of the 14 Match=Y/N rows below, 11 are TRUE JSON tie-outs (7 rows in the 'Risk &amp; Correlation'-sourced block + 4 Goals present-dollar rows, JSON value column literally pulls ='Risk &amp; Correlation'!... / ='Goals &amp; Cashflows'!... referencing the JSON-hardcoded cells on those sheets). The remaining 3 rows, labeled 'Growth sheet cross-checks' below, compare an Excel formula against an INDEPENDENT PYTHON REFERENCE VALUE, not a JSON field — the live API response never exposes mu/Sigma directly, so there is no JSON figure to tie those 3 rows out against; they validate the MMULT-based Excel arithmetic only, and are visually separated under their own subheading for that reason.</t>
  </si>
  <si>
    <t xml:space="preserve">JSON value</t>
  </si>
  <si>
    <t xml:space="preserve">Excel value</t>
  </si>
  <si>
    <t xml:space="preserve">Match (Y/N)</t>
  </si>
  <si>
    <t xml:space="preserve">Correlation (SET50 vs MONEY)</t>
  </si>
  <si>
    <t xml:space="preserve">See Risk &amp; Correlation sheet for formula + full note</t>
  </si>
  <si>
    <t xml:space="preserve">Expected return SET50</t>
  </si>
  <si>
    <t xml:space="preserve">Expected return MONEY</t>
  </si>
  <si>
    <t xml:space="preserve">Volatility SET50</t>
  </si>
  <si>
    <t xml:space="preserve">Volatility MONEY</t>
  </si>
  <si>
    <t xml:space="preserve">CAGR (log-return basis) SET50</t>
  </si>
  <si>
    <t xml:space="preserve">CAGR (log-return basis) MONEY</t>
  </si>
  <si>
    <t xml:space="preserve">Goals cashflows_present_dollar, Year 1 (should equal configured -$20,000)</t>
  </si>
  <si>
    <t xml:space="preserve">Deterministic identity check: present-dollar cashflow must equal the goal's configured real amount by construction (Fisher deflation of the nominal series).</t>
  </si>
  <si>
    <t xml:space="preserve">Goals cashflows_present_dollar, Year 2 (should equal configured -$20,000)</t>
  </si>
  <si>
    <t xml:space="preserve">Goals cashflows_present_dollar, Year 3 (should equal configured -$20,000)</t>
  </si>
  <si>
    <t xml:space="preserve">Goals cashflows_present_dollar, Year 4 (should equal configured -$20,000)</t>
  </si>
  <si>
    <t xml:space="preserve">Growth sheet cross-checks (Python-independent-reference, not JSON — see Growth sheet for rationale)</t>
  </si>
  <si>
    <t xml:space="preserve">Portfolio mean return w'*mu</t>
  </si>
  <si>
    <t xml:space="preserve">Reference is an independent Python computation of estimate_mu_sigma(), NOT a JSON field (the API does not expose mu/Sigma) — cross-check of the MMULT-based Excel math only.</t>
  </si>
  <si>
    <t xml:space="preserve">Portfolio variance w'*Sigma*w</t>
  </si>
  <si>
    <t xml:space="preserve">Portfolio volatility sqrt(variance)</t>
  </si>
  <si>
    <t xml:space="preserve">Real bug candidates flagged (see individual sheets + report for full analysis)</t>
  </si>
  <si>
    <t xml:space="preserve">TWRR/CAGR conflation (results.py:33) — see Overview sheet numeric confirmation. Real run has a goal/cashflow, so a correct TWRR should differ from CAGR; JSON shows them bit-identical at every percentile, confirming the Task 2 audit's bug candidate is live in this real run.</t>
  </si>
  <si>
    <t xml:space="preserve">Sharpe/Sortino numerator basis mismatch (results.py:126-139) — see Metrics sheet illustrative-path quantification of the CAGR-vs-arithmetic-mean gap and its effect on the ratio.</t>
  </si>
  <si>
    <t xml:space="preserve">JSON risk.value_at_risk/expected_shortfall are empirical (compute_var_es on 2000 simulated ending balances), not the parametric closed-form the brief's Step 6 wording suggested comparing against — see Risk &amp; Correlation sheet note. Not a bug, a scope clarification.</t>
  </si>
  <si>
    <t xml:space="preserve">MISSING YEAR-5 WITHDRAWAL CASHFLOW (goals.py) — goals.cashflows_nominal from the JSON is [0.0, -21212.121378191365, -21832.69940272253, -22491.157017779355, -23180.486085702538]: index 0 = year 0 (correctly 0.0, goal starts_year=1), but only indices 1-4 carry a nonzero withdrawal (4 entries) for a goal configured starts_year=1/ends_year=5 (5 withdrawal years). There is no distinct array entry for a year-5 withdrawal at all — see Goals &amp; Cashflows sheet's flagged roll-forward row (year 5's withdrawal amount is left explicitly blank/flagged rather than reusing year 4's -23180.4860857025). Candidate real bug in backend/app/engine/goals.py's cashflow-array construction; Task 5 should investigate.</t>
  </si>
  <si>
    <t xml:space="preserve">NAV FORWARD-FILL ON 3 GAP DATES (returns.py::build_price_panel) vs. CLAUDE.md landmine 'NAV gaps are hard errors, never forward-fill or interpolate' — 3 isolated dates (2015-04-02, 2015-05-28, 2021-01-18) have a single-fund missing NAV in the underlying parquet cache and are forward-filled as tolerated calendar noise (MAX_TOLERATED_GAP_RUN=5) rather than raising NavGapError. This workbook faithfully reproduces that behavior (see highlighted rows in Raw Data) rather than papering over it, but the landmine's blanket wording doesn't obviously carve out single-day forward-fill as an exception — worth Task 5's attention to confirm whether this is intended or the landmine text needs to be qualified.</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</si>
</sst>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color rgb="FFFFFFFF"/>
      <name val="Arial"/>
      <family val="0"/>
      <charset val="1"/>
    </font>
    <font>
      <sz val="11"/>
      <color rgb="FF0000FF"/>
      <name val="Arial"/>
      <family val="0"/>
      <charset val="1"/>
    </font>
    <font>
      <i val="true"/>
      <sz val="9"/>
      <color rgb="FFC00000"/>
      <name val="Arial"/>
      <family val="0"/>
      <charset val="1"/>
    </font>
    <font>
      <sz val="9"/>
      <name val="Arial"/>
      <family val="0"/>
      <charset val="1"/>
    </font>
    <font>
      <b val="true"/>
      <sz val="11"/>
      <name val="Arial"/>
      <family val="0"/>
      <charset val="1"/>
    </font>
    <font>
      <b val="true"/>
      <sz val="11"/>
      <color rgb="FFC00000"/>
      <name val="Arial"/>
      <family val="0"/>
      <charset val="1"/>
    </font>
    <font>
      <i val="true"/>
      <sz val="11"/>
      <color rgb="FFC0000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E4B5"/>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4B5"/>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3" min="2" style="1" width="20"/>
    <col collapsed="false" customWidth="true" hidden="false" outlineLevel="0" max="5" min="4" style="1" width="16"/>
    <col collapsed="false" customWidth="true" hidden="false" outlineLevel="0" max="7" min="6" style="1" width="22"/>
  </cols>
  <sheetData>
    <row r="1" customFormat="false" ht="17.35" hidden="false" customHeight="false" outlineLevel="0" collapsed="false">
      <c r="A1" s="2" t="s">
        <v>0</v>
      </c>
    </row>
    <row r="2" customFormat="false" ht="48" hidden="false" customHeight="true" outlineLevel="0" collapsed="false">
      <c r="A2" s="3" t="s">
        <v>1</v>
      </c>
      <c r="B2" s="3"/>
      <c r="C2" s="3"/>
      <c r="D2" s="3"/>
      <c r="E2" s="3"/>
      <c r="F2" s="3"/>
    </row>
    <row r="3" customFormat="false" ht="48" hidden="false" customHeight="true" outlineLevel="0" collapsed="false">
      <c r="A3" s="3" t="s">
        <v>2</v>
      </c>
      <c r="B3" s="3"/>
      <c r="C3" s="3"/>
      <c r="D3" s="3"/>
      <c r="E3" s="3"/>
      <c r="F3" s="3"/>
    </row>
    <row r="4" customFormat="false" ht="90" hidden="false" customHeight="true" outlineLevel="0" collapsed="false">
      <c r="A4" s="3" t="s">
        <v>3</v>
      </c>
      <c r="B4" s="3"/>
      <c r="C4" s="3"/>
      <c r="D4" s="3"/>
      <c r="E4" s="3"/>
      <c r="F4" s="3"/>
      <c r="G4" s="3"/>
    </row>
    <row r="5" customFormat="false" ht="15" hidden="false" customHeight="false" outlineLevel="0" collapsed="false">
      <c r="A5" s="4" t="s">
        <v>4</v>
      </c>
      <c r="B5" s="4" t="s">
        <v>5</v>
      </c>
      <c r="C5" s="4" t="s">
        <v>6</v>
      </c>
      <c r="D5" s="4" t="s">
        <v>7</v>
      </c>
      <c r="E5" s="4" t="s">
        <v>8</v>
      </c>
      <c r="F5" s="4" t="s">
        <v>9</v>
      </c>
      <c r="G5" s="4" t="s">
        <v>10</v>
      </c>
    </row>
    <row r="6" customFormat="false" ht="15" hidden="false" customHeight="false" outlineLevel="0" collapsed="false">
      <c r="A6" s="1" t="s">
        <v>11</v>
      </c>
      <c r="B6" s="5" t="n">
        <v>28.381</v>
      </c>
      <c r="C6" s="5" t="n">
        <v>11.6042</v>
      </c>
    </row>
    <row r="7" customFormat="false" ht="15" hidden="false" customHeight="false" outlineLevel="0" collapsed="false">
      <c r="A7" s="1" t="s">
        <v>12</v>
      </c>
      <c r="B7" s="5" t="n">
        <v>28.1817</v>
      </c>
      <c r="C7" s="5" t="n">
        <v>11.6049</v>
      </c>
      <c r="D7" s="1" t="n">
        <f aca="false">LN(B7/B6)</f>
        <v>-0.00704707606922682</v>
      </c>
      <c r="E7" s="1" t="n">
        <f aca="false">LN(C7/C6)</f>
        <v>6.03211671466391E-005</v>
      </c>
      <c r="F7" s="1" t="n">
        <f aca="false">B7/B6-1</f>
        <v>-0.00702230365385292</v>
      </c>
      <c r="G7" s="1" t="n">
        <f aca="false">C7/C6-1</f>
        <v>6.03229865048238E-005</v>
      </c>
    </row>
    <row r="8" customFormat="false" ht="15" hidden="false" customHeight="false" outlineLevel="0" collapsed="false">
      <c r="A8" s="1" t="s">
        <v>13</v>
      </c>
      <c r="B8" s="5" t="n">
        <v>28.6708</v>
      </c>
      <c r="C8" s="5" t="n">
        <v>11.6057</v>
      </c>
      <c r="D8" s="1" t="n">
        <f aca="false">LN(B8/B7)</f>
        <v>0.0172063521144594</v>
      </c>
      <c r="E8" s="1" t="n">
        <f aca="false">LN(C8/C7)</f>
        <v>6.89340215518594E-005</v>
      </c>
      <c r="F8" s="1" t="n">
        <f aca="false">B8/B7-1</f>
        <v>0.0173552340703365</v>
      </c>
      <c r="G8" s="1" t="n">
        <f aca="false">C8/C7-1</f>
        <v>6.89363975561186E-005</v>
      </c>
    </row>
    <row r="9" customFormat="false" ht="15" hidden="false" customHeight="false" outlineLevel="0" collapsed="false">
      <c r="A9" s="1" t="s">
        <v>14</v>
      </c>
      <c r="B9" s="5" t="n">
        <v>29.1099</v>
      </c>
      <c r="C9" s="5" t="n">
        <v>11.6063</v>
      </c>
      <c r="D9" s="1" t="n">
        <f aca="false">LN(B9/B8)</f>
        <v>0.0151991392679106</v>
      </c>
      <c r="E9" s="1" t="n">
        <f aca="false">LN(C9/C8)</f>
        <v>5.16973979089856E-005</v>
      </c>
      <c r="F9" s="1" t="n">
        <f aca="false">B9/B8-1</f>
        <v>0.0153152336174784</v>
      </c>
      <c r="G9" s="1" t="n">
        <f aca="false">C9/C8-1</f>
        <v>5.16987342424891E-005</v>
      </c>
    </row>
    <row r="10" customFormat="false" ht="15" hidden="false" customHeight="false" outlineLevel="0" collapsed="false">
      <c r="A10" s="1" t="s">
        <v>15</v>
      </c>
      <c r="B10" s="5" t="n">
        <v>29.1701</v>
      </c>
      <c r="C10" s="5" t="n">
        <v>11.6068</v>
      </c>
      <c r="D10" s="1" t="n">
        <f aca="false">LN(B10/B9)</f>
        <v>0.00206588954737916</v>
      </c>
      <c r="E10" s="1" t="n">
        <f aca="false">LN(C10/C9)</f>
        <v>4.30791234328003E-005</v>
      </c>
      <c r="F10" s="1" t="n">
        <f aca="false">B10/B9-1</f>
        <v>0.00206802496745095</v>
      </c>
      <c r="G10" s="1" t="n">
        <f aca="false">C10/C9-1</f>
        <v>4.30800513515628E-005</v>
      </c>
    </row>
    <row r="11" customFormat="false" ht="15" hidden="false" customHeight="false" outlineLevel="0" collapsed="false">
      <c r="A11" s="1" t="s">
        <v>16</v>
      </c>
      <c r="B11" s="5" t="n">
        <v>29.1393</v>
      </c>
      <c r="C11" s="5" t="n">
        <v>11.6087</v>
      </c>
      <c r="D11" s="1" t="n">
        <f aca="false">LN(B11/B10)</f>
        <v>-0.00105643353780133</v>
      </c>
      <c r="E11" s="1" t="n">
        <f aca="false">LN(C11/C10)</f>
        <v>0.000163683746138769</v>
      </c>
      <c r="F11" s="1" t="n">
        <f aca="false">B11/B10-1</f>
        <v>-0.00105587570834531</v>
      </c>
      <c r="G11" s="1" t="n">
        <f aca="false">C11/C10-1</f>
        <v>0.000163697143054087</v>
      </c>
    </row>
    <row r="12" customFormat="false" ht="15" hidden="false" customHeight="false" outlineLevel="0" collapsed="false">
      <c r="A12" s="1" t="s">
        <v>17</v>
      </c>
      <c r="B12" s="5" t="n">
        <v>29.1234</v>
      </c>
      <c r="C12" s="5" t="n">
        <v>11.6094</v>
      </c>
      <c r="D12" s="1" t="n">
        <f aca="false">LN(B12/B11)</f>
        <v>-0.000545803761058703</v>
      </c>
      <c r="E12" s="1" t="n">
        <f aca="false">LN(C12/C11)</f>
        <v>6.02977849360331E-005</v>
      </c>
      <c r="F12" s="1" t="n">
        <f aca="false">B12/B11-1</f>
        <v>-0.000545654837281528</v>
      </c>
      <c r="G12" s="1" t="n">
        <f aca="false">C12/C11-1</f>
        <v>6.02996028840064E-005</v>
      </c>
    </row>
    <row r="13" customFormat="false" ht="15" hidden="false" customHeight="false" outlineLevel="0" collapsed="false">
      <c r="A13" s="1" t="s">
        <v>18</v>
      </c>
      <c r="B13" s="5" t="n">
        <v>28.8328</v>
      </c>
      <c r="C13" s="5" t="n">
        <v>11.6099</v>
      </c>
      <c r="D13" s="1" t="n">
        <f aca="false">LN(B13/B12)</f>
        <v>-0.0100283467657068</v>
      </c>
      <c r="E13" s="1" t="n">
        <f aca="false">LN(C13/C12)</f>
        <v>4.30676204774235E-005</v>
      </c>
      <c r="F13" s="1" t="n">
        <f aca="false">B13/B12-1</f>
        <v>-0.00997823056373914</v>
      </c>
      <c r="G13" s="1" t="n">
        <f aca="false">C13/C12-1</f>
        <v>4.30685479007042E-005</v>
      </c>
    </row>
    <row r="14" customFormat="false" ht="15" hidden="false" customHeight="false" outlineLevel="0" collapsed="false">
      <c r="A14" s="1" t="s">
        <v>19</v>
      </c>
      <c r="B14" s="5" t="n">
        <v>28.8158</v>
      </c>
      <c r="C14" s="5" t="n">
        <v>11.6104</v>
      </c>
      <c r="D14" s="1" t="n">
        <f aca="false">LN(B14/B13)</f>
        <v>-0.000589780167871318</v>
      </c>
      <c r="E14" s="1" t="n">
        <f aca="false">LN(C14/C13)</f>
        <v>4.30657657374495E-005</v>
      </c>
      <c r="F14" s="1" t="n">
        <f aca="false">B14/B13-1</f>
        <v>-0.000589606281734656</v>
      </c>
      <c r="G14" s="1" t="n">
        <f aca="false">C14/C13-1</f>
        <v>4.3066693080851E-005</v>
      </c>
    </row>
    <row r="15" customFormat="false" ht="15" hidden="false" customHeight="false" outlineLevel="0" collapsed="false">
      <c r="A15" s="1" t="s">
        <v>20</v>
      </c>
      <c r="B15" s="5" t="n">
        <v>28.6944</v>
      </c>
      <c r="C15" s="5" t="n">
        <v>11.611</v>
      </c>
      <c r="D15" s="1" t="n">
        <f aca="false">LN(B15/B14)</f>
        <v>-0.00422186604536094</v>
      </c>
      <c r="E15" s="1" t="n">
        <f aca="false">LN(C15/C14)</f>
        <v>5.16764708530016E-005</v>
      </c>
      <c r="F15" s="1" t="n">
        <f aca="false">B15/B14-1</f>
        <v>-0.00421296649754643</v>
      </c>
      <c r="G15" s="1" t="n">
        <f aca="false">C15/C14-1</f>
        <v>5.16778061048218E-005</v>
      </c>
    </row>
    <row r="16" customFormat="false" ht="15" hidden="false" customHeight="false" outlineLevel="0" collapsed="false">
      <c r="A16" s="1" t="s">
        <v>21</v>
      </c>
      <c r="B16" s="5" t="n">
        <v>29.0979</v>
      </c>
      <c r="C16" s="5" t="n">
        <v>11.6125</v>
      </c>
      <c r="D16" s="1" t="n">
        <f aca="false">LN(B16/B15)</f>
        <v>0.0139640248493865</v>
      </c>
      <c r="E16" s="1" t="n">
        <f aca="false">LN(C16/C15)</f>
        <v>0.000129179495087819</v>
      </c>
      <c r="F16" s="1" t="n">
        <f aca="false">B16/B15-1</f>
        <v>0.0140619772499162</v>
      </c>
      <c r="G16" s="1" t="n">
        <f aca="false">C16/C15-1</f>
        <v>0.000129187839118083</v>
      </c>
    </row>
    <row r="17" customFormat="false" ht="15" hidden="false" customHeight="false" outlineLevel="0" collapsed="false">
      <c r="A17" s="1" t="s">
        <v>22</v>
      </c>
      <c r="B17" s="5" t="n">
        <v>29.069</v>
      </c>
      <c r="C17" s="5" t="n">
        <v>11.6134</v>
      </c>
      <c r="D17" s="1" t="n">
        <f aca="false">LN(B17/B16)</f>
        <v>-0.000993692370679758</v>
      </c>
      <c r="E17" s="1" t="n">
        <f aca="false">LN(C17/C16)</f>
        <v>7.74996878871526E-005</v>
      </c>
      <c r="F17" s="1" t="n">
        <f aca="false">B17/B16-1</f>
        <v>-0.00099319882190807</v>
      </c>
      <c r="G17" s="1" t="n">
        <f aca="false">C17/C16-1</f>
        <v>7.75026910655452E-005</v>
      </c>
    </row>
    <row r="18" customFormat="false" ht="15" hidden="false" customHeight="false" outlineLevel="0" collapsed="false">
      <c r="A18" s="1" t="s">
        <v>23</v>
      </c>
      <c r="B18" s="5" t="n">
        <v>29.0659</v>
      </c>
      <c r="C18" s="5" t="n">
        <v>11.6141</v>
      </c>
      <c r="D18" s="1" t="n">
        <f aca="false">LN(B18/B17)</f>
        <v>-0.000106648502119656</v>
      </c>
      <c r="E18" s="1" t="n">
        <f aca="false">LN(C18/C17)</f>
        <v>6.0273382861764E-005</v>
      </c>
      <c r="F18" s="1" t="n">
        <f aca="false">B18/B17-1</f>
        <v>-0.000106642815370317</v>
      </c>
      <c r="G18" s="1" t="n">
        <f aca="false">C18/C17-1</f>
        <v>6.02751993385997E-005</v>
      </c>
    </row>
    <row r="19" customFormat="false" ht="15" hidden="false" customHeight="false" outlineLevel="0" collapsed="false">
      <c r="A19" s="1" t="s">
        <v>24</v>
      </c>
      <c r="B19" s="5" t="n">
        <v>29.6455</v>
      </c>
      <c r="C19" s="5" t="n">
        <v>11.615</v>
      </c>
      <c r="D19" s="1" t="n">
        <f aca="false">LN(B19/B18)</f>
        <v>0.0197446775155513</v>
      </c>
      <c r="E19" s="1" t="n">
        <f aca="false">LN(C19/C18)</f>
        <v>7.74890116663969E-005</v>
      </c>
      <c r="F19" s="1" t="n">
        <f aca="false">B19/B18-1</f>
        <v>0.0199408929363962</v>
      </c>
      <c r="G19" s="1" t="n">
        <f aca="false">C19/C18-1</f>
        <v>7.74920140174107E-005</v>
      </c>
    </row>
    <row r="20" customFormat="false" ht="15" hidden="false" customHeight="false" outlineLevel="0" collapsed="false">
      <c r="A20" s="1" t="s">
        <v>25</v>
      </c>
      <c r="B20" s="5" t="n">
        <v>30.6198</v>
      </c>
      <c r="C20" s="5" t="n">
        <v>11.6158</v>
      </c>
      <c r="D20" s="1" t="n">
        <f aca="false">LN(B20/B19)</f>
        <v>0.032336515261835</v>
      </c>
      <c r="E20" s="1" t="n">
        <f aca="false">LN(C20/C19)</f>
        <v>6.8874080988718E-005</v>
      </c>
      <c r="F20" s="1" t="n">
        <f aca="false">B20/B19-1</f>
        <v>0.0328650216727666</v>
      </c>
      <c r="G20" s="1" t="n">
        <f aca="false">C20/C19-1</f>
        <v>6.88764528626873E-005</v>
      </c>
    </row>
    <row r="21" customFormat="false" ht="15" hidden="false" customHeight="false" outlineLevel="0" collapsed="false">
      <c r="A21" s="1" t="s">
        <v>26</v>
      </c>
      <c r="B21" s="5" t="n">
        <v>30.3181</v>
      </c>
      <c r="C21" s="5" t="n">
        <v>11.6177</v>
      </c>
      <c r="D21" s="1" t="n">
        <f aca="false">LN(B21/B20)</f>
        <v>-0.00990196462657295</v>
      </c>
      <c r="E21" s="1" t="n">
        <f aca="false">LN(C21/C20)</f>
        <v>0.000163556933241608</v>
      </c>
      <c r="F21" s="1" t="n">
        <f aca="false">B21/B20-1</f>
        <v>-0.00985310158786146</v>
      </c>
      <c r="G21" s="1" t="n">
        <f aca="false">C21/C20-1</f>
        <v>0.000163570309406058</v>
      </c>
    </row>
    <row r="22" customFormat="false" ht="15" hidden="false" customHeight="false" outlineLevel="0" collapsed="false">
      <c r="A22" s="1" t="s">
        <v>27</v>
      </c>
      <c r="B22" s="5" t="n">
        <v>30.2689</v>
      </c>
      <c r="C22" s="5" t="n">
        <v>11.6181</v>
      </c>
      <c r="D22" s="1" t="n">
        <f aca="false">LN(B22/B21)</f>
        <v>-0.00162411113983938</v>
      </c>
      <c r="E22" s="1" t="n">
        <f aca="false">LN(C22/C21)</f>
        <v>3.44296301431393E-005</v>
      </c>
      <c r="F22" s="1" t="n">
        <f aca="false">B22/B21-1</f>
        <v>-0.00162279298504864</v>
      </c>
      <c r="G22" s="1" t="n">
        <f aca="false">C22/C21-1</f>
        <v>3.44302228496574E-005</v>
      </c>
    </row>
    <row r="23" customFormat="false" ht="15" hidden="false" customHeight="false" outlineLevel="0" collapsed="false">
      <c r="A23" s="1" t="s">
        <v>28</v>
      </c>
      <c r="B23" s="5" t="n">
        <v>30.2953</v>
      </c>
      <c r="C23" s="5" t="n">
        <v>11.6185</v>
      </c>
      <c r="D23" s="1" t="n">
        <f aca="false">LN(B23/B22)</f>
        <v>0.000871802208964542</v>
      </c>
      <c r="E23" s="1" t="n">
        <f aca="false">LN(C23/C22)</f>
        <v>3.44284447843944E-005</v>
      </c>
      <c r="F23" s="1" t="n">
        <f aca="false">B23/B22-1</f>
        <v>0.000872182338968353</v>
      </c>
      <c r="G23" s="1" t="n">
        <f aca="false">C23/C22-1</f>
        <v>3.44290374501011E-005</v>
      </c>
    </row>
    <row r="24" customFormat="false" ht="15" hidden="false" customHeight="false" outlineLevel="0" collapsed="false">
      <c r="A24" s="1" t="s">
        <v>29</v>
      </c>
      <c r="B24" s="5" t="n">
        <v>30.1248</v>
      </c>
      <c r="C24" s="5" t="n">
        <v>11.6188</v>
      </c>
      <c r="D24" s="1" t="n">
        <f aca="false">LN(B24/B23)</f>
        <v>-0.00564383218748576</v>
      </c>
      <c r="E24" s="1" t="n">
        <f aca="false">LN(C24/C23)</f>
        <v>2.58205557458853E-005</v>
      </c>
      <c r="F24" s="1" t="n">
        <f aca="false">B24/B23-1</f>
        <v>-0.00562793568639364</v>
      </c>
      <c r="G24" s="1" t="n">
        <f aca="false">C24/C23-1</f>
        <v>2.58208890993039E-005</v>
      </c>
    </row>
    <row r="25" customFormat="false" ht="15" hidden="false" customHeight="false" outlineLevel="0" collapsed="false">
      <c r="A25" s="1" t="s">
        <v>30</v>
      </c>
      <c r="B25" s="5" t="n">
        <v>29.9504</v>
      </c>
      <c r="C25" s="5" t="n">
        <v>11.6194</v>
      </c>
      <c r="D25" s="1" t="n">
        <f aca="false">LN(B25/B24)</f>
        <v>-0.00580607271970386</v>
      </c>
      <c r="E25" s="1" t="n">
        <f aca="false">LN(C25/C24)</f>
        <v>5.1639111474463E-005</v>
      </c>
      <c r="F25" s="1" t="n">
        <f aca="false">B25/B24-1</f>
        <v>-0.00578925005311248</v>
      </c>
      <c r="G25" s="1" t="n">
        <f aca="false">C25/C24-1</f>
        <v>5.16404447963303E-005</v>
      </c>
    </row>
    <row r="26" customFormat="false" ht="15" hidden="false" customHeight="false" outlineLevel="0" collapsed="false">
      <c r="A26" s="1" t="s">
        <v>31</v>
      </c>
      <c r="B26" s="5" t="n">
        <v>29.9799</v>
      </c>
      <c r="C26" s="5" t="n">
        <v>11.6212</v>
      </c>
      <c r="D26" s="1" t="n">
        <f aca="false">LN(B26/B25)</f>
        <v>0.000984477046922996</v>
      </c>
      <c r="E26" s="1" t="n">
        <f aca="false">LN(C26/C25)</f>
        <v>0.000154901336763946</v>
      </c>
      <c r="F26" s="1" t="n">
        <f aca="false">B26/B25-1</f>
        <v>0.00098496180351515</v>
      </c>
      <c r="G26" s="1" t="n">
        <f aca="false">C26/C25-1</f>
        <v>0.000154913334595497</v>
      </c>
    </row>
    <row r="27" customFormat="false" ht="15" hidden="false" customHeight="false" outlineLevel="0" collapsed="false">
      <c r="A27" s="1" t="s">
        <v>32</v>
      </c>
      <c r="B27" s="5" t="n">
        <v>30.4863</v>
      </c>
      <c r="C27" s="5" t="n">
        <v>11.6218</v>
      </c>
      <c r="D27" s="1" t="n">
        <f aca="false">LN(B27/B26)</f>
        <v>0.0167502452619434</v>
      </c>
      <c r="E27" s="1" t="n">
        <f aca="false">LN(C27/C26)</f>
        <v>5.16284472860177E-005</v>
      </c>
      <c r="F27" s="1" t="n">
        <f aca="false">B27/B26-1</f>
        <v>0.0168913171825122</v>
      </c>
      <c r="G27" s="1" t="n">
        <f aca="false">C27/C26-1</f>
        <v>5.16297800572385E-005</v>
      </c>
    </row>
    <row r="28" customFormat="false" ht="15" hidden="false" customHeight="false" outlineLevel="0" collapsed="false">
      <c r="A28" s="1" t="s">
        <v>33</v>
      </c>
      <c r="B28" s="5" t="n">
        <v>30.4102</v>
      </c>
      <c r="C28" s="5" t="n">
        <v>11.6223</v>
      </c>
      <c r="D28" s="1" t="n">
        <f aca="false">LN(B28/B27)</f>
        <v>-0.00249932392219515</v>
      </c>
      <c r="E28" s="1" t="n">
        <f aca="false">LN(C28/C27)</f>
        <v>4.30216700217511E-005</v>
      </c>
      <c r="F28" s="1" t="n">
        <f aca="false">B28/B27-1</f>
        <v>-0.00249620321259059</v>
      </c>
      <c r="G28" s="1" t="n">
        <f aca="false">C28/C27-1</f>
        <v>4.30225954670682E-005</v>
      </c>
    </row>
    <row r="29" customFormat="false" ht="15" hidden="false" customHeight="false" outlineLevel="0" collapsed="false">
      <c r="A29" s="1" t="s">
        <v>34</v>
      </c>
      <c r="B29" s="5" t="n">
        <v>30.5539</v>
      </c>
      <c r="C29" s="5" t="n">
        <v>11.6228</v>
      </c>
      <c r="D29" s="1" t="n">
        <f aca="false">LN(B29/B28)</f>
        <v>0.00471425859268329</v>
      </c>
      <c r="E29" s="1" t="n">
        <f aca="false">LN(C29/C28)</f>
        <v>4.30198192374684E-005</v>
      </c>
      <c r="F29" s="1" t="n">
        <f aca="false">B29/B28-1</f>
        <v>0.00472538819211965</v>
      </c>
      <c r="G29" s="1" t="n">
        <f aca="false">C29/C28-1</f>
        <v>4.30207446031616E-005</v>
      </c>
    </row>
    <row r="30" customFormat="false" ht="15" hidden="false" customHeight="false" outlineLevel="0" collapsed="false">
      <c r="A30" s="1" t="s">
        <v>35</v>
      </c>
      <c r="B30" s="5" t="n">
        <v>30.6342</v>
      </c>
      <c r="C30" s="5" t="n">
        <v>11.6235</v>
      </c>
      <c r="D30" s="1" t="n">
        <f aca="false">LN(B30/B29)</f>
        <v>0.00262469487037655</v>
      </c>
      <c r="E30" s="1" t="n">
        <f aca="false">LN(C30/C29)</f>
        <v>6.0224637917622E-005</v>
      </c>
      <c r="F30" s="1" t="n">
        <f aca="false">B30/B29-1</f>
        <v>0.00262814239753362</v>
      </c>
      <c r="G30" s="1" t="n">
        <f aca="false">C30/C29-1</f>
        <v>6.02264514575346E-005</v>
      </c>
    </row>
    <row r="31" customFormat="false" ht="15" hidden="false" customHeight="false" outlineLevel="0" collapsed="false">
      <c r="A31" s="1" t="s">
        <v>36</v>
      </c>
      <c r="B31" s="5" t="n">
        <v>30.3266</v>
      </c>
      <c r="C31" s="5" t="n">
        <v>11.6254</v>
      </c>
      <c r="D31" s="1" t="n">
        <f aca="false">LN(B31/B30)</f>
        <v>-0.0100918167286642</v>
      </c>
      <c r="E31" s="1" t="n">
        <f aca="false">LN(C31/C30)</f>
        <v>0.000163448593630659</v>
      </c>
      <c r="F31" s="1" t="n">
        <f aca="false">B31/B30-1</f>
        <v>-0.0100410652146947</v>
      </c>
      <c r="G31" s="1" t="n">
        <f aca="false">C31/C30-1</f>
        <v>0.000163461952079835</v>
      </c>
    </row>
    <row r="32" customFormat="false" ht="15" hidden="false" customHeight="false" outlineLevel="0" collapsed="false">
      <c r="A32" s="1" t="s">
        <v>37</v>
      </c>
      <c r="B32" s="5" t="n">
        <v>30.1651</v>
      </c>
      <c r="C32" s="5" t="n">
        <v>11.6259</v>
      </c>
      <c r="D32" s="1" t="n">
        <f aca="false">LN(B32/B31)</f>
        <v>-0.00533958819848278</v>
      </c>
      <c r="E32" s="1" t="n">
        <f aca="false">LN(C32/C31)</f>
        <v>4.30083479269557E-005</v>
      </c>
      <c r="F32" s="1" t="n">
        <f aca="false">B32/B31-1</f>
        <v>-0.00532535793659694</v>
      </c>
      <c r="G32" s="1" t="n">
        <f aca="false">C32/C31-1</f>
        <v>4.30092727992104E-005</v>
      </c>
    </row>
    <row r="33" customFormat="false" ht="15" hidden="false" customHeight="false" outlineLevel="0" collapsed="false">
      <c r="A33" s="1" t="s">
        <v>38</v>
      </c>
      <c r="B33" s="5" t="n">
        <v>30.3647</v>
      </c>
      <c r="C33" s="5" t="n">
        <v>11.6264</v>
      </c>
      <c r="D33" s="1" t="n">
        <f aca="false">LN(B33/B32)</f>
        <v>0.00659512251740368</v>
      </c>
      <c r="E33" s="1" t="n">
        <f aca="false">LN(C33/C32)</f>
        <v>4.30064982885712E-005</v>
      </c>
      <c r="F33" s="1" t="n">
        <f aca="false">B33/B32-1</f>
        <v>0.00661691822669241</v>
      </c>
      <c r="G33" s="1" t="n">
        <f aca="false">C33/C32-1</f>
        <v>4.3007423081276E-005</v>
      </c>
    </row>
    <row r="34" customFormat="false" ht="15" hidden="false" customHeight="false" outlineLevel="0" collapsed="false">
      <c r="A34" s="1" t="s">
        <v>39</v>
      </c>
      <c r="B34" s="5" t="n">
        <v>30.5333</v>
      </c>
      <c r="C34" s="5" t="n">
        <v>11.627</v>
      </c>
      <c r="D34" s="1" t="n">
        <f aca="false">LN(B34/B33)</f>
        <v>0.00553714180340666</v>
      </c>
      <c r="E34" s="1" t="n">
        <f aca="false">LN(C34/C33)</f>
        <v>5.16053566474679E-005</v>
      </c>
      <c r="F34" s="1" t="n">
        <f aca="false">B34/B33-1</f>
        <v>0.00555250010703223</v>
      </c>
      <c r="G34" s="1" t="n">
        <f aca="false">C34/C33-1</f>
        <v>5.16066882267907E-005</v>
      </c>
    </row>
    <row r="35" customFormat="false" ht="15" hidden="false" customHeight="false" outlineLevel="0" collapsed="false">
      <c r="A35" s="1" t="s">
        <v>40</v>
      </c>
      <c r="B35" s="5" t="n">
        <v>30.548</v>
      </c>
      <c r="C35" s="5" t="n">
        <v>11.6277</v>
      </c>
      <c r="D35" s="1" t="n">
        <f aca="false">LN(B35/B34)</f>
        <v>0.000481325717815366</v>
      </c>
      <c r="E35" s="1" t="n">
        <f aca="false">LN(C35/C34)</f>
        <v>6.02028837363762E-005</v>
      </c>
      <c r="F35" s="1" t="n">
        <f aca="false">B35/B34-1</f>
        <v>0.000481441573626062</v>
      </c>
      <c r="G35" s="1" t="n">
        <f aca="false">C35/C34-1</f>
        <v>6.02046959663483E-005</v>
      </c>
    </row>
    <row r="36" customFormat="false" ht="15" hidden="false" customHeight="false" outlineLevel="0" collapsed="false">
      <c r="A36" s="1" t="s">
        <v>41</v>
      </c>
      <c r="B36" s="5" t="n">
        <v>30.3703</v>
      </c>
      <c r="C36" s="5" t="n">
        <v>11.6296</v>
      </c>
      <c r="D36" s="1" t="n">
        <f aca="false">LN(B36/B35)</f>
        <v>-0.00583405984802309</v>
      </c>
      <c r="E36" s="1" t="n">
        <f aca="false">LN(C36/C35)</f>
        <v>0.000163389559770623</v>
      </c>
      <c r="F36" s="1" t="n">
        <f aca="false">B36/B35-1</f>
        <v>-0.00581707476757887</v>
      </c>
      <c r="G36" s="1" t="n">
        <f aca="false">C36/C35-1</f>
        <v>0.000163402908571753</v>
      </c>
    </row>
    <row r="37" customFormat="false" ht="15" hidden="false" customHeight="false" outlineLevel="0" collapsed="false">
      <c r="A37" s="1" t="s">
        <v>42</v>
      </c>
      <c r="B37" s="5" t="n">
        <v>29.9734</v>
      </c>
      <c r="C37" s="5" t="n">
        <v>11.6304</v>
      </c>
      <c r="D37" s="1" t="n">
        <f aca="false">LN(B37/B36)</f>
        <v>-0.0131548355040285</v>
      </c>
      <c r="E37" s="1" t="n">
        <f aca="false">LN(C37/C36)</f>
        <v>6.87876182557914E-005</v>
      </c>
      <c r="F37" s="1" t="n">
        <f aca="false">B37/B36-1</f>
        <v>-0.0130686888176935</v>
      </c>
      <c r="G37" s="1" t="n">
        <f aca="false">C37/C36-1</f>
        <v>6.87899841782524E-005</v>
      </c>
    </row>
    <row r="38" customFormat="false" ht="15" hidden="false" customHeight="false" outlineLevel="0" collapsed="false">
      <c r="A38" s="1" t="s">
        <v>43</v>
      </c>
      <c r="B38" s="5" t="n">
        <v>30.2694</v>
      </c>
      <c r="C38" s="5" t="n">
        <v>11.631</v>
      </c>
      <c r="D38" s="1" t="n">
        <f aca="false">LN(B38/B37)</f>
        <v>0.00982697955754064</v>
      </c>
      <c r="E38" s="1" t="n">
        <f aca="false">LN(C38/C37)</f>
        <v>5.15876086679824E-005</v>
      </c>
      <c r="F38" s="1" t="n">
        <f aca="false">B38/B37-1</f>
        <v>0.00987542287494914</v>
      </c>
      <c r="G38" s="1" t="n">
        <f aca="false">C38/C37-1</f>
        <v>5.15889393315483E-005</v>
      </c>
    </row>
    <row r="39" customFormat="false" ht="15" hidden="false" customHeight="false" outlineLevel="0" collapsed="false">
      <c r="A39" s="1" t="s">
        <v>44</v>
      </c>
      <c r="B39" s="5" t="n">
        <v>30.1261</v>
      </c>
      <c r="C39" s="5" t="n">
        <v>11.6315</v>
      </c>
      <c r="D39" s="1" t="n">
        <f aca="false">LN(B39/B38)</f>
        <v>-0.00474539556462489</v>
      </c>
      <c r="E39" s="1" t="n">
        <f aca="false">LN(C39/C38)</f>
        <v>4.29876410598198E-005</v>
      </c>
      <c r="F39" s="1" t="n">
        <f aca="false">B39/B38-1</f>
        <v>-0.00473415396406929</v>
      </c>
      <c r="G39" s="1" t="n">
        <f aca="false">C39/C38-1</f>
        <v>4.29885650417017E-005</v>
      </c>
    </row>
    <row r="40" customFormat="false" ht="15" hidden="false" customHeight="false" outlineLevel="0" collapsed="false">
      <c r="A40" s="1" t="s">
        <v>45</v>
      </c>
      <c r="B40" s="5" t="n">
        <v>30.2062</v>
      </c>
      <c r="C40" s="5" t="n">
        <v>11.6321</v>
      </c>
      <c r="D40" s="1" t="n">
        <f aca="false">LN(B40/B39)</f>
        <v>0.00265529565631383</v>
      </c>
      <c r="E40" s="1" t="n">
        <f aca="false">LN(C40/C39)</f>
        <v>5.15827301131801E-005</v>
      </c>
      <c r="F40" s="1" t="n">
        <f aca="false">B40/B39-1</f>
        <v>0.00265882407613316</v>
      </c>
      <c r="G40" s="1" t="n">
        <f aca="false">C40/C39-1</f>
        <v>5.15840605250784E-005</v>
      </c>
    </row>
    <row r="41" customFormat="false" ht="15" hidden="false" customHeight="false" outlineLevel="0" collapsed="false">
      <c r="A41" s="1" t="s">
        <v>46</v>
      </c>
      <c r="B41" s="5" t="n">
        <v>29.9676</v>
      </c>
      <c r="C41" s="5" t="n">
        <v>11.6339</v>
      </c>
      <c r="D41" s="1" t="n">
        <f aca="false">LN(B41/B40)</f>
        <v>-0.00793040328140465</v>
      </c>
      <c r="E41" s="1" t="n">
        <f aca="false">LN(C41/C40)</f>
        <v>0.000154732227593188</v>
      </c>
      <c r="F41" s="1" t="n">
        <f aca="false">B41/B40-1</f>
        <v>-0.00789904059431501</v>
      </c>
      <c r="G41" s="1" t="n">
        <f aca="false">C41/C40-1</f>
        <v>0.000154744199241774</v>
      </c>
    </row>
    <row r="42" customFormat="false" ht="15" hidden="false" customHeight="false" outlineLevel="0" collapsed="false">
      <c r="A42" s="1" t="s">
        <v>47</v>
      </c>
      <c r="B42" s="5" t="n">
        <v>30.0376</v>
      </c>
      <c r="C42" s="5" t="n">
        <v>11.6347</v>
      </c>
      <c r="D42" s="1" t="n">
        <f aca="false">LN(B42/B41)</f>
        <v>0.00233313218700322</v>
      </c>
      <c r="E42" s="1" t="n">
        <f aca="false">LN(C42/C41)</f>
        <v>6.8762194572603E-005</v>
      </c>
      <c r="F42" s="1" t="n">
        <f aca="false">B42/B41-1</f>
        <v>0.0023358560578759</v>
      </c>
      <c r="G42" s="1" t="n">
        <f aca="false">C42/C41-1</f>
        <v>6.87645587464925E-005</v>
      </c>
    </row>
    <row r="43" customFormat="false" ht="15" hidden="false" customHeight="false" outlineLevel="0" collapsed="false">
      <c r="A43" s="1" t="s">
        <v>48</v>
      </c>
      <c r="B43" s="5" t="n">
        <v>29.8419</v>
      </c>
      <c r="C43" s="5" t="n">
        <v>11.6354</v>
      </c>
      <c r="D43" s="1" t="n">
        <f aca="false">LN(B43/B42)</f>
        <v>-0.00653648399813659</v>
      </c>
      <c r="E43" s="1" t="n">
        <f aca="false">LN(C43/C42)</f>
        <v>6.01630418614804E-005</v>
      </c>
      <c r="F43" s="1" t="n">
        <f aca="false">B43/B42-1</f>
        <v>-0.00651516765653726</v>
      </c>
      <c r="G43" s="1" t="n">
        <f aca="false">C43/C42-1</f>
        <v>6.01648516935782E-005</v>
      </c>
    </row>
    <row r="44" customFormat="false" ht="15" hidden="false" customHeight="false" outlineLevel="0" collapsed="false">
      <c r="A44" s="1" t="s">
        <v>49</v>
      </c>
      <c r="B44" s="5" t="n">
        <v>30.0022</v>
      </c>
      <c r="C44" s="5" t="n">
        <v>11.636</v>
      </c>
      <c r="D44" s="1" t="n">
        <f aca="false">LN(B44/B43)</f>
        <v>0.00535726607595367</v>
      </c>
      <c r="E44" s="1" t="n">
        <f aca="false">LN(C44/C43)</f>
        <v>5.1565440852904E-005</v>
      </c>
      <c r="F44" s="1" t="n">
        <f aca="false">B44/B43-1</f>
        <v>0.00537164188607298</v>
      </c>
      <c r="G44" s="1" t="n">
        <f aca="false">C44/C43-1</f>
        <v>5.15667703731015E-005</v>
      </c>
    </row>
    <row r="45" customFormat="false" ht="15" hidden="false" customHeight="false" outlineLevel="0" collapsed="false">
      <c r="A45" s="1" t="s">
        <v>50</v>
      </c>
      <c r="B45" s="5" t="n">
        <v>29.767</v>
      </c>
      <c r="C45" s="5" t="n">
        <v>11.6365</v>
      </c>
      <c r="D45" s="1" t="n">
        <f aca="false">LN(B45/B44)</f>
        <v>-0.00787031494680033</v>
      </c>
      <c r="E45" s="1" t="n">
        <f aca="false">LN(C45/C44)</f>
        <v>4.29691696275165E-005</v>
      </c>
      <c r="F45" s="1" t="n">
        <f aca="false">B45/B44-1</f>
        <v>-0.00783942510882529</v>
      </c>
      <c r="G45" s="1" t="n">
        <f aca="false">C45/C44-1</f>
        <v>4.29700928155086E-005</v>
      </c>
    </row>
    <row r="46" customFormat="false" ht="15" hidden="false" customHeight="false" outlineLevel="0" collapsed="false">
      <c r="A46" s="1" t="s">
        <v>51</v>
      </c>
      <c r="B46" s="5" t="n">
        <v>29.678</v>
      </c>
      <c r="C46" s="5" t="n">
        <v>11.6386</v>
      </c>
      <c r="D46" s="1" t="n">
        <f aca="false">LN(B46/B45)</f>
        <v>-0.00299436677599611</v>
      </c>
      <c r="E46" s="1" t="n">
        <f aca="false">LN(C46/C45)</f>
        <v>0.000180450353012275</v>
      </c>
      <c r="F46" s="1" t="n">
        <f aca="false">B46/B45-1</f>
        <v>-0.00298988813115186</v>
      </c>
      <c r="G46" s="1" t="n">
        <f aca="false">C46/C45-1</f>
        <v>0.000180466635156584</v>
      </c>
    </row>
    <row r="47" customFormat="false" ht="15" hidden="false" customHeight="false" outlineLevel="0" collapsed="false">
      <c r="A47" s="1" t="s">
        <v>52</v>
      </c>
      <c r="B47" s="5" t="n">
        <v>29.3991</v>
      </c>
      <c r="C47" s="5" t="n">
        <v>11.6391</v>
      </c>
      <c r="D47" s="1" t="n">
        <f aca="false">LN(B47/B46)</f>
        <v>-0.00944196895276104</v>
      </c>
      <c r="E47" s="1" t="n">
        <f aca="false">LN(C47/C46)</f>
        <v>4.29595707545683E-005</v>
      </c>
      <c r="F47" s="1" t="n">
        <f aca="false">B47/B46-1</f>
        <v>-0.00939753352651795</v>
      </c>
      <c r="G47" s="1" t="n">
        <f aca="false">C47/C46-1</f>
        <v>4.2960493530142E-005</v>
      </c>
    </row>
    <row r="48" customFormat="false" ht="15" hidden="false" customHeight="false" outlineLevel="0" collapsed="false">
      <c r="A48" s="1" t="s">
        <v>53</v>
      </c>
      <c r="B48" s="5" t="n">
        <v>29.2706</v>
      </c>
      <c r="C48" s="5" t="n">
        <v>11.6404</v>
      </c>
      <c r="D48" s="1" t="n">
        <f aca="false">LN(B48/B47)</f>
        <v>-0.00438046233324031</v>
      </c>
      <c r="E48" s="1" t="n">
        <f aca="false">LN(C48/C47)</f>
        <v>0.000111686247672971</v>
      </c>
      <c r="F48" s="1" t="n">
        <f aca="false">B48/B47-1</f>
        <v>-0.00437088210183301</v>
      </c>
      <c r="G48" s="1" t="n">
        <f aca="false">C48/C47-1</f>
        <v>0.00011169248481413</v>
      </c>
    </row>
    <row r="49" customFormat="false" ht="15" hidden="false" customHeight="false" outlineLevel="0" collapsed="false">
      <c r="A49" s="1" t="s">
        <v>54</v>
      </c>
      <c r="B49" s="5" t="n">
        <v>29.5695</v>
      </c>
      <c r="C49" s="5" t="n">
        <v>11.641</v>
      </c>
      <c r="D49" s="1" t="n">
        <f aca="false">LN(B49/B48)</f>
        <v>0.0101598253940715</v>
      </c>
      <c r="E49" s="1" t="n">
        <f aca="false">LN(C49/C48)</f>
        <v>5.15432920815624E-005</v>
      </c>
      <c r="F49" s="1" t="n">
        <f aca="false">B49/B48-1</f>
        <v>0.0102116116512814</v>
      </c>
      <c r="G49" s="1" t="n">
        <f aca="false">C49/C48-1</f>
        <v>5.15446204598646E-005</v>
      </c>
    </row>
    <row r="50" customFormat="false" ht="15" hidden="false" customHeight="false" outlineLevel="0" collapsed="false">
      <c r="A50" s="1" t="s">
        <v>55</v>
      </c>
      <c r="B50" s="5" t="n">
        <v>29.4205</v>
      </c>
      <c r="C50" s="5" t="n">
        <v>11.6428</v>
      </c>
      <c r="D50" s="1" t="n">
        <f aca="false">LN(B50/B49)</f>
        <v>-0.00505171442179856</v>
      </c>
      <c r="E50" s="1" t="n">
        <f aca="false">LN(C50/C49)</f>
        <v>0.000154613937895434</v>
      </c>
      <c r="F50" s="1" t="n">
        <f aca="false">B50/B49-1</f>
        <v>-0.00503897597186298</v>
      </c>
      <c r="G50" s="1" t="n">
        <f aca="false">C50/C49-1</f>
        <v>0.000154625891246374</v>
      </c>
    </row>
    <row r="51" customFormat="false" ht="15" hidden="false" customHeight="false" outlineLevel="0" collapsed="false">
      <c r="A51" s="1" t="s">
        <v>56</v>
      </c>
      <c r="B51" s="5" t="n">
        <v>28.8067</v>
      </c>
      <c r="C51" s="5" t="n">
        <v>11.6433</v>
      </c>
      <c r="D51" s="1" t="n">
        <f aca="false">LN(B51/B50)</f>
        <v>-0.0210837112956475</v>
      </c>
      <c r="E51" s="1" t="n">
        <f aca="false">LN(C51/C50)</f>
        <v>4.29440739391229E-005</v>
      </c>
      <c r="F51" s="1" t="n">
        <f aca="false">B51/B50-1</f>
        <v>-0.0208630036879047</v>
      </c>
      <c r="G51" s="1" t="n">
        <f aca="false">C51/C50-1</f>
        <v>4.29449960490658E-005</v>
      </c>
    </row>
    <row r="52" customFormat="false" ht="15" hidden="false" customHeight="false" outlineLevel="0" collapsed="false">
      <c r="A52" s="1" t="s">
        <v>57</v>
      </c>
      <c r="B52" s="5" t="n">
        <v>29.1208</v>
      </c>
      <c r="C52" s="5" t="n">
        <v>11.6448</v>
      </c>
      <c r="D52" s="1" t="n">
        <f aca="false">LN(B52/B51)</f>
        <v>0.0108446965040358</v>
      </c>
      <c r="E52" s="1" t="n">
        <f aca="false">LN(C52/C51)</f>
        <v>0.000128821157765153</v>
      </c>
      <c r="F52" s="1" t="n">
        <f aca="false">B52/B51-1</f>
        <v>0.0109037133722363</v>
      </c>
      <c r="G52" s="1" t="n">
        <f aca="false">C52/C51-1</f>
        <v>0.000128829455566803</v>
      </c>
    </row>
    <row r="53" customFormat="false" ht="15" hidden="false" customHeight="false" outlineLevel="0" collapsed="false">
      <c r="A53" s="1" t="s">
        <v>58</v>
      </c>
      <c r="B53" s="5" t="n">
        <v>29.0635</v>
      </c>
      <c r="C53" s="5" t="n">
        <v>11.6456</v>
      </c>
      <c r="D53" s="1" t="n">
        <f aca="false">LN(B53/B52)</f>
        <v>-0.00196960412083147</v>
      </c>
      <c r="E53" s="1" t="n">
        <f aca="false">LN(C53/C52)</f>
        <v>6.86978326103546E-005</v>
      </c>
      <c r="F53" s="1" t="n">
        <f aca="false">B53/B52-1</f>
        <v>-0.00196766572346907</v>
      </c>
      <c r="G53" s="1" t="n">
        <f aca="false">C53/C52-1</f>
        <v>6.87001923604935E-005</v>
      </c>
    </row>
    <row r="54" customFormat="false" ht="15" hidden="false" customHeight="false" outlineLevel="0" collapsed="false">
      <c r="A54" s="1" t="s">
        <v>59</v>
      </c>
      <c r="B54" s="5" t="n">
        <v>29.0199</v>
      </c>
      <c r="C54" s="5" t="n">
        <v>11.6462</v>
      </c>
      <c r="D54" s="1" t="n">
        <f aca="false">LN(B54/B53)</f>
        <v>-0.00150128980703841</v>
      </c>
      <c r="E54" s="1" t="n">
        <f aca="false">LN(C54/C53)</f>
        <v>5.15202775340325E-005</v>
      </c>
      <c r="F54" s="1" t="n">
        <f aca="false">B54/B53-1</f>
        <v>-0.00150016343523673</v>
      </c>
      <c r="G54" s="1" t="n">
        <f aca="false">C54/C53-1</f>
        <v>5.15216047263234E-005</v>
      </c>
    </row>
    <row r="55" customFormat="false" ht="15" hidden="false" customHeight="false" outlineLevel="0" collapsed="false">
      <c r="A55" s="1" t="s">
        <v>60</v>
      </c>
      <c r="B55" s="5" t="n">
        <v>28.5706</v>
      </c>
      <c r="C55" s="5" t="n">
        <v>11.6481</v>
      </c>
      <c r="D55" s="1" t="n">
        <f aca="false">LN(B55/B54)</f>
        <v>-0.0156035844785097</v>
      </c>
      <c r="E55" s="1" t="n">
        <f aca="false">LN(C55/C54)</f>
        <v>0.000163130036464854</v>
      </c>
      <c r="F55" s="1" t="n">
        <f aca="false">B55/B54-1</f>
        <v>-0.0154824792642291</v>
      </c>
      <c r="G55" s="1" t="n">
        <f aca="false">C55/C54-1</f>
        <v>0.000163143342892802</v>
      </c>
    </row>
    <row r="56" customFormat="false" ht="15" hidden="false" customHeight="false" outlineLevel="0" collapsed="false">
      <c r="A56" s="1" t="s">
        <v>61</v>
      </c>
      <c r="B56" s="5" t="n">
        <v>28.6027</v>
      </c>
      <c r="C56" s="5" t="n">
        <v>11.6486</v>
      </c>
      <c r="D56" s="1" t="n">
        <f aca="false">LN(B56/B55)</f>
        <v>0.00112290189206948</v>
      </c>
      <c r="E56" s="1" t="n">
        <f aca="false">LN(C56/C55)</f>
        <v>4.29245343827563E-005</v>
      </c>
      <c r="F56" s="1" t="n">
        <f aca="false">B56/B55-1</f>
        <v>0.0011235325824448</v>
      </c>
      <c r="G56" s="1" t="n">
        <f aca="false">C56/C55-1</f>
        <v>4.29254556537639E-005</v>
      </c>
    </row>
    <row r="57" customFormat="false" ht="15" hidden="false" customHeight="false" outlineLevel="0" collapsed="false">
      <c r="A57" s="1" t="s">
        <v>62</v>
      </c>
      <c r="B57" s="5" t="n">
        <v>28.9861</v>
      </c>
      <c r="C57" s="5" t="n">
        <v>11.6493</v>
      </c>
      <c r="D57" s="1" t="n">
        <f aca="false">LN(B57/B56)</f>
        <v>0.0133152857714398</v>
      </c>
      <c r="E57" s="1" t="n">
        <f aca="false">LN(C57/C56)</f>
        <v>6.00912528778833E-005</v>
      </c>
      <c r="F57" s="1" t="n">
        <f aca="false">B57/B56-1</f>
        <v>0.0134043289619512</v>
      </c>
      <c r="G57" s="1" t="n">
        <f aca="false">C57/C56-1</f>
        <v>6.00930583933845E-005</v>
      </c>
    </row>
    <row r="58" customFormat="false" ht="15" hidden="false" customHeight="false" outlineLevel="0" collapsed="false">
      <c r="A58" s="1" t="s">
        <v>63</v>
      </c>
      <c r="B58" s="5" t="n">
        <v>29.0204</v>
      </c>
      <c r="C58" s="5" t="n">
        <v>11.6499</v>
      </c>
      <c r="D58" s="1" t="n">
        <f aca="false">LN(B58/B57)</f>
        <v>0.00118262622284312</v>
      </c>
      <c r="E58" s="1" t="n">
        <f aca="false">LN(C58/C57)</f>
        <v>5.15039143088576E-005</v>
      </c>
      <c r="F58" s="1" t="n">
        <f aca="false">B58/B57-1</f>
        <v>0.00118332580098723</v>
      </c>
      <c r="G58" s="1" t="n">
        <f aca="false">C58/C57-1</f>
        <v>5.15052406582228E-005</v>
      </c>
    </row>
    <row r="59" customFormat="false" ht="15" hidden="false" customHeight="false" outlineLevel="0" collapsed="false">
      <c r="A59" s="1" t="s">
        <v>64</v>
      </c>
      <c r="B59" s="5" t="n">
        <v>28.9717</v>
      </c>
      <c r="C59" s="5" t="n">
        <v>11.6505</v>
      </c>
      <c r="D59" s="1" t="n">
        <f aca="false">LN(B59/B58)</f>
        <v>-0.0016795395044484</v>
      </c>
      <c r="E59" s="1" t="n">
        <f aca="false">LN(C59/C58)</f>
        <v>5.15012617922644E-005</v>
      </c>
      <c r="F59" s="1" t="n">
        <f aca="false">B59/B58-1</f>
        <v>-0.00167812986726579</v>
      </c>
      <c r="G59" s="1" t="n">
        <f aca="false">C59/C58-1</f>
        <v>5.15025880050146E-005</v>
      </c>
    </row>
    <row r="60" customFormat="false" ht="15" hidden="false" customHeight="false" outlineLevel="0" collapsed="false">
      <c r="A60" s="1" t="s">
        <v>65</v>
      </c>
      <c r="B60" s="5" t="n">
        <v>28.8494</v>
      </c>
      <c r="C60" s="5" t="n">
        <v>11.6522</v>
      </c>
      <c r="D60" s="1" t="n">
        <f aca="false">LN(B60/B59)</f>
        <v>-0.00423029594331257</v>
      </c>
      <c r="E60" s="1" t="n">
        <f aca="false">LN(C60/C59)</f>
        <v>0.000145905839496498</v>
      </c>
      <c r="F60" s="1" t="n">
        <f aca="false">B60/B59-1</f>
        <v>-0.00422136084523861</v>
      </c>
      <c r="G60" s="1" t="n">
        <f aca="false">C60/C59-1</f>
        <v>0.000145916484271202</v>
      </c>
    </row>
    <row r="61" customFormat="false" ht="15" hidden="false" customHeight="false" outlineLevel="0" collapsed="false">
      <c r="A61" s="1" t="s">
        <v>66</v>
      </c>
      <c r="B61" s="5" t="n">
        <v>28.8286</v>
      </c>
      <c r="C61" s="5" t="n">
        <v>11.6529</v>
      </c>
      <c r="D61" s="1" t="n">
        <f aca="false">LN(B61/B60)</f>
        <v>-0.000721245566825061</v>
      </c>
      <c r="E61" s="1" t="n">
        <f aca="false">LN(C61/C60)</f>
        <v>6.00726879703917E-005</v>
      </c>
      <c r="F61" s="1" t="n">
        <f aca="false">B61/B60-1</f>
        <v>-0.000720985531761365</v>
      </c>
      <c r="G61" s="1" t="n">
        <f aca="false">C61/C60-1</f>
        <v>6.00744923704433E-005</v>
      </c>
    </row>
    <row r="62" customFormat="false" ht="15" hidden="false" customHeight="false" outlineLevel="0" collapsed="false">
      <c r="A62" s="1" t="s">
        <v>67</v>
      </c>
      <c r="B62" s="5" t="n">
        <v>28.7593</v>
      </c>
      <c r="C62" s="5" t="n">
        <v>11.6535</v>
      </c>
      <c r="D62" s="1" t="n">
        <f aca="false">LN(B62/B61)</f>
        <v>-0.00240675674756536</v>
      </c>
      <c r="E62" s="1" t="n">
        <f aca="false">LN(C62/C61)</f>
        <v>5.1488003306593E-005</v>
      </c>
      <c r="F62" s="1" t="n">
        <f aca="false">B62/B61-1</f>
        <v>-0.0024038628306613</v>
      </c>
      <c r="G62" s="1" t="n">
        <f aca="false">C62/C61-1</f>
        <v>5.14893288365848E-005</v>
      </c>
    </row>
    <row r="63" customFormat="false" ht="15" hidden="false" customHeight="false" outlineLevel="0" collapsed="false">
      <c r="A63" s="1" t="s">
        <v>68</v>
      </c>
      <c r="B63" s="5" t="n">
        <v>28.539</v>
      </c>
      <c r="C63" s="5" t="n">
        <v>11.6541</v>
      </c>
      <c r="D63" s="1" t="n">
        <f aca="false">LN(B63/B62)</f>
        <v>-0.00768962030398667</v>
      </c>
      <c r="E63" s="1" t="n">
        <f aca="false">LN(C63/C62)</f>
        <v>5.14853524285624E-005</v>
      </c>
      <c r="F63" s="1" t="n">
        <f aca="false">B63/B62-1</f>
        <v>-0.00766013080985972</v>
      </c>
      <c r="G63" s="1" t="n">
        <f aca="false">C63/C62-1</f>
        <v>5.14866778220657E-005</v>
      </c>
    </row>
    <row r="64" customFormat="false" ht="15" hidden="false" customHeight="false" outlineLevel="0" collapsed="false">
      <c r="A64" s="1" t="s">
        <v>69</v>
      </c>
      <c r="B64" s="5" t="n">
        <v>28.5494</v>
      </c>
      <c r="C64" s="5" t="n">
        <v>11.6547</v>
      </c>
      <c r="D64" s="1" t="n">
        <f aca="false">LN(B64/B63)</f>
        <v>0.000364347226933986</v>
      </c>
      <c r="E64" s="1" t="n">
        <f aca="false">LN(C64/C63)</f>
        <v>5.14827018236255E-005</v>
      </c>
      <c r="F64" s="1" t="n">
        <f aca="false">B64/B63-1</f>
        <v>0.000364413609446723</v>
      </c>
      <c r="G64" s="1" t="n">
        <f aca="false">C64/C63-1</f>
        <v>5.14840270806616E-005</v>
      </c>
    </row>
    <row r="65" customFormat="false" ht="15" hidden="false" customHeight="false" outlineLevel="0" collapsed="false">
      <c r="A65" s="1" t="s">
        <v>70</v>
      </c>
      <c r="B65" s="5" t="n">
        <v>28.5421</v>
      </c>
      <c r="C65" s="5" t="n">
        <v>11.6565</v>
      </c>
      <c r="D65" s="1" t="n">
        <f aca="false">LN(B65/B64)</f>
        <v>-0.000255729838584726</v>
      </c>
      <c r="E65" s="1" t="n">
        <f aca="false">LN(C65/C64)</f>
        <v>0.000154432204569229</v>
      </c>
      <c r="F65" s="1" t="n">
        <f aca="false">B65/B64-1</f>
        <v>-0.000255697142496736</v>
      </c>
      <c r="G65" s="1" t="n">
        <f aca="false">C65/C64-1</f>
        <v>0.000154444129836007</v>
      </c>
    </row>
    <row r="66" customFormat="false" ht="15" hidden="false" customHeight="false" outlineLevel="0" collapsed="false">
      <c r="A66" s="1" t="s">
        <v>71</v>
      </c>
      <c r="B66" s="5" t="n">
        <v>28.7105</v>
      </c>
      <c r="C66" s="5" t="n">
        <v>11.6571</v>
      </c>
      <c r="D66" s="1" t="n">
        <f aca="false">LN(B66/B65)</f>
        <v>0.00588271923520193</v>
      </c>
      <c r="E66" s="1" t="n">
        <f aca="false">LN(C66/C65)</f>
        <v>5.14721021321517E-005</v>
      </c>
      <c r="F66" s="1" t="n">
        <f aca="false">B66/B65-1</f>
        <v>0.00590005640790259</v>
      </c>
      <c r="G66" s="1" t="n">
        <f aca="false">C66/C65-1</f>
        <v>5.14734268435291E-005</v>
      </c>
    </row>
    <row r="67" customFormat="false" ht="15" hidden="false" customHeight="false" outlineLevel="0" collapsed="false">
      <c r="A67" s="1" t="s">
        <v>72</v>
      </c>
      <c r="B67" s="5" t="n">
        <v>29.0599</v>
      </c>
      <c r="C67" s="5" t="n">
        <v>11.6577</v>
      </c>
      <c r="D67" s="1" t="n">
        <f aca="false">LN(B67/B66)</f>
        <v>0.0120963074640067</v>
      </c>
      <c r="E67" s="1" t="n">
        <f aca="false">LN(C67/C66)</f>
        <v>5.14694528911295E-005</v>
      </c>
      <c r="F67" s="1" t="n">
        <f aca="false">B67/B66-1</f>
        <v>0.0121697636753104</v>
      </c>
      <c r="G67" s="1" t="n">
        <f aca="false">C67/C66-1</f>
        <v>5.14707774661449E-005</v>
      </c>
    </row>
    <row r="68" customFormat="false" ht="15" hidden="false" customHeight="false" outlineLevel="0" collapsed="false">
      <c r="A68" s="1" t="s">
        <v>73</v>
      </c>
      <c r="B68" s="6" t="n">
        <v>29.2133</v>
      </c>
      <c r="C68" s="6" t="n">
        <v>11.6577</v>
      </c>
      <c r="D68" s="1" t="n">
        <f aca="false">LN(B68/B67)</f>
        <v>0.0052648680470251</v>
      </c>
      <c r="E68" s="1" t="n">
        <f aca="false">LN(C68/C67)</f>
        <v>0</v>
      </c>
      <c r="F68" s="1" t="n">
        <f aca="false">B68/B67-1</f>
        <v>0.00527875181951765</v>
      </c>
      <c r="G68" s="1" t="n">
        <f aca="false">C68/C67-1</f>
        <v>0</v>
      </c>
      <c r="H68" s="7" t="s">
        <v>74</v>
      </c>
    </row>
    <row r="69" customFormat="false" ht="15" hidden="false" customHeight="false" outlineLevel="0" collapsed="false">
      <c r="A69" s="1" t="s">
        <v>75</v>
      </c>
      <c r="B69" s="5" t="n">
        <v>29.266</v>
      </c>
      <c r="C69" s="5" t="n">
        <v>11.6587</v>
      </c>
      <c r="D69" s="1" t="n">
        <f aca="false">LN(B69/B68)</f>
        <v>0.001802347643222</v>
      </c>
      <c r="E69" s="1" t="n">
        <f aca="false">LN(C69/C68)</f>
        <v>8.57765350236256E-005</v>
      </c>
      <c r="F69" s="1" t="n">
        <f aca="false">B69/B68-1</f>
        <v>0.0018039728479835</v>
      </c>
      <c r="G69" s="1" t="n">
        <f aca="false">C69/C68-1</f>
        <v>8.57802139357933E-005</v>
      </c>
    </row>
    <row r="70" customFormat="false" ht="15" hidden="false" customHeight="false" outlineLevel="0" collapsed="false">
      <c r="A70" s="1" t="s">
        <v>76</v>
      </c>
      <c r="B70" s="5" t="n">
        <v>29.5631</v>
      </c>
      <c r="C70" s="5" t="n">
        <v>11.6609</v>
      </c>
      <c r="D70" s="1" t="n">
        <f aca="false">LN(B70/B69)</f>
        <v>0.0101005293590431</v>
      </c>
      <c r="E70" s="1" t="n">
        <f aca="false">LN(C70/C69)</f>
        <v>0.000188682482249115</v>
      </c>
      <c r="F70" s="1" t="n">
        <f aca="false">B70/B69-1</f>
        <v>0.0101517118840977</v>
      </c>
      <c r="G70" s="1" t="n">
        <f aca="false">C70/C69-1</f>
        <v>0.000188700283908272</v>
      </c>
    </row>
    <row r="71" customFormat="false" ht="15" hidden="false" customHeight="false" outlineLevel="0" collapsed="false">
      <c r="A71" s="1" t="s">
        <v>77</v>
      </c>
      <c r="B71" s="5" t="n">
        <v>29.4626</v>
      </c>
      <c r="C71" s="5" t="n">
        <v>11.6613</v>
      </c>
      <c r="D71" s="1" t="n">
        <f aca="false">LN(B71/B70)</f>
        <v>-0.00340529962768864</v>
      </c>
      <c r="E71" s="1" t="n">
        <f aca="false">LN(C71/C70)</f>
        <v>3.43020812821292E-005</v>
      </c>
      <c r="F71" s="1" t="n">
        <f aca="false">B71/B70-1</f>
        <v>-0.00339950817065871</v>
      </c>
      <c r="G71" s="1" t="n">
        <f aca="false">C71/C70-1</f>
        <v>3.43026696052462E-005</v>
      </c>
    </row>
    <row r="72" customFormat="false" ht="15" hidden="false" customHeight="false" outlineLevel="0" collapsed="false">
      <c r="A72" s="1" t="s">
        <v>78</v>
      </c>
      <c r="B72" s="5" t="n">
        <v>29.4815</v>
      </c>
      <c r="C72" s="5" t="n">
        <v>11.6616</v>
      </c>
      <c r="D72" s="1" t="n">
        <f aca="false">LN(B72/B71)</f>
        <v>0.00064128557897114</v>
      </c>
      <c r="E72" s="1" t="n">
        <f aca="false">LN(C72/C71)</f>
        <v>2.57257888184539E-005</v>
      </c>
      <c r="F72" s="1" t="n">
        <f aca="false">B72/B71-1</f>
        <v>0.000641491246529569</v>
      </c>
      <c r="G72" s="1" t="n">
        <f aca="false">C72/C71-1</f>
        <v>2.57261197293968E-005</v>
      </c>
    </row>
    <row r="73" customFormat="false" ht="15" hidden="false" customHeight="false" outlineLevel="0" collapsed="false">
      <c r="A73" s="1" t="s">
        <v>79</v>
      </c>
      <c r="B73" s="5" t="n">
        <v>29.5797</v>
      </c>
      <c r="C73" s="5" t="n">
        <v>11.6622</v>
      </c>
      <c r="D73" s="1" t="n">
        <f aca="false">LN(B73/B72)</f>
        <v>0.0033253672628336</v>
      </c>
      <c r="E73" s="1" t="n">
        <f aca="false">LN(C73/C72)</f>
        <v>5.14495922732854E-005</v>
      </c>
      <c r="F73" s="1" t="n">
        <f aca="false">B73/B72-1</f>
        <v>0.00333090243033762</v>
      </c>
      <c r="G73" s="1" t="n">
        <f aca="false">C73/C72-1</f>
        <v>5.14509158262566E-005</v>
      </c>
    </row>
    <row r="74" customFormat="false" ht="15" hidden="false" customHeight="false" outlineLevel="0" collapsed="false">
      <c r="A74" s="1" t="s">
        <v>80</v>
      </c>
      <c r="B74" s="5" t="n">
        <v>30.1004</v>
      </c>
      <c r="C74" s="5" t="n">
        <v>11.6656</v>
      </c>
      <c r="D74" s="1" t="n">
        <f aca="false">LN(B74/B73)</f>
        <v>0.0174501454596826</v>
      </c>
      <c r="E74" s="1" t="n">
        <f aca="false">LN(C74/C73)</f>
        <v>0.000291497700089573</v>
      </c>
      <c r="F74" s="1" t="n">
        <f aca="false">B74/B73-1</f>
        <v>0.0176032887419413</v>
      </c>
      <c r="G74" s="1" t="n">
        <f aca="false">C74/C73-1</f>
        <v>0.00029154018967259</v>
      </c>
    </row>
    <row r="75" customFormat="false" ht="15" hidden="false" customHeight="false" outlineLevel="0" collapsed="false">
      <c r="A75" s="1" t="s">
        <v>81</v>
      </c>
      <c r="B75" s="5" t="n">
        <v>30.0182</v>
      </c>
      <c r="C75" s="5" t="n">
        <v>11.6662</v>
      </c>
      <c r="D75" s="1" t="n">
        <f aca="false">LN(B75/B74)</f>
        <v>-0.00273459632208376</v>
      </c>
      <c r="E75" s="1" t="n">
        <f aca="false">LN(C75/C74)</f>
        <v>5.14319512539681E-005</v>
      </c>
      <c r="F75" s="1" t="n">
        <f aca="false">B75/B74-1</f>
        <v>-0.00273086071945894</v>
      </c>
      <c r="G75" s="1" t="n">
        <f aca="false">C75/C74-1</f>
        <v>5.14332738994483E-005</v>
      </c>
    </row>
    <row r="76" customFormat="false" ht="15" hidden="false" customHeight="false" outlineLevel="0" collapsed="false">
      <c r="A76" s="1" t="s">
        <v>82</v>
      </c>
      <c r="B76" s="5" t="n">
        <v>29.8513</v>
      </c>
      <c r="C76" s="5" t="n">
        <v>11.6679</v>
      </c>
      <c r="D76" s="1" t="n">
        <f aca="false">LN(B76/B75)</f>
        <v>-0.00557547440192562</v>
      </c>
      <c r="E76" s="1" t="n">
        <f aca="false">LN(C76/C75)</f>
        <v>0.000145709498374167</v>
      </c>
      <c r="F76" s="1" t="n">
        <f aca="false">B76/B75-1</f>
        <v>-0.005559960290757</v>
      </c>
      <c r="G76" s="1" t="n">
        <f aca="false">C76/C75-1</f>
        <v>0.000145720114518744</v>
      </c>
    </row>
    <row r="77" customFormat="false" ht="15" hidden="false" customHeight="false" outlineLevel="0" collapsed="false">
      <c r="A77" s="1" t="s">
        <v>83</v>
      </c>
      <c r="B77" s="5" t="n">
        <v>30.0796</v>
      </c>
      <c r="C77" s="5" t="n">
        <v>11.6684</v>
      </c>
      <c r="D77" s="1" t="n">
        <f aca="false">LN(B77/B76)</f>
        <v>0.00761881114181393</v>
      </c>
      <c r="E77" s="1" t="n">
        <f aca="false">LN(C77/C76)</f>
        <v>4.2851694576875E-005</v>
      </c>
      <c r="F77" s="1" t="n">
        <f aca="false">B77/B76-1</f>
        <v>0.00764790813130412</v>
      </c>
      <c r="G77" s="1" t="n">
        <f aca="false">C77/C76-1</f>
        <v>4.28526127238538E-005</v>
      </c>
    </row>
    <row r="78" customFormat="false" ht="15" hidden="false" customHeight="false" outlineLevel="0" collapsed="false">
      <c r="A78" s="1" t="s">
        <v>84</v>
      </c>
      <c r="B78" s="5" t="n">
        <v>29.6367</v>
      </c>
      <c r="C78" s="5" t="n">
        <v>11.6691</v>
      </c>
      <c r="D78" s="1" t="n">
        <f aca="false">LN(B78/B77)</f>
        <v>-0.0148337429236998</v>
      </c>
      <c r="E78" s="1" t="n">
        <f aca="false">LN(C78/C77)</f>
        <v>5.99892876451717E-005</v>
      </c>
      <c r="F78" s="1" t="n">
        <f aca="false">B78/B77-1</f>
        <v>-0.0147242649503317</v>
      </c>
      <c r="G78" s="1" t="n">
        <f aca="false">C78/C77-1</f>
        <v>5.9991087038469E-005</v>
      </c>
    </row>
    <row r="79" customFormat="false" ht="15" hidden="false" customHeight="false" outlineLevel="0" collapsed="false">
      <c r="A79" s="1" t="s">
        <v>85</v>
      </c>
      <c r="B79" s="5" t="n">
        <v>29.4942</v>
      </c>
      <c r="C79" s="5" t="n">
        <v>11.6698</v>
      </c>
      <c r="D79" s="1" t="n">
        <f aca="false">LN(B79/B78)</f>
        <v>-0.00481982435121185</v>
      </c>
      <c r="E79" s="1" t="n">
        <f aca="false">LN(C79/C78)</f>
        <v>5.99856891463834E-005</v>
      </c>
      <c r="F79" s="1" t="n">
        <f aca="false">B79/B78-1</f>
        <v>-0.00480822763668021</v>
      </c>
      <c r="G79" s="1" t="n">
        <f aca="false">C79/C78-1</f>
        <v>5.99874883238094E-005</v>
      </c>
    </row>
    <row r="80" customFormat="false" ht="15" hidden="false" customHeight="false" outlineLevel="0" collapsed="false">
      <c r="A80" s="1" t="s">
        <v>86</v>
      </c>
      <c r="B80" s="5" t="n">
        <v>29.7546</v>
      </c>
      <c r="C80" s="5" t="n">
        <v>11.6703</v>
      </c>
      <c r="D80" s="1" t="n">
        <f aca="false">LN(B80/B79)</f>
        <v>0.00879010804168279</v>
      </c>
      <c r="E80" s="1" t="n">
        <f aca="false">LN(C80/C79)</f>
        <v>4.28447178954929E-005</v>
      </c>
      <c r="F80" s="1" t="n">
        <f aca="false">B80/B79-1</f>
        <v>0.00882885448664483</v>
      </c>
      <c r="G80" s="1" t="n">
        <f aca="false">C80/C79-1</f>
        <v>4.2845635743527E-005</v>
      </c>
    </row>
    <row r="81" customFormat="false" ht="15" hidden="false" customHeight="false" outlineLevel="0" collapsed="false">
      <c r="A81" s="1" t="s">
        <v>87</v>
      </c>
      <c r="B81" s="5" t="n">
        <v>29.6062</v>
      </c>
      <c r="C81" s="5" t="n">
        <v>11.6722</v>
      </c>
      <c r="D81" s="1" t="n">
        <f aca="false">LN(B81/B80)</f>
        <v>-0.00499994303174798</v>
      </c>
      <c r="E81" s="1" t="n">
        <f aca="false">LN(C81/C80)</f>
        <v>0.000162793188749877</v>
      </c>
      <c r="F81" s="1" t="n">
        <f aca="false">B81/B80-1</f>
        <v>-0.0049874641231944</v>
      </c>
      <c r="G81" s="1" t="n">
        <f aca="false">C81/C80-1</f>
        <v>0.000162806440280106</v>
      </c>
    </row>
    <row r="82" customFormat="false" ht="15" hidden="false" customHeight="false" outlineLevel="0" collapsed="false">
      <c r="A82" s="1" t="s">
        <v>88</v>
      </c>
      <c r="B82" s="5" t="n">
        <v>29.2907</v>
      </c>
      <c r="C82" s="5" t="n">
        <v>11.6729</v>
      </c>
      <c r="D82" s="1" t="n">
        <f aca="false">LN(B82/B81)</f>
        <v>-0.0107137393602191</v>
      </c>
      <c r="E82" s="1" t="n">
        <f aca="false">LN(C82/C81)</f>
        <v>5.99697581257357E-005</v>
      </c>
      <c r="F82" s="1" t="n">
        <f aca="false">B82/B81-1</f>
        <v>-0.0106565516682317</v>
      </c>
      <c r="G82" s="1" t="n">
        <f aca="false">C82/C81-1</f>
        <v>5.99715563476266E-005</v>
      </c>
    </row>
    <row r="83" customFormat="false" ht="15" hidden="false" customHeight="false" outlineLevel="0" collapsed="false">
      <c r="A83" s="1" t="s">
        <v>89</v>
      </c>
      <c r="B83" s="5" t="n">
        <v>29.0997</v>
      </c>
      <c r="C83" s="5" t="n">
        <v>11.6741</v>
      </c>
      <c r="D83" s="1" t="n">
        <f aca="false">LN(B83/B82)</f>
        <v>-0.00654219464973004</v>
      </c>
      <c r="E83" s="1" t="n">
        <f aca="false">LN(C83/C82)</f>
        <v>0.000102796933315217</v>
      </c>
      <c r="F83" s="1" t="n">
        <f aca="false">B83/B82-1</f>
        <v>-0.00652084108607864</v>
      </c>
      <c r="G83" s="1" t="n">
        <f aca="false">C83/C82-1</f>
        <v>0.000102802217101017</v>
      </c>
    </row>
    <row r="84" customFormat="false" ht="15" hidden="false" customHeight="false" outlineLevel="0" collapsed="false">
      <c r="A84" s="1" t="s">
        <v>90</v>
      </c>
      <c r="B84" s="5" t="n">
        <v>29.1906</v>
      </c>
      <c r="C84" s="5" t="n">
        <v>11.6757</v>
      </c>
      <c r="D84" s="1" t="n">
        <f aca="false">LN(B84/B83)</f>
        <v>0.00311887479340103</v>
      </c>
      <c r="E84" s="1" t="n">
        <f aca="false">LN(C84/C83)</f>
        <v>0.000137046141937473</v>
      </c>
      <c r="F84" s="1" t="n">
        <f aca="false">B84/B83-1</f>
        <v>0.00312374354374789</v>
      </c>
      <c r="G84" s="1" t="n">
        <f aca="false">C84/C83-1</f>
        <v>0.00013705553318899</v>
      </c>
    </row>
    <row r="85" customFormat="false" ht="15" hidden="false" customHeight="false" outlineLevel="0" collapsed="false">
      <c r="A85" s="1" t="s">
        <v>91</v>
      </c>
      <c r="B85" s="5" t="n">
        <v>29.127</v>
      </c>
      <c r="C85" s="5" t="n">
        <v>11.6789</v>
      </c>
      <c r="D85" s="1" t="n">
        <f aca="false">LN(B85/B84)</f>
        <v>-0.00218116058323887</v>
      </c>
      <c r="E85" s="1" t="n">
        <f aca="false">LN(C85/C84)</f>
        <v>0.000274035951806005</v>
      </c>
      <c r="F85" s="1" t="n">
        <f aca="false">B85/B84-1</f>
        <v>-0.00217878358101586</v>
      </c>
      <c r="G85" s="1" t="n">
        <f aca="false">C85/C84-1</f>
        <v>0.000274073503087502</v>
      </c>
    </row>
    <row r="86" customFormat="false" ht="15" hidden="false" customHeight="false" outlineLevel="0" collapsed="false">
      <c r="A86" s="1" t="s">
        <v>92</v>
      </c>
      <c r="B86" s="5" t="n">
        <v>28.7844</v>
      </c>
      <c r="C86" s="5" t="n">
        <v>11.6792</v>
      </c>
      <c r="D86" s="1" t="n">
        <f aca="false">LN(B86/B85)</f>
        <v>-0.0118320053352698</v>
      </c>
      <c r="E86" s="1" t="n">
        <f aca="false">LN(C86/C85)</f>
        <v>2.56870207779619E-005</v>
      </c>
      <c r="F86" s="1" t="n">
        <f aca="false">B86/B85-1</f>
        <v>-0.0117622824183746</v>
      </c>
      <c r="G86" s="1" t="n">
        <f aca="false">C86/C85-1</f>
        <v>2.5687350692305E-005</v>
      </c>
    </row>
    <row r="87" customFormat="false" ht="15" hidden="false" customHeight="false" outlineLevel="0" collapsed="false">
      <c r="A87" s="1" t="s">
        <v>93</v>
      </c>
      <c r="B87" s="5" t="n">
        <v>29.0685</v>
      </c>
      <c r="C87" s="5" t="n">
        <v>11.6796</v>
      </c>
      <c r="D87" s="1" t="n">
        <f aca="false">LN(B87/B86)</f>
        <v>0.00982153993142909</v>
      </c>
      <c r="E87" s="1" t="n">
        <f aca="false">LN(C87/C86)</f>
        <v>3.42483346781985E-005</v>
      </c>
      <c r="F87" s="1" t="n">
        <f aca="false">B87/B86-1</f>
        <v>0.0098699295451703</v>
      </c>
      <c r="G87" s="1" t="n">
        <f aca="false">C87/C86-1</f>
        <v>3.42489211591079E-005</v>
      </c>
    </row>
    <row r="88" customFormat="false" ht="15" hidden="false" customHeight="false" outlineLevel="0" collapsed="false">
      <c r="A88" s="1" t="s">
        <v>94</v>
      </c>
      <c r="B88" s="5" t="n">
        <v>28.9331</v>
      </c>
      <c r="C88" s="5" t="n">
        <v>11.6809</v>
      </c>
      <c r="D88" s="1" t="n">
        <f aca="false">LN(B88/B87)</f>
        <v>-0.00466884520272935</v>
      </c>
      <c r="E88" s="1" t="n">
        <f aca="false">LN(C88/C87)</f>
        <v>0.000111298987721992</v>
      </c>
      <c r="F88" s="1" t="n">
        <f aca="false">B88/B87-1</f>
        <v>-0.00465796308719058</v>
      </c>
      <c r="G88" s="1" t="n">
        <f aca="false">C88/C87-1</f>
        <v>0.000111305181684118</v>
      </c>
    </row>
    <row r="89" customFormat="false" ht="15" hidden="false" customHeight="false" outlineLevel="0" collapsed="false">
      <c r="A89" s="1" t="s">
        <v>95</v>
      </c>
      <c r="B89" s="5" t="n">
        <v>28.6456</v>
      </c>
      <c r="C89" s="5" t="n">
        <v>11.6814</v>
      </c>
      <c r="D89" s="1" t="n">
        <f aca="false">LN(B89/B88)</f>
        <v>-0.00998641474448646</v>
      </c>
      <c r="E89" s="1" t="n">
        <f aca="false">LN(C89/C88)</f>
        <v>4.28040047493628E-005</v>
      </c>
      <c r="F89" s="1" t="n">
        <f aca="false">B89/B88-1</f>
        <v>-0.00993671607950752</v>
      </c>
      <c r="G89" s="1" t="n">
        <f aca="false">C89/C88-1</f>
        <v>4.2804920853845E-005</v>
      </c>
    </row>
    <row r="90" customFormat="false" ht="15" hidden="false" customHeight="false" outlineLevel="0" collapsed="false">
      <c r="A90" s="1" t="s">
        <v>96</v>
      </c>
      <c r="B90" s="5" t="n">
        <v>28.8846</v>
      </c>
      <c r="C90" s="5" t="n">
        <v>11.682</v>
      </c>
      <c r="D90" s="1" t="n">
        <f aca="false">LN(B90/B89)</f>
        <v>0.00830872741428083</v>
      </c>
      <c r="E90" s="1" t="n">
        <f aca="false">LN(C90/C89)</f>
        <v>5.13623873350167E-005</v>
      </c>
      <c r="F90" s="1" t="n">
        <f aca="false">B90/B89-1</f>
        <v>0.00834334068757503</v>
      </c>
      <c r="G90" s="1" t="n">
        <f aca="false">C90/C89-1</f>
        <v>5.13637064050165E-005</v>
      </c>
    </row>
    <row r="91" customFormat="false" ht="15" hidden="false" customHeight="false" outlineLevel="0" collapsed="false">
      <c r="A91" s="1" t="s">
        <v>97</v>
      </c>
      <c r="B91" s="5" t="n">
        <v>28.8297</v>
      </c>
      <c r="C91" s="5" t="n">
        <v>11.6826</v>
      </c>
      <c r="D91" s="1" t="n">
        <f aca="false">LN(B91/B90)</f>
        <v>-0.00190247535043516</v>
      </c>
      <c r="E91" s="1" t="n">
        <f aca="false">LN(C91/C90)</f>
        <v>5.13597493756549E-005</v>
      </c>
      <c r="F91" s="1" t="n">
        <f aca="false">B91/B90-1</f>
        <v>-0.00190066679130052</v>
      </c>
      <c r="G91" s="1" t="n">
        <f aca="false">C91/C90-1</f>
        <v>5.13610683101629E-005</v>
      </c>
    </row>
    <row r="92" customFormat="false" ht="15" hidden="false" customHeight="false" outlineLevel="0" collapsed="false">
      <c r="A92" s="1" t="s">
        <v>98</v>
      </c>
      <c r="B92" s="5" t="n">
        <v>29.1099</v>
      </c>
      <c r="C92" s="5" t="n">
        <v>11.6831</v>
      </c>
      <c r="D92" s="1" t="n">
        <f aca="false">LN(B92/B91)</f>
        <v>0.00967221673710482</v>
      </c>
      <c r="E92" s="1" t="n">
        <f aca="false">LN(C92/C91)</f>
        <v>4.27977762340198E-005</v>
      </c>
      <c r="F92" s="1" t="n">
        <f aca="false">B92/B91-1</f>
        <v>0.00971914379962335</v>
      </c>
      <c r="G92" s="1" t="n">
        <f aca="false">C92/C91-1</f>
        <v>4.27986920719103E-005</v>
      </c>
    </row>
    <row r="93" customFormat="false" ht="15" hidden="false" customHeight="false" outlineLevel="0" collapsed="false">
      <c r="A93" s="1" t="s">
        <v>99</v>
      </c>
      <c r="B93" s="5" t="n">
        <v>29.0653</v>
      </c>
      <c r="C93" s="5" t="n">
        <v>11.6843</v>
      </c>
      <c r="D93" s="1" t="n">
        <f aca="false">LN(B93/B92)</f>
        <v>-0.00153329971320811</v>
      </c>
      <c r="E93" s="1" t="n">
        <f aca="false">LN(C93/C92)</f>
        <v>0.000102707190449637</v>
      </c>
      <c r="F93" s="1" t="n">
        <f aca="false">B93/B92-1</f>
        <v>-0.00153212480977261</v>
      </c>
      <c r="G93" s="1" t="n">
        <f aca="false">C93/C92-1</f>
        <v>0.000102712465013699</v>
      </c>
    </row>
    <row r="94" customFormat="false" ht="15" hidden="false" customHeight="false" outlineLevel="0" collapsed="false">
      <c r="A94" s="1" t="s">
        <v>100</v>
      </c>
      <c r="B94" s="5" t="n">
        <v>29.3899</v>
      </c>
      <c r="C94" s="5" t="n">
        <v>11.6846</v>
      </c>
      <c r="D94" s="1" t="n">
        <f aca="false">LN(B94/B93)</f>
        <v>0.0111060551143709</v>
      </c>
      <c r="E94" s="1" t="n">
        <f aca="false">LN(C94/C93)</f>
        <v>2.56751494520449E-005</v>
      </c>
      <c r="F94" s="1" t="n">
        <f aca="false">B94/B93-1</f>
        <v>0.0111679562915228</v>
      </c>
      <c r="G94" s="1" t="n">
        <f aca="false">C94/C93-1</f>
        <v>2.56754790615155E-005</v>
      </c>
    </row>
    <row r="95" customFormat="false" ht="15" hidden="false" customHeight="false" outlineLevel="0" collapsed="false">
      <c r="A95" s="1" t="s">
        <v>101</v>
      </c>
      <c r="B95" s="5" t="n">
        <v>29.1938</v>
      </c>
      <c r="C95" s="5" t="n">
        <v>11.685</v>
      </c>
      <c r="D95" s="1" t="n">
        <f aca="false">LN(B95/B94)</f>
        <v>-0.00669471994500551</v>
      </c>
      <c r="E95" s="1" t="n">
        <f aca="false">LN(C95/C94)</f>
        <v>3.42325071921482E-005</v>
      </c>
      <c r="F95" s="1" t="n">
        <f aca="false">B95/B94-1</f>
        <v>-0.00667236023259699</v>
      </c>
      <c r="G95" s="1" t="n">
        <f aca="false">C95/C94-1</f>
        <v>3.42330931311086E-005</v>
      </c>
    </row>
    <row r="96" customFormat="false" ht="15" hidden="false" customHeight="false" outlineLevel="0" collapsed="false">
      <c r="A96" s="1" t="s">
        <v>102</v>
      </c>
      <c r="B96" s="5" t="n">
        <v>29.3292</v>
      </c>
      <c r="C96" s="5" t="n">
        <v>11.6858</v>
      </c>
      <c r="D96" s="1" t="n">
        <f aca="false">LN(B96/B95)</f>
        <v>0.00462724882840036</v>
      </c>
      <c r="E96" s="1" t="n">
        <f aca="false">LN(C96/C95)</f>
        <v>6.84614989913259E-005</v>
      </c>
      <c r="F96" s="1" t="n">
        <f aca="false">B96/B95-1</f>
        <v>0.00463797107605046</v>
      </c>
      <c r="G96" s="1" t="n">
        <f aca="false">C96/C95-1</f>
        <v>6.84638425332285E-005</v>
      </c>
    </row>
    <row r="97" customFormat="false" ht="15" hidden="false" customHeight="false" outlineLevel="0" collapsed="false">
      <c r="A97" s="1" t="s">
        <v>103</v>
      </c>
      <c r="B97" s="5" t="n">
        <v>29.2427</v>
      </c>
      <c r="C97" s="5" t="n">
        <v>11.6863</v>
      </c>
      <c r="D97" s="1" t="n">
        <f aca="false">LN(B97/B96)</f>
        <v>-0.00295363691071257</v>
      </c>
      <c r="E97" s="1" t="n">
        <f aca="false">LN(C97/C96)</f>
        <v>4.27860568862107E-005</v>
      </c>
      <c r="F97" s="1" t="n">
        <f aca="false">B97/B96-1</f>
        <v>-0.00294927921661692</v>
      </c>
      <c r="G97" s="1" t="n">
        <f aca="false">C97/C96-1</f>
        <v>4.27869722225971E-005</v>
      </c>
    </row>
    <row r="98" customFormat="false" ht="15" hidden="false" customHeight="false" outlineLevel="0" collapsed="false">
      <c r="A98" s="1" t="s">
        <v>104</v>
      </c>
      <c r="B98" s="5" t="n">
        <v>28.9061</v>
      </c>
      <c r="C98" s="5" t="n">
        <v>11.6876</v>
      </c>
      <c r="D98" s="1" t="n">
        <f aca="false">LN(B98/B97)</f>
        <v>-0.0115773243698109</v>
      </c>
      <c r="E98" s="1" t="n">
        <f aca="false">LN(C98/C97)</f>
        <v>0.000111235181235534</v>
      </c>
      <c r="F98" s="1" t="n">
        <f aca="false">B98/B97-1</f>
        <v>-0.0115105650299049</v>
      </c>
      <c r="G98" s="1" t="n">
        <f aca="false">C98/C97-1</f>
        <v>0.000111241368097703</v>
      </c>
    </row>
    <row r="99" customFormat="false" ht="15" hidden="false" customHeight="false" outlineLevel="0" collapsed="false">
      <c r="A99" s="1" t="s">
        <v>105</v>
      </c>
      <c r="B99" s="5" t="n">
        <v>28.7156</v>
      </c>
      <c r="C99" s="5" t="n">
        <v>11.6881</v>
      </c>
      <c r="D99" s="1" t="n">
        <f aca="false">LN(B99/B98)</f>
        <v>-0.00661211640947138</v>
      </c>
      <c r="E99" s="1" t="n">
        <f aca="false">LN(C99/C98)</f>
        <v>4.27794675732559E-005</v>
      </c>
      <c r="F99" s="1" t="n">
        <f aca="false">B99/B98-1</f>
        <v>-0.00659030446860698</v>
      </c>
      <c r="G99" s="1" t="n">
        <f aca="false">C99/C98-1</f>
        <v>4.27803826277273E-005</v>
      </c>
    </row>
    <row r="100" customFormat="false" ht="15" hidden="false" customHeight="false" outlineLevel="0" collapsed="false">
      <c r="A100" s="1" t="s">
        <v>106</v>
      </c>
      <c r="B100" s="5" t="n">
        <v>28.7717</v>
      </c>
      <c r="C100" s="5" t="n">
        <v>11.6886</v>
      </c>
      <c r="D100" s="1" t="n">
        <f aca="false">LN(B100/B99)</f>
        <v>0.00195173604633896</v>
      </c>
      <c r="E100" s="1" t="n">
        <f aca="false">LN(C100/C99)</f>
        <v>4.27776375685685E-005</v>
      </c>
      <c r="F100" s="1" t="n">
        <f aca="false">B100/B99-1</f>
        <v>0.00195364192285719</v>
      </c>
      <c r="G100" s="1" t="n">
        <f aca="false">C100/C99-1</f>
        <v>4.27785525447533E-005</v>
      </c>
    </row>
    <row r="101" customFormat="false" ht="15" hidden="false" customHeight="false" outlineLevel="0" collapsed="false">
      <c r="A101" s="1" t="s">
        <v>107</v>
      </c>
      <c r="B101" s="6" t="n">
        <v>28.7717</v>
      </c>
      <c r="C101" s="6" t="n">
        <v>11.689</v>
      </c>
      <c r="D101" s="1" t="n">
        <f aca="false">LN(B101/B100)</f>
        <v>0</v>
      </c>
      <c r="E101" s="1" t="n">
        <f aca="false">LN(C101/C100)</f>
        <v>3.42207925570554E-005</v>
      </c>
      <c r="F101" s="1" t="n">
        <f aca="false">B101/B100-1</f>
        <v>0</v>
      </c>
      <c r="G101" s="1" t="n">
        <f aca="false">C101/C100-1</f>
        <v>3.42213780950562E-005</v>
      </c>
      <c r="H101" s="7" t="s">
        <v>108</v>
      </c>
    </row>
    <row r="102" customFormat="false" ht="15" hidden="false" customHeight="false" outlineLevel="0" collapsed="false">
      <c r="A102" s="1" t="s">
        <v>109</v>
      </c>
      <c r="B102" s="5" t="n">
        <v>28.598</v>
      </c>
      <c r="C102" s="5" t="n">
        <v>11.6893</v>
      </c>
      <c r="D102" s="1" t="n">
        <f aca="false">LN(B102/B101)</f>
        <v>-0.00605547983625773</v>
      </c>
      <c r="E102" s="1" t="n">
        <f aca="false">LN(C102/C101)</f>
        <v>2.56648259296724E-005</v>
      </c>
      <c r="F102" s="1" t="n">
        <f aca="false">B102/B101-1</f>
        <v>-0.00603718237017625</v>
      </c>
      <c r="G102" s="1" t="n">
        <f aca="false">C102/C101-1</f>
        <v>2.56651552741349E-005</v>
      </c>
    </row>
    <row r="103" customFormat="false" ht="15" hidden="false" customHeight="false" outlineLevel="0" collapsed="false">
      <c r="A103" s="1" t="s">
        <v>110</v>
      </c>
      <c r="B103" s="5" t="n">
        <v>28.2145</v>
      </c>
      <c r="C103" s="5" t="n">
        <v>11.691</v>
      </c>
      <c r="D103" s="1" t="n">
        <f aca="false">LN(B103/B102)</f>
        <v>-0.0135007551169247</v>
      </c>
      <c r="E103" s="1" t="n">
        <f aca="false">LN(C103/C102)</f>
        <v>0.000145421573119102</v>
      </c>
      <c r="F103" s="1" t="n">
        <f aca="false">B103/B102-1</f>
        <v>-0.0134100286733337</v>
      </c>
      <c r="G103" s="1" t="n">
        <f aca="false">C103/C102-1</f>
        <v>0.000145432147348634</v>
      </c>
    </row>
    <row r="104" customFormat="false" ht="15" hidden="false" customHeight="false" outlineLevel="0" collapsed="false">
      <c r="A104" s="1" t="s">
        <v>111</v>
      </c>
      <c r="B104" s="5" t="n">
        <v>28.3223</v>
      </c>
      <c r="C104" s="5" t="n">
        <v>11.6911</v>
      </c>
      <c r="D104" s="1" t="n">
        <f aca="false">LN(B104/B103)</f>
        <v>0.00381345002331947</v>
      </c>
      <c r="E104" s="1" t="n">
        <f aca="false">LN(C104/C103)</f>
        <v>8.55355164842631E-006</v>
      </c>
      <c r="F104" s="1" t="n">
        <f aca="false">B104/B103-1</f>
        <v>0.00382073047546472</v>
      </c>
      <c r="G104" s="1" t="n">
        <f aca="false">C104/C103-1</f>
        <v>8.55358823015351E-006</v>
      </c>
    </row>
    <row r="105" customFormat="false" ht="15" hidden="false" customHeight="false" outlineLevel="0" collapsed="false">
      <c r="A105" s="1" t="s">
        <v>112</v>
      </c>
      <c r="B105" s="5" t="n">
        <v>28.4914</v>
      </c>
      <c r="C105" s="5" t="n">
        <v>11.6914</v>
      </c>
      <c r="D105" s="1" t="n">
        <f aca="false">LN(B105/B104)</f>
        <v>0.00595280713457419</v>
      </c>
      <c r="E105" s="1" t="n">
        <f aca="false">LN(C105/C104)</f>
        <v>2.56602159747649E-005</v>
      </c>
      <c r="F105" s="1" t="n">
        <f aca="false">B105/B104-1</f>
        <v>0.00597056030054066</v>
      </c>
      <c r="G105" s="1" t="n">
        <f aca="false">C105/C104-1</f>
        <v>2.56605452009229E-005</v>
      </c>
    </row>
    <row r="106" customFormat="false" ht="15" hidden="false" customHeight="false" outlineLevel="0" collapsed="false">
      <c r="A106" s="1" t="s">
        <v>113</v>
      </c>
      <c r="B106" s="5" t="n">
        <v>28.8507</v>
      </c>
      <c r="C106" s="5" t="n">
        <v>11.6917</v>
      </c>
      <c r="D106" s="1" t="n">
        <f aca="false">LN(B106/B105)</f>
        <v>0.0125319687396744</v>
      </c>
      <c r="E106" s="1" t="n">
        <f aca="false">LN(C106/C105)</f>
        <v>2.56595575452519E-005</v>
      </c>
      <c r="F106" s="1" t="n">
        <f aca="false">B106/B105-1</f>
        <v>0.0126108229149848</v>
      </c>
      <c r="G106" s="1" t="n">
        <f aca="false">C106/C105-1</f>
        <v>2.56598867545144E-005</v>
      </c>
    </row>
    <row r="107" customFormat="false" ht="15" hidden="false" customHeight="false" outlineLevel="0" collapsed="false">
      <c r="A107" s="1" t="s">
        <v>114</v>
      </c>
      <c r="B107" s="5" t="n">
        <v>28.8234</v>
      </c>
      <c r="C107" s="5" t="n">
        <v>11.6929</v>
      </c>
      <c r="D107" s="1" t="n">
        <f aca="false">LN(B107/B106)</f>
        <v>-0.000946698848840053</v>
      </c>
      <c r="E107" s="1" t="n">
        <f aca="false">LN(C107/C106)</f>
        <v>0.000102631646558256</v>
      </c>
      <c r="F107" s="1" t="n">
        <f aca="false">B107/B106-1</f>
        <v>-0.000946250870862753</v>
      </c>
      <c r="G107" s="1" t="n">
        <f aca="false">C107/C106-1</f>
        <v>0.000102636913365872</v>
      </c>
    </row>
    <row r="108" customFormat="false" ht="15" hidden="false" customHeight="false" outlineLevel="0" collapsed="false">
      <c r="A108" s="1" t="s">
        <v>115</v>
      </c>
      <c r="B108" s="5" t="n">
        <v>28.4712</v>
      </c>
      <c r="C108" s="5" t="n">
        <v>11.6934</v>
      </c>
      <c r="D108" s="1" t="n">
        <f aca="false">LN(B108/B107)</f>
        <v>-0.0122945072095925</v>
      </c>
      <c r="E108" s="1" t="n">
        <f aca="false">LN(C108/C107)</f>
        <v>4.27600774879315E-005</v>
      </c>
      <c r="F108" s="1" t="n">
        <f aca="false">B108/B107-1</f>
        <v>-0.0122192385353567</v>
      </c>
      <c r="G108" s="1" t="n">
        <f aca="false">C108/C107-1</f>
        <v>4.27609917130756E-005</v>
      </c>
    </row>
    <row r="109" customFormat="false" ht="15" hidden="false" customHeight="false" outlineLevel="0" collapsed="false">
      <c r="A109" s="1" t="s">
        <v>116</v>
      </c>
      <c r="B109" s="5" t="n">
        <v>28.7624</v>
      </c>
      <c r="C109" s="5" t="n">
        <v>11.694</v>
      </c>
      <c r="D109" s="1" t="n">
        <f aca="false">LN(B109/B108)</f>
        <v>0.0101759285733347</v>
      </c>
      <c r="E109" s="1" t="n">
        <f aca="false">LN(C109/C108)</f>
        <v>5.13096795824507E-005</v>
      </c>
      <c r="F109" s="1" t="n">
        <f aca="false">B109/B108-1</f>
        <v>0.0102278794009385</v>
      </c>
      <c r="G109" s="1" t="n">
        <f aca="false">C109/C108-1</f>
        <v>5.13109959465741E-005</v>
      </c>
    </row>
    <row r="110" customFormat="false" ht="15" hidden="false" customHeight="false" outlineLevel="0" collapsed="false">
      <c r="A110" s="1" t="s">
        <v>117</v>
      </c>
      <c r="B110" s="5" t="n">
        <v>28.984</v>
      </c>
      <c r="C110" s="5" t="n">
        <v>11.6944</v>
      </c>
      <c r="D110" s="1" t="n">
        <f aca="false">LN(B110/B109)</f>
        <v>0.00767497498657535</v>
      </c>
      <c r="E110" s="1" t="n">
        <f aca="false">LN(C110/C109)</f>
        <v>3.42049905113478E-005</v>
      </c>
      <c r="F110" s="1" t="n">
        <f aca="false">B110/B109-1</f>
        <v>0.00770450310127124</v>
      </c>
      <c r="G110" s="1" t="n">
        <f aca="false">C110/C109-1</f>
        <v>3.42055755087056E-005</v>
      </c>
    </row>
    <row r="111" customFormat="false" ht="15" hidden="false" customHeight="false" outlineLevel="0" collapsed="false">
      <c r="A111" s="1" t="s">
        <v>118</v>
      </c>
      <c r="B111" s="5" t="n">
        <v>28.7879</v>
      </c>
      <c r="C111" s="5" t="n">
        <v>11.6949</v>
      </c>
      <c r="D111" s="1" t="n">
        <f aca="false">LN(B111/B110)</f>
        <v>-0.00678879362283603</v>
      </c>
      <c r="E111" s="1" t="n">
        <f aca="false">LN(C111/C110)</f>
        <v>4.27545929187197E-005</v>
      </c>
      <c r="F111" s="1" t="n">
        <f aca="false">B111/B110-1</f>
        <v>-0.00676580182169473</v>
      </c>
      <c r="G111" s="1" t="n">
        <f aca="false">C111/C110-1</f>
        <v>4.27555069093533E-005</v>
      </c>
    </row>
    <row r="112" customFormat="false" ht="15" hidden="false" customHeight="false" outlineLevel="0" collapsed="false">
      <c r="A112" s="1" t="s">
        <v>119</v>
      </c>
      <c r="B112" s="5" t="n">
        <v>28.6334</v>
      </c>
      <c r="C112" s="5" t="n">
        <v>11.696</v>
      </c>
      <c r="D112" s="1" t="n">
        <f aca="false">LN(B112/B111)</f>
        <v>-0.00538129136184269</v>
      </c>
      <c r="E112" s="1" t="n">
        <f aca="false">LN(C112/C111)</f>
        <v>9.40536705138612E-005</v>
      </c>
      <c r="F112" s="1" t="n">
        <f aca="false">B112/B111-1</f>
        <v>-0.00536683815075079</v>
      </c>
      <c r="G112" s="1" t="n">
        <f aca="false">C112/C111-1</f>
        <v>9.4058093699001E-005</v>
      </c>
    </row>
    <row r="113" customFormat="false" ht="15" hidden="false" customHeight="false" outlineLevel="0" collapsed="false">
      <c r="A113" s="1" t="s">
        <v>120</v>
      </c>
      <c r="B113" s="5" t="n">
        <v>28.6593</v>
      </c>
      <c r="C113" s="5" t="n">
        <v>11.6965</v>
      </c>
      <c r="D113" s="1" t="n">
        <f aca="false">LN(B113/B112)</f>
        <v>0.000904129208933477</v>
      </c>
      <c r="E113" s="1" t="n">
        <f aca="false">LN(C113/C112)</f>
        <v>4.27487442622946E-005</v>
      </c>
      <c r="F113" s="1" t="n">
        <f aca="false">B113/B112-1</f>
        <v>0.000904538056954563</v>
      </c>
      <c r="G113" s="1" t="n">
        <f aca="false">C113/C112-1</f>
        <v>4.2749658002883E-005</v>
      </c>
    </row>
    <row r="114" customFormat="false" ht="15" hidden="false" customHeight="false" outlineLevel="0" collapsed="false">
      <c r="A114" s="1" t="s">
        <v>121</v>
      </c>
      <c r="B114" s="5" t="n">
        <v>28.9197</v>
      </c>
      <c r="C114" s="5" t="n">
        <v>11.6967</v>
      </c>
      <c r="D114" s="1" t="n">
        <f aca="false">LN(B114/B113)</f>
        <v>0.00904502597574523</v>
      </c>
      <c r="E114" s="1" t="n">
        <f aca="false">LN(C114/C113)</f>
        <v>1.70989860305391E-005</v>
      </c>
      <c r="F114" s="1" t="n">
        <f aca="false">B114/B113-1</f>
        <v>0.00908605583527855</v>
      </c>
      <c r="G114" s="1" t="n">
        <f aca="false">C114/C113-1</f>
        <v>1.70991322190339E-005</v>
      </c>
    </row>
    <row r="115" customFormat="false" ht="15" hidden="false" customHeight="false" outlineLevel="0" collapsed="false">
      <c r="A115" s="1" t="s">
        <v>122</v>
      </c>
      <c r="B115" s="5" t="n">
        <v>28.749</v>
      </c>
      <c r="C115" s="5" t="n">
        <v>11.6975</v>
      </c>
      <c r="D115" s="1" t="n">
        <f aca="false">LN(B115/B114)</f>
        <v>-0.00592003976304121</v>
      </c>
      <c r="E115" s="1" t="n">
        <f aca="false">LN(C115/C114)</f>
        <v>6.8393020518803E-005</v>
      </c>
      <c r="F115" s="1" t="n">
        <f aca="false">B115/B114-1</f>
        <v>-0.00590255085633673</v>
      </c>
      <c r="G115" s="1" t="n">
        <f aca="false">C115/C114-1</f>
        <v>6.83953593747511E-005</v>
      </c>
    </row>
    <row r="116" customFormat="false" ht="15" hidden="false" customHeight="false" outlineLevel="0" collapsed="false">
      <c r="A116" s="1" t="s">
        <v>123</v>
      </c>
      <c r="B116" s="5" t="n">
        <v>28.3887</v>
      </c>
      <c r="C116" s="5" t="n">
        <v>11.6978</v>
      </c>
      <c r="D116" s="1" t="n">
        <f aca="false">LN(B116/B115)</f>
        <v>-0.0126118053646828</v>
      </c>
      <c r="E116" s="1" t="n">
        <f aca="false">LN(C116/C115)</f>
        <v>2.56461767976088E-005</v>
      </c>
      <c r="F116" s="1" t="n">
        <f aca="false">B116/B115-1</f>
        <v>-0.0125326098299071</v>
      </c>
      <c r="G116" s="1" t="n">
        <f aca="false">C116/C115-1</f>
        <v>2.56465056636124E-005</v>
      </c>
    </row>
    <row r="117" customFormat="false" ht="15" hidden="false" customHeight="false" outlineLevel="0" collapsed="false">
      <c r="A117" s="1" t="s">
        <v>124</v>
      </c>
      <c r="B117" s="5" t="n">
        <v>28.6969</v>
      </c>
      <c r="C117" s="5" t="n">
        <v>11.6993</v>
      </c>
      <c r="D117" s="1" t="n">
        <f aca="false">LN(B117/B116)</f>
        <v>0.0107979243293157</v>
      </c>
      <c r="E117" s="1" t="n">
        <f aca="false">LN(C117/C116)</f>
        <v>0.000128221019019819</v>
      </c>
      <c r="F117" s="1" t="n">
        <f aca="false">B117/B116-1</f>
        <v>0.0108564323128568</v>
      </c>
      <c r="G117" s="1" t="n">
        <f aca="false">C117/C116-1</f>
        <v>0.000128229239686029</v>
      </c>
    </row>
    <row r="118" customFormat="false" ht="15" hidden="false" customHeight="false" outlineLevel="0" collapsed="false">
      <c r="A118" s="1" t="s">
        <v>125</v>
      </c>
      <c r="B118" s="5" t="n">
        <v>28.6541</v>
      </c>
      <c r="C118" s="5" t="n">
        <v>11.6996</v>
      </c>
      <c r="D118" s="1" t="n">
        <f aca="false">LN(B118/B117)</f>
        <v>-0.0014925636151289</v>
      </c>
      <c r="E118" s="1" t="n">
        <f aca="false">LN(C118/C117)</f>
        <v>2.56422310464842E-005</v>
      </c>
      <c r="F118" s="1" t="n">
        <f aca="false">B118/B117-1</f>
        <v>-0.00149145029602504</v>
      </c>
      <c r="G118" s="1" t="n">
        <f aca="false">C118/C117-1</f>
        <v>2.56425598113008E-005</v>
      </c>
    </row>
    <row r="119" customFormat="false" ht="15" hidden="false" customHeight="false" outlineLevel="0" collapsed="false">
      <c r="A119" s="1" t="s">
        <v>126</v>
      </c>
      <c r="B119" s="5" t="n">
        <v>28.9975</v>
      </c>
      <c r="C119" s="5" t="n">
        <v>11.7001</v>
      </c>
      <c r="D119" s="1" t="n">
        <f aca="false">LN(B119/B118)</f>
        <v>0.0119130799946552</v>
      </c>
      <c r="E119" s="1" t="n">
        <f aca="false">LN(C119/C118)</f>
        <v>4.27355906338956E-005</v>
      </c>
      <c r="F119" s="1" t="n">
        <f aca="false">B119/B118-1</f>
        <v>0.0119843233603567</v>
      </c>
      <c r="G119" s="1" t="n">
        <f aca="false">C119/C118-1</f>
        <v>4.27365038122574E-005</v>
      </c>
    </row>
    <row r="120" customFormat="false" ht="15" hidden="false" customHeight="false" outlineLevel="0" collapsed="false">
      <c r="A120" s="1" t="s">
        <v>127</v>
      </c>
      <c r="B120" s="5" t="n">
        <v>29.0329</v>
      </c>
      <c r="C120" s="5" t="n">
        <v>11.7004</v>
      </c>
      <c r="D120" s="1" t="n">
        <f aca="false">LN(B120/B119)</f>
        <v>0.00122005033193446</v>
      </c>
      <c r="E120" s="1" t="n">
        <f aca="false">LN(C120/C119)</f>
        <v>2.5640477768843E-005</v>
      </c>
      <c r="F120" s="1" t="n">
        <f aca="false">B120/B119-1</f>
        <v>0.00122079489611182</v>
      </c>
      <c r="G120" s="1" t="n">
        <f aca="false">C120/C119-1</f>
        <v>2.56408064887026E-005</v>
      </c>
    </row>
    <row r="121" customFormat="false" ht="15" hidden="false" customHeight="false" outlineLevel="0" collapsed="false">
      <c r="A121" s="1" t="s">
        <v>128</v>
      </c>
      <c r="B121" s="5" t="n">
        <v>28.9851</v>
      </c>
      <c r="C121" s="5" t="n">
        <v>11.7008</v>
      </c>
      <c r="D121" s="1" t="n">
        <f aca="false">LN(B121/B120)</f>
        <v>-0.00164776485970787</v>
      </c>
      <c r="E121" s="1" t="n">
        <f aca="false">LN(C121/C120)</f>
        <v>3.41862810485623E-005</v>
      </c>
      <c r="F121" s="1" t="n">
        <f aca="false">B121/B120-1</f>
        <v>-0.0016464080405334</v>
      </c>
      <c r="G121" s="1" t="n">
        <f aca="false">C121/C120-1</f>
        <v>3.41868654061273E-005</v>
      </c>
    </row>
    <row r="122" customFormat="false" ht="15" hidden="false" customHeight="false" outlineLevel="0" collapsed="false">
      <c r="A122" s="1" t="s">
        <v>129</v>
      </c>
      <c r="B122" s="5" t="n">
        <v>28.8909</v>
      </c>
      <c r="C122" s="5" t="n">
        <v>11.7022</v>
      </c>
      <c r="D122" s="1" t="n">
        <f aca="false">LN(B122/B121)</f>
        <v>-0.00325523820523549</v>
      </c>
      <c r="E122" s="1" t="n">
        <f aca="false">LN(C122/C121)</f>
        <v>0.000119642780982729</v>
      </c>
      <c r="F122" s="1" t="n">
        <f aca="false">B122/B121-1</f>
        <v>-0.00324994566173653</v>
      </c>
      <c r="G122" s="1" t="n">
        <f aca="false">C122/C121-1</f>
        <v>0.000119649938465694</v>
      </c>
    </row>
    <row r="123" customFormat="false" ht="15" hidden="false" customHeight="false" outlineLevel="0" collapsed="false">
      <c r="A123" s="1" t="s">
        <v>130</v>
      </c>
      <c r="B123" s="5" t="n">
        <v>28.6504</v>
      </c>
      <c r="C123" s="5" t="n">
        <v>11.7025</v>
      </c>
      <c r="D123" s="1" t="n">
        <f aca="false">LN(B123/B122)</f>
        <v>-0.00835926197201433</v>
      </c>
      <c r="E123" s="1" t="n">
        <f aca="false">LN(C123/C122)</f>
        <v>2.56358765561614E-005</v>
      </c>
      <c r="F123" s="1" t="n">
        <f aca="false">B123/B122-1</f>
        <v>-0.00832442049226567</v>
      </c>
      <c r="G123" s="1" t="n">
        <f aca="false">C123/C122-1</f>
        <v>2.56362051580528E-005</v>
      </c>
    </row>
    <row r="124" customFormat="false" ht="15" hidden="false" customHeight="false" outlineLevel="0" collapsed="false">
      <c r="A124" s="1" t="s">
        <v>131</v>
      </c>
      <c r="B124" s="5" t="n">
        <v>28.3949</v>
      </c>
      <c r="C124" s="5" t="n">
        <v>11.7034</v>
      </c>
      <c r="D124" s="1" t="n">
        <f aca="false">LN(B124/B123)</f>
        <v>-0.00895785309246288</v>
      </c>
      <c r="E124" s="1" t="n">
        <f aca="false">LN(C124/C123)</f>
        <v>7.69036867151727E-005</v>
      </c>
      <c r="F124" s="1" t="n">
        <f aca="false">B124/B123-1</f>
        <v>-0.00891785105967113</v>
      </c>
      <c r="G124" s="1" t="n">
        <f aca="false">C124/C123-1</f>
        <v>7.6906643879493E-005</v>
      </c>
    </row>
    <row r="125" customFormat="false" ht="15" hidden="false" customHeight="false" outlineLevel="0" collapsed="false">
      <c r="A125" s="1" t="s">
        <v>132</v>
      </c>
      <c r="B125" s="5" t="n">
        <v>28.3614</v>
      </c>
      <c r="C125" s="5" t="n">
        <v>11.704</v>
      </c>
      <c r="D125" s="1" t="n">
        <f aca="false">LN(B125/B124)</f>
        <v>-0.00118048582766378</v>
      </c>
      <c r="E125" s="1" t="n">
        <f aca="false">LN(C125/C124)</f>
        <v>5.12658390193892E-005</v>
      </c>
      <c r="F125" s="1" t="n">
        <f aca="false">B125/B124-1</f>
        <v>-0.00117978932836527</v>
      </c>
      <c r="G125" s="1" t="n">
        <f aca="false">C125/C124-1</f>
        <v>5.12671531349707E-005</v>
      </c>
    </row>
    <row r="126" customFormat="false" ht="15" hidden="false" customHeight="false" outlineLevel="0" collapsed="false">
      <c r="A126" s="1" t="s">
        <v>133</v>
      </c>
      <c r="B126" s="5" t="n">
        <v>28.0538</v>
      </c>
      <c r="C126" s="5" t="n">
        <v>11.7052</v>
      </c>
      <c r="D126" s="1" t="n">
        <f aca="false">LN(B126/B125)</f>
        <v>-0.0109049705848255</v>
      </c>
      <c r="E126" s="1" t="n">
        <f aca="false">LN(C126/C125)</f>
        <v>0.000102523794153698</v>
      </c>
      <c r="F126" s="1" t="n">
        <f aca="false">B126/B125-1</f>
        <v>-0.0108457269387267</v>
      </c>
      <c r="G126" s="1" t="n">
        <f aca="false">C126/C125-1</f>
        <v>0.000102529049897493</v>
      </c>
    </row>
    <row r="127" customFormat="false" ht="15" hidden="false" customHeight="false" outlineLevel="0" collapsed="false">
      <c r="A127" s="1" t="s">
        <v>134</v>
      </c>
      <c r="B127" s="5" t="n">
        <v>28.2486</v>
      </c>
      <c r="C127" s="5" t="n">
        <v>11.7054</v>
      </c>
      <c r="D127" s="1" t="n">
        <f aca="false">LN(B127/B126)</f>
        <v>0.00691980367839274</v>
      </c>
      <c r="E127" s="1" t="n">
        <f aca="false">LN(C127/C126)</f>
        <v>1.70862771568782E-005</v>
      </c>
      <c r="F127" s="1" t="n">
        <f aca="false">B127/B126-1</f>
        <v>0.00694380083981505</v>
      </c>
      <c r="G127" s="1" t="n">
        <f aca="false">C127/C126-1</f>
        <v>1.70864231281431E-005</v>
      </c>
    </row>
    <row r="128" customFormat="false" ht="15" hidden="false" customHeight="false" outlineLevel="0" collapsed="false">
      <c r="A128" s="1" t="s">
        <v>135</v>
      </c>
      <c r="B128" s="5" t="n">
        <v>27.944</v>
      </c>
      <c r="C128" s="5" t="n">
        <v>11.7059</v>
      </c>
      <c r="D128" s="1" t="n">
        <f aca="false">LN(B128/B127)</f>
        <v>-0.0108413913377806</v>
      </c>
      <c r="E128" s="1" t="n">
        <f aca="false">LN(C128/C127)</f>
        <v>4.2714415694647E-005</v>
      </c>
      <c r="F128" s="1" t="n">
        <f aca="false">B128/B127-1</f>
        <v>-0.0107828352555525</v>
      </c>
      <c r="G128" s="1" t="n">
        <f aca="false">C128/C127-1</f>
        <v>4.27153279682901E-005</v>
      </c>
    </row>
    <row r="129" customFormat="false" ht="15" hidden="false" customHeight="false" outlineLevel="0" collapsed="false">
      <c r="A129" s="1" t="s">
        <v>136</v>
      </c>
      <c r="B129" s="5" t="n">
        <v>28.0253</v>
      </c>
      <c r="C129" s="5" t="n">
        <v>11.7063</v>
      </c>
      <c r="D129" s="1" t="n">
        <f aca="false">LN(B129/B128)</f>
        <v>0.00290516612431905</v>
      </c>
      <c r="E129" s="1" t="n">
        <f aca="false">LN(C129/C128)</f>
        <v>3.41702189490016E-005</v>
      </c>
      <c r="F129" s="1" t="n">
        <f aca="false">B129/B128-1</f>
        <v>0.00290939020898939</v>
      </c>
      <c r="G129" s="1" t="n">
        <f aca="false">C129/C128-1</f>
        <v>3.41708027575827E-005</v>
      </c>
    </row>
    <row r="130" customFormat="false" ht="15" hidden="false" customHeight="false" outlineLevel="0" collapsed="false">
      <c r="A130" s="1" t="s">
        <v>137</v>
      </c>
      <c r="B130" s="5" t="n">
        <v>28.3158</v>
      </c>
      <c r="C130" s="5" t="n">
        <v>11.7066</v>
      </c>
      <c r="D130" s="1" t="n">
        <f aca="false">LN(B130/B129)</f>
        <v>0.0103122791136367</v>
      </c>
      <c r="E130" s="1" t="n">
        <f aca="false">LN(C130/C129)</f>
        <v>2.5626897993477E-005</v>
      </c>
      <c r="F130" s="1" t="n">
        <f aca="false">B130/B129-1</f>
        <v>0.0103656339093603</v>
      </c>
      <c r="G130" s="1" t="n">
        <f aca="false">C130/C129-1</f>
        <v>2.56272263652324E-005</v>
      </c>
    </row>
    <row r="131" customFormat="false" ht="15" hidden="false" customHeight="false" outlineLevel="0" collapsed="false">
      <c r="A131" s="1" t="s">
        <v>138</v>
      </c>
      <c r="B131" s="5" t="n">
        <v>28.3907</v>
      </c>
      <c r="C131" s="5" t="n">
        <v>11.7078</v>
      </c>
      <c r="D131" s="1" t="n">
        <f aca="false">LN(B131/B130)</f>
        <v>0.00264167400763933</v>
      </c>
      <c r="E131" s="1" t="n">
        <f aca="false">LN(C131/C130)</f>
        <v>0.000102501025100041</v>
      </c>
      <c r="F131" s="1" t="n">
        <f aca="false">B131/B130-1</f>
        <v>0.00264516630291212</v>
      </c>
      <c r="G131" s="1" t="n">
        <f aca="false">C131/C130-1</f>
        <v>0.000102506278509606</v>
      </c>
    </row>
    <row r="132" customFormat="false" ht="15" hidden="false" customHeight="false" outlineLevel="0" collapsed="false">
      <c r="A132" s="1" t="s">
        <v>139</v>
      </c>
      <c r="B132" s="5" t="n">
        <v>28.3059</v>
      </c>
      <c r="C132" s="5" t="n">
        <v>11.7083</v>
      </c>
      <c r="D132" s="1" t="n">
        <f aca="false">LN(B132/B131)</f>
        <v>-0.00299136326461619</v>
      </c>
      <c r="E132" s="1" t="n">
        <f aca="false">LN(C132/C131)</f>
        <v>4.27056597875866E-005</v>
      </c>
      <c r="F132" s="1" t="n">
        <f aca="false">B132/B131-1</f>
        <v>-0.00298689359543791</v>
      </c>
      <c r="G132" s="1" t="n">
        <f aca="false">C132/C131-1</f>
        <v>4.27065716872566E-005</v>
      </c>
    </row>
    <row r="133" customFormat="false" ht="15" hidden="false" customHeight="false" outlineLevel="0" collapsed="false">
      <c r="A133" s="1" t="s">
        <v>140</v>
      </c>
      <c r="B133" s="5" t="n">
        <v>28.2884</v>
      </c>
      <c r="C133" s="5" t="n">
        <v>11.7086</v>
      </c>
      <c r="D133" s="1" t="n">
        <f aca="false">LN(B133/B132)</f>
        <v>-0.00061843685875649</v>
      </c>
      <c r="E133" s="1" t="n">
        <f aca="false">LN(C133/C132)</f>
        <v>2.56225204889371E-005</v>
      </c>
      <c r="F133" s="1" t="n">
        <f aca="false">B133/B132-1</f>
        <v>-0.000618245666097916</v>
      </c>
      <c r="G133" s="1" t="n">
        <f aca="false">C133/C132-1</f>
        <v>2.56228487485188E-005</v>
      </c>
    </row>
    <row r="134" customFormat="false" ht="15" hidden="false" customHeight="false" outlineLevel="0" collapsed="false">
      <c r="A134" s="1" t="s">
        <v>141</v>
      </c>
      <c r="B134" s="5" t="n">
        <v>28.2235</v>
      </c>
      <c r="C134" s="5" t="n">
        <v>11.7092</v>
      </c>
      <c r="D134" s="1" t="n">
        <f aca="false">LN(B134/B133)</f>
        <v>-0.00229686237879357</v>
      </c>
      <c r="E134" s="1" t="n">
        <f aca="false">LN(C134/C133)</f>
        <v>5.12430715207352E-005</v>
      </c>
      <c r="F134" s="1" t="n">
        <f aca="false">B134/B133-1</f>
        <v>-0.00229422660878653</v>
      </c>
      <c r="G134" s="1" t="n">
        <f aca="false">C134/C133-1</f>
        <v>5.12443844693511E-005</v>
      </c>
    </row>
    <row r="135" customFormat="false" ht="15" hidden="false" customHeight="false" outlineLevel="0" collapsed="false">
      <c r="A135" s="1" t="s">
        <v>142</v>
      </c>
      <c r="B135" s="5" t="n">
        <v>28.173</v>
      </c>
      <c r="C135" s="5" t="n">
        <v>11.7097</v>
      </c>
      <c r="D135" s="1" t="n">
        <f aca="false">LN(B135/B134)</f>
        <v>-0.00179089175737369</v>
      </c>
      <c r="E135" s="1" t="n">
        <f aca="false">LN(C135/C134)</f>
        <v>4.27005538328134E-005</v>
      </c>
      <c r="F135" s="1" t="n">
        <f aca="false">B135/B134-1</f>
        <v>-0.0017892890676211</v>
      </c>
      <c r="G135" s="1" t="n">
        <f aca="false">C135/C134-1</f>
        <v>4.27014655144387E-005</v>
      </c>
    </row>
    <row r="136" customFormat="false" ht="15" hidden="false" customHeight="false" outlineLevel="0" collapsed="false">
      <c r="A136" s="1" t="s">
        <v>143</v>
      </c>
      <c r="B136" s="5" t="n">
        <v>27.9402</v>
      </c>
      <c r="C136" s="5" t="n">
        <v>11.7107</v>
      </c>
      <c r="D136" s="1" t="n">
        <f aca="false">LN(B136/B135)</f>
        <v>-0.00829756049125559</v>
      </c>
      <c r="E136" s="1" t="n">
        <f aca="false">LN(C136/C135)</f>
        <v>8.53956380426247E-005</v>
      </c>
      <c r="F136" s="1" t="n">
        <f aca="false">B136/B135-1</f>
        <v>-0.00826323075284841</v>
      </c>
      <c r="G136" s="1" t="n">
        <f aca="false">C136/C135-1</f>
        <v>8.53992843539153E-005</v>
      </c>
    </row>
    <row r="137" customFormat="false" ht="15" hidden="false" customHeight="false" outlineLevel="0" collapsed="false">
      <c r="A137" s="1" t="s">
        <v>144</v>
      </c>
      <c r="B137" s="5" t="n">
        <v>27.5972</v>
      </c>
      <c r="C137" s="5" t="n">
        <v>11.7111</v>
      </c>
      <c r="D137" s="1" t="n">
        <f aca="false">LN(B137/B136)</f>
        <v>-0.0123521936979144</v>
      </c>
      <c r="E137" s="1" t="n">
        <f aca="false">LN(C137/C136)</f>
        <v>3.4156213445553E-005</v>
      </c>
      <c r="F137" s="1" t="n">
        <f aca="false">B137/B136-1</f>
        <v>-0.0122762184952148</v>
      </c>
      <c r="G137" s="1" t="n">
        <f aca="false">C137/C136-1</f>
        <v>3.41567967756529E-005</v>
      </c>
    </row>
    <row r="138" customFormat="false" ht="15" hidden="false" customHeight="false" outlineLevel="0" collapsed="false">
      <c r="A138" s="1" t="s">
        <v>145</v>
      </c>
      <c r="B138" s="5" t="n">
        <v>27.6351</v>
      </c>
      <c r="C138" s="5" t="n">
        <v>11.7115</v>
      </c>
      <c r="D138" s="1" t="n">
        <f aca="false">LN(B138/B137)</f>
        <v>0.00137238557686497</v>
      </c>
      <c r="E138" s="1" t="n">
        <f aca="false">LN(C138/C137)</f>
        <v>3.41550468383986E-005</v>
      </c>
      <c r="F138" s="1" t="n">
        <f aca="false">B138/B137-1</f>
        <v>0.00137332772890009</v>
      </c>
      <c r="G138" s="1" t="n">
        <f aca="false">C138/C137-1</f>
        <v>3.41556301286516E-005</v>
      </c>
    </row>
    <row r="139" customFormat="false" ht="15" hidden="false" customHeight="false" outlineLevel="0" collapsed="false">
      <c r="A139" s="1" t="s">
        <v>146</v>
      </c>
      <c r="B139" s="5" t="n">
        <v>27.4887</v>
      </c>
      <c r="C139" s="5" t="n">
        <v>11.7118</v>
      </c>
      <c r="D139" s="1" t="n">
        <f aca="false">LN(B139/B138)</f>
        <v>-0.00531169274293902</v>
      </c>
      <c r="E139" s="1" t="n">
        <f aca="false">LN(C139/C138)</f>
        <v>2.56155195910221E-005</v>
      </c>
      <c r="F139" s="1" t="n">
        <f aca="false">B139/B138-1</f>
        <v>-0.00529761064732892</v>
      </c>
      <c r="G139" s="1" t="n">
        <f aca="false">C139/C138-1</f>
        <v>2.56158476712454E-005</v>
      </c>
    </row>
    <row r="140" customFormat="false" ht="15" hidden="false" customHeight="false" outlineLevel="0" collapsed="false">
      <c r="A140" s="1" t="s">
        <v>147</v>
      </c>
      <c r="B140" s="5" t="n">
        <v>27.3268</v>
      </c>
      <c r="C140" s="5" t="n">
        <v>11.7121</v>
      </c>
      <c r="D140" s="1" t="n">
        <f aca="false">LN(B140/B139)</f>
        <v>-0.00590710550032501</v>
      </c>
      <c r="E140" s="1" t="n">
        <f aca="false">LN(C140/C139)</f>
        <v>2.56148634526992E-005</v>
      </c>
      <c r="F140" s="1" t="n">
        <f aca="false">B140/B139-1</f>
        <v>-0.00588969285560981</v>
      </c>
      <c r="G140" s="1" t="n">
        <f aca="false">C140/C139-1</f>
        <v>2.56151915161151E-005</v>
      </c>
    </row>
    <row r="141" customFormat="false" ht="15" hidden="false" customHeight="false" outlineLevel="0" collapsed="false">
      <c r="A141" s="1" t="s">
        <v>148</v>
      </c>
      <c r="B141" s="5" t="n">
        <v>26.8375</v>
      </c>
      <c r="C141" s="5" t="n">
        <v>11.7134</v>
      </c>
      <c r="D141" s="1" t="n">
        <f aca="false">LN(B141/B140)</f>
        <v>-0.0180677424301177</v>
      </c>
      <c r="E141" s="1" t="n">
        <f aca="false">LN(C141/C140)</f>
        <v>0.000110990160409449</v>
      </c>
      <c r="F141" s="1" t="n">
        <f aca="false">B141/B140-1</f>
        <v>-0.0179054993632625</v>
      </c>
      <c r="G141" s="1" t="n">
        <f aca="false">C141/C140-1</f>
        <v>0.000110996320045187</v>
      </c>
    </row>
    <row r="142" customFormat="false" ht="15" hidden="false" customHeight="false" outlineLevel="0" collapsed="false">
      <c r="A142" s="1" t="s">
        <v>149</v>
      </c>
      <c r="B142" s="5" t="n">
        <v>26.8596</v>
      </c>
      <c r="C142" s="5" t="n">
        <v>11.7137</v>
      </c>
      <c r="D142" s="1" t="n">
        <f aca="false">LN(B142/B141)</f>
        <v>0.000823135746542257</v>
      </c>
      <c r="E142" s="1" t="n">
        <f aca="false">LN(C142/C141)</f>
        <v>2.56113646176109E-005</v>
      </c>
      <c r="F142" s="1" t="n">
        <f aca="false">B142/B141-1</f>
        <v>0.000823474615742947</v>
      </c>
      <c r="G142" s="1" t="n">
        <f aca="false">C142/C141-1</f>
        <v>2.56116925914096E-005</v>
      </c>
    </row>
    <row r="143" customFormat="false" ht="15" hidden="false" customHeight="false" outlineLevel="0" collapsed="false">
      <c r="A143" s="1" t="s">
        <v>150</v>
      </c>
      <c r="B143" s="5" t="n">
        <v>27.0545</v>
      </c>
      <c r="C143" s="5" t="n">
        <v>11.7142</v>
      </c>
      <c r="D143" s="1" t="n">
        <f aca="false">LN(B143/B142)</f>
        <v>0.0072300511001864</v>
      </c>
      <c r="E143" s="1" t="n">
        <f aca="false">LN(C143/C142)</f>
        <v>4.26841501011073E-005</v>
      </c>
      <c r="F143" s="1" t="n">
        <f aca="false">B143/B142-1</f>
        <v>0.00725625102384253</v>
      </c>
      <c r="G143" s="1" t="n">
        <f aca="false">C143/C142-1</f>
        <v>4.26850610824037E-005</v>
      </c>
    </row>
    <row r="144" customFormat="false" ht="15" hidden="false" customHeight="false" outlineLevel="0" collapsed="false">
      <c r="A144" s="1" t="s">
        <v>151</v>
      </c>
      <c r="B144" s="5" t="n">
        <v>27.5529</v>
      </c>
      <c r="C144" s="5" t="n">
        <v>11.7149</v>
      </c>
      <c r="D144" s="1" t="n">
        <f aca="false">LN(B144/B143)</f>
        <v>0.0182544431654127</v>
      </c>
      <c r="E144" s="1" t="n">
        <f aca="false">LN(C144/C143)</f>
        <v>5.97547494533433E-005</v>
      </c>
      <c r="F144" s="1" t="n">
        <f aca="false">B144/B143-1</f>
        <v>0.0184220739618177</v>
      </c>
      <c r="G144" s="1" t="n">
        <f aca="false">C144/C143-1</f>
        <v>5.97565348039453E-005</v>
      </c>
    </row>
    <row r="145" customFormat="false" ht="15" hidden="false" customHeight="false" outlineLevel="0" collapsed="false">
      <c r="A145" s="1" t="s">
        <v>152</v>
      </c>
      <c r="B145" s="5" t="n">
        <v>27.5314</v>
      </c>
      <c r="C145" s="5" t="n">
        <v>11.7162</v>
      </c>
      <c r="D145" s="1" t="n">
        <f aca="false">LN(B145/B144)</f>
        <v>-0.000780621741287058</v>
      </c>
      <c r="E145" s="1" t="n">
        <f aca="false">LN(C145/C144)</f>
        <v>0.000110963633916793</v>
      </c>
      <c r="F145" s="1" t="n">
        <f aca="false">B145/B144-1</f>
        <v>-0.000780317135401387</v>
      </c>
      <c r="G145" s="1" t="n">
        <f aca="false">C145/C144-1</f>
        <v>0.000110969790608539</v>
      </c>
    </row>
    <row r="146" customFormat="false" ht="15" hidden="false" customHeight="false" outlineLevel="0" collapsed="false">
      <c r="A146" s="1" t="s">
        <v>153</v>
      </c>
      <c r="B146" s="5" t="n">
        <v>27.3003</v>
      </c>
      <c r="C146" s="5" t="n">
        <v>11.7166</v>
      </c>
      <c r="D146" s="1" t="n">
        <f aca="false">LN(B146/B145)</f>
        <v>-0.00842948033422952</v>
      </c>
      <c r="E146" s="1" t="n">
        <f aca="false">LN(C146/C145)</f>
        <v>3.41401795806254E-005</v>
      </c>
      <c r="F146" s="1" t="n">
        <f aca="false">B146/B145-1</f>
        <v>-0.0083940518825778</v>
      </c>
      <c r="G146" s="1" t="n">
        <f aca="false">C146/C145-1</f>
        <v>3.41407623631884E-005</v>
      </c>
    </row>
    <row r="147" customFormat="false" ht="15" hidden="false" customHeight="false" outlineLevel="0" collapsed="false">
      <c r="A147" s="1" t="s">
        <v>154</v>
      </c>
      <c r="B147" s="5" t="n">
        <v>27.373</v>
      </c>
      <c r="C147" s="5" t="n">
        <v>11.7169</v>
      </c>
      <c r="D147" s="1" t="n">
        <f aca="false">LN(B147/B146)</f>
        <v>0.00265943496544493</v>
      </c>
      <c r="E147" s="1" t="n">
        <f aca="false">LN(C147/C146)</f>
        <v>2.560436981392E-005</v>
      </c>
      <c r="F147" s="1" t="n">
        <f aca="false">B147/B146-1</f>
        <v>0.00266297439954877</v>
      </c>
      <c r="G147" s="1" t="n">
        <f aca="false">C147/C146-1</f>
        <v>2.56046976085944E-005</v>
      </c>
    </row>
    <row r="148" customFormat="false" ht="15" hidden="false" customHeight="false" outlineLevel="0" collapsed="false">
      <c r="A148" s="1" t="s">
        <v>155</v>
      </c>
      <c r="B148" s="5" t="n">
        <v>27.1953</v>
      </c>
      <c r="C148" s="5" t="n">
        <v>11.7171</v>
      </c>
      <c r="D148" s="1" t="n">
        <f aca="false">LN(B148/B147)</f>
        <v>-0.00651296185328818</v>
      </c>
      <c r="E148" s="1" t="n">
        <f aca="false">LN(C148/C147)</f>
        <v>1.70692156698179E-005</v>
      </c>
      <c r="F148" s="1" t="n">
        <f aca="false">B148/B147-1</f>
        <v>-0.00649179848756076</v>
      </c>
      <c r="G148" s="1" t="n">
        <f aca="false">C148/C147-1</f>
        <v>1.70693613497086E-005</v>
      </c>
    </row>
    <row r="149" customFormat="false" ht="15" hidden="false" customHeight="false" outlineLevel="0" collapsed="false">
      <c r="A149" s="1" t="s">
        <v>156</v>
      </c>
      <c r="B149" s="5" t="n">
        <v>27.1286</v>
      </c>
      <c r="C149" s="5" t="n">
        <v>11.7175</v>
      </c>
      <c r="D149" s="1" t="n">
        <f aca="false">LN(B149/B148)</f>
        <v>-0.00245564230542148</v>
      </c>
      <c r="E149" s="1" t="n">
        <f aca="false">LN(C149/C148)</f>
        <v>3.41375572902802E-005</v>
      </c>
      <c r="F149" s="1" t="n">
        <f aca="false">B149/B148-1</f>
        <v>-0.00245262968233484</v>
      </c>
      <c r="G149" s="1" t="n">
        <f aca="false">C149/C148-1</f>
        <v>3.41381399833196E-005</v>
      </c>
    </row>
    <row r="150" customFormat="false" ht="15" hidden="false" customHeight="false" outlineLevel="0" collapsed="false">
      <c r="A150" s="1" t="s">
        <v>157</v>
      </c>
      <c r="B150" s="5" t="n">
        <v>26.9479</v>
      </c>
      <c r="C150" s="5" t="n">
        <v>11.7186</v>
      </c>
      <c r="D150" s="1" t="n">
        <f aca="false">LN(B150/B149)</f>
        <v>-0.00668314970725829</v>
      </c>
      <c r="E150" s="1" t="n">
        <f aca="false">LN(C150/C149)</f>
        <v>9.3872274039452E-005</v>
      </c>
      <c r="F150" s="1" t="n">
        <f aca="false">B150/B149-1</f>
        <v>-0.00666086712915515</v>
      </c>
      <c r="G150" s="1" t="n">
        <f aca="false">C150/C149-1</f>
        <v>9.3876680179239E-005</v>
      </c>
    </row>
    <row r="151" customFormat="false" ht="15" hidden="false" customHeight="false" outlineLevel="0" collapsed="false">
      <c r="A151" s="1" t="s">
        <v>158</v>
      </c>
      <c r="B151" s="5" t="n">
        <v>26.7305</v>
      </c>
      <c r="C151" s="5" t="n">
        <v>11.719</v>
      </c>
      <c r="D151" s="1" t="n">
        <f aca="false">LN(B151/B150)</f>
        <v>-0.00810013669085958</v>
      </c>
      <c r="E151" s="1" t="n">
        <f aca="false">LN(C151/C150)</f>
        <v>3.41331877015354E-005</v>
      </c>
      <c r="F151" s="1" t="n">
        <f aca="false">B151/B150-1</f>
        <v>-0.00806741898255525</v>
      </c>
      <c r="G151" s="1" t="n">
        <f aca="false">C151/C150-1</f>
        <v>3.41337702454148E-005</v>
      </c>
    </row>
    <row r="152" customFormat="false" ht="15" hidden="false" customHeight="false" outlineLevel="0" collapsed="false">
      <c r="A152" s="1" t="s">
        <v>159</v>
      </c>
      <c r="B152" s="5" t="n">
        <v>26.7332</v>
      </c>
      <c r="C152" s="5" t="n">
        <v>11.72</v>
      </c>
      <c r="D152" s="1" t="n">
        <f aca="false">LN(B152/B151)</f>
        <v>0.000101003110607621</v>
      </c>
      <c r="E152" s="1" t="n">
        <f aca="false">LN(C152/C151)</f>
        <v>8.5327872401439E-005</v>
      </c>
      <c r="F152" s="1" t="n">
        <f aca="false">B152/B151-1</f>
        <v>0.000101008211593534</v>
      </c>
      <c r="G152" s="1" t="n">
        <f aca="false">C152/C151-1</f>
        <v>8.53315129278887E-005</v>
      </c>
    </row>
    <row r="153" customFormat="false" ht="15" hidden="false" customHeight="false" outlineLevel="0" collapsed="false">
      <c r="A153" s="1" t="s">
        <v>160</v>
      </c>
      <c r="B153" s="5" t="n">
        <v>26.9083</v>
      </c>
      <c r="C153" s="5" t="n">
        <v>11.7204</v>
      </c>
      <c r="D153" s="1" t="n">
        <f aca="false">LN(B153/B152)</f>
        <v>0.00652855054109861</v>
      </c>
      <c r="E153" s="1" t="n">
        <f aca="false">LN(C153/C152)</f>
        <v>3.41291104280701E-005</v>
      </c>
      <c r="F153" s="1" t="n">
        <f aca="false">B153/B152-1</f>
        <v>0.00654990797959099</v>
      </c>
      <c r="G153" s="1" t="n">
        <f aca="false">C153/C152-1</f>
        <v>3.4129692832785E-005</v>
      </c>
    </row>
    <row r="154" customFormat="false" ht="15" hidden="false" customHeight="false" outlineLevel="0" collapsed="false">
      <c r="A154" s="1" t="s">
        <v>161</v>
      </c>
      <c r="B154" s="5" t="n">
        <v>26.7675</v>
      </c>
      <c r="C154" s="5" t="n">
        <v>11.7215</v>
      </c>
      <c r="D154" s="1" t="n">
        <f aca="false">LN(B154/B153)</f>
        <v>-0.00524632415155984</v>
      </c>
      <c r="E154" s="1" t="n">
        <f aca="false">LN(C154/C153)</f>
        <v>9.38490481409808E-005</v>
      </c>
      <c r="F154" s="1" t="n">
        <f aca="false">B154/B153-1</f>
        <v>-0.00523258622804124</v>
      </c>
      <c r="G154" s="1" t="n">
        <f aca="false">C154/C153-1</f>
        <v>9.38534521006673E-005</v>
      </c>
    </row>
    <row r="155" customFormat="false" ht="15" hidden="false" customHeight="false" outlineLevel="0" collapsed="false">
      <c r="A155" s="1" t="s">
        <v>162</v>
      </c>
      <c r="B155" s="5" t="n">
        <v>26.0309</v>
      </c>
      <c r="C155" s="5" t="n">
        <v>11.7219</v>
      </c>
      <c r="D155" s="1" t="n">
        <f aca="false">LN(B155/B154)</f>
        <v>-0.027904171151713</v>
      </c>
      <c r="E155" s="1" t="n">
        <f aca="false">LN(C155/C154)</f>
        <v>3.41247430012629E-005</v>
      </c>
      <c r="F155" s="1" t="n">
        <f aca="false">B155/B154-1</f>
        <v>-0.0275184458765293</v>
      </c>
      <c r="G155" s="1" t="n">
        <f aca="false">C155/C154-1</f>
        <v>3.41253252569285E-005</v>
      </c>
    </row>
    <row r="156" customFormat="false" ht="15" hidden="false" customHeight="false" outlineLevel="0" collapsed="false">
      <c r="A156" s="1" t="s">
        <v>163</v>
      </c>
      <c r="B156" s="5" t="n">
        <v>26.1034</v>
      </c>
      <c r="C156" s="5" t="n">
        <v>11.7221</v>
      </c>
      <c r="D156" s="1" t="n">
        <f aca="false">LN(B156/B155)</f>
        <v>0.00278128014514139</v>
      </c>
      <c r="E156" s="1" t="n">
        <f aca="false">LN(C156/C155)</f>
        <v>1.70619348237997E-005</v>
      </c>
      <c r="F156" s="1" t="n">
        <f aca="false">B156/B155-1</f>
        <v>0.00278515149303327</v>
      </c>
      <c r="G156" s="1" t="n">
        <f aca="false">C156/C155-1</f>
        <v>1.70620803794375E-005</v>
      </c>
    </row>
    <row r="157" customFormat="false" ht="15" hidden="false" customHeight="false" outlineLevel="0" collapsed="false">
      <c r="A157" s="1" t="s">
        <v>164</v>
      </c>
      <c r="B157" s="5" t="n">
        <v>25.9018</v>
      </c>
      <c r="C157" s="5" t="n">
        <v>11.7222</v>
      </c>
      <c r="D157" s="1" t="n">
        <f aca="false">LN(B157/B156)</f>
        <v>-0.00775310968360516</v>
      </c>
      <c r="E157" s="1" t="n">
        <f aca="false">LN(C157/C156)</f>
        <v>8.53085824727564E-006</v>
      </c>
      <c r="F157" s="1" t="n">
        <f aca="false">B157/B156-1</f>
        <v>-0.00772313185255558</v>
      </c>
      <c r="G157" s="1" t="n">
        <f aca="false">C157/C156-1</f>
        <v>8.53089463515033E-006</v>
      </c>
    </row>
    <row r="158" customFormat="false" ht="15" hidden="false" customHeight="false" outlineLevel="0" collapsed="false">
      <c r="A158" s="1" t="s">
        <v>165</v>
      </c>
      <c r="B158" s="5" t="n">
        <v>25.798</v>
      </c>
      <c r="C158" s="5" t="n">
        <v>11.7219</v>
      </c>
      <c r="D158" s="1" t="n">
        <f aca="false">LN(B158/B157)</f>
        <v>-0.00401549481716698</v>
      </c>
      <c r="E158" s="1" t="n">
        <f aca="false">LN(C158/C157)</f>
        <v>-2.55927930709406E-005</v>
      </c>
      <c r="F158" s="1" t="n">
        <f aca="false">B158/B157-1</f>
        <v>-0.00400744349813542</v>
      </c>
      <c r="G158" s="1" t="n">
        <f aca="false">C158/C157-1</f>
        <v>-2.55924655782058E-005</v>
      </c>
    </row>
    <row r="159" customFormat="false" ht="15" hidden="false" customHeight="false" outlineLevel="0" collapsed="false">
      <c r="A159" s="1" t="s">
        <v>166</v>
      </c>
      <c r="B159" s="5" t="n">
        <v>24.5412</v>
      </c>
      <c r="C159" s="5" t="n">
        <v>11.7217</v>
      </c>
      <c r="D159" s="1" t="n">
        <f aca="false">LN(B159/B158)</f>
        <v>-0.0499436317002317</v>
      </c>
      <c r="E159" s="1" t="n">
        <f aca="false">LN(C159/C158)</f>
        <v>-1.70622259383866E-005</v>
      </c>
      <c r="F159" s="1" t="n">
        <f aca="false">B159/B158-1</f>
        <v>-0.0487169548026978</v>
      </c>
      <c r="G159" s="1" t="n">
        <f aca="false">C159/C158-1</f>
        <v>-1.70620803794375E-005</v>
      </c>
    </row>
    <row r="160" customFormat="false" ht="15" hidden="false" customHeight="false" outlineLevel="0" collapsed="false">
      <c r="A160" s="1" t="s">
        <v>167</v>
      </c>
      <c r="B160" s="5" t="n">
        <v>25.1483</v>
      </c>
      <c r="C160" s="5" t="n">
        <v>11.7219</v>
      </c>
      <c r="D160" s="1" t="n">
        <f aca="false">LN(B160/B159)</f>
        <v>0.0244369619850293</v>
      </c>
      <c r="E160" s="1" t="n">
        <f aca="false">LN(C160/C159)</f>
        <v>1.70622259384055E-005</v>
      </c>
      <c r="F160" s="1" t="n">
        <f aca="false">B160/B159-1</f>
        <v>0.0247379916222514</v>
      </c>
      <c r="G160" s="1" t="n">
        <f aca="false">C160/C159-1</f>
        <v>1.70623714990104E-005</v>
      </c>
    </row>
    <row r="161" customFormat="false" ht="15" hidden="false" customHeight="false" outlineLevel="0" collapsed="false">
      <c r="A161" s="1" t="s">
        <v>168</v>
      </c>
      <c r="B161" s="5" t="n">
        <v>25.0376</v>
      </c>
      <c r="C161" s="5" t="n">
        <v>11.7228</v>
      </c>
      <c r="D161" s="1" t="n">
        <f aca="false">LN(B161/B160)</f>
        <v>-0.00441160483479474</v>
      </c>
      <c r="E161" s="1" t="n">
        <f aca="false">LN(C161/C160)</f>
        <v>7.6776414323252E-005</v>
      </c>
      <c r="F161" s="1" t="n">
        <f aca="false">B161/B160-1</f>
        <v>-0.00440188800038166</v>
      </c>
      <c r="G161" s="1" t="n">
        <f aca="false">C161/C160-1</f>
        <v>7.67793617075796E-005</v>
      </c>
    </row>
    <row r="162" customFormat="false" ht="15" hidden="false" customHeight="false" outlineLevel="0" collapsed="false">
      <c r="A162" s="1" t="s">
        <v>169</v>
      </c>
      <c r="B162" s="5" t="n">
        <v>25.8678</v>
      </c>
      <c r="C162" s="5" t="n">
        <v>11.7234</v>
      </c>
      <c r="D162" s="1" t="n">
        <f aca="false">LN(B162/B161)</f>
        <v>0.0326202570012815</v>
      </c>
      <c r="E162" s="1" t="n">
        <f aca="false">LN(C162/C161)</f>
        <v>5.11810016233079E-005</v>
      </c>
      <c r="F162" s="1" t="n">
        <f aca="false">B162/B161-1</f>
        <v>0.0331581301722208</v>
      </c>
      <c r="G162" s="1" t="n">
        <f aca="false">C162/C161-1</f>
        <v>5.11823113931165E-005</v>
      </c>
    </row>
    <row r="163" customFormat="false" ht="15" hidden="false" customHeight="false" outlineLevel="0" collapsed="false">
      <c r="A163" s="1" t="s">
        <v>170</v>
      </c>
      <c r="B163" s="5" t="n">
        <v>26.0885</v>
      </c>
      <c r="C163" s="5" t="n">
        <v>11.7241</v>
      </c>
      <c r="D163" s="1" t="n">
        <f aca="false">LN(B163/B162)</f>
        <v>0.00849565220915646</v>
      </c>
      <c r="E163" s="1" t="n">
        <f aca="false">LN(C163/C162)</f>
        <v>5.97078579982808E-005</v>
      </c>
      <c r="F163" s="1" t="n">
        <f aca="false">B163/B162-1</f>
        <v>0.00853184267699625</v>
      </c>
      <c r="G163" s="1" t="n">
        <f aca="false">C163/C162-1</f>
        <v>5.97096405479114E-005</v>
      </c>
    </row>
    <row r="164" customFormat="false" ht="15" hidden="false" customHeight="false" outlineLevel="0" collapsed="false">
      <c r="A164" s="1" t="s">
        <v>171</v>
      </c>
      <c r="B164" s="5" t="n">
        <v>26.4286</v>
      </c>
      <c r="C164" s="5" t="n">
        <v>11.7253</v>
      </c>
      <c r="D164" s="1" t="n">
        <f aca="false">LN(B164/B163)</f>
        <v>0.012952152900123</v>
      </c>
      <c r="E164" s="1" t="n">
        <f aca="false">LN(C164/C163)</f>
        <v>0.000102348034580664</v>
      </c>
      <c r="F164" s="1" t="n">
        <f aca="false">B164/B163-1</f>
        <v>0.0130363953466086</v>
      </c>
      <c r="G164" s="1" t="n">
        <f aca="false">C164/C163-1</f>
        <v>0.000102353272319444</v>
      </c>
    </row>
    <row r="165" customFormat="false" ht="15" hidden="false" customHeight="false" outlineLevel="0" collapsed="false">
      <c r="A165" s="1" t="s">
        <v>172</v>
      </c>
      <c r="B165" s="5" t="n">
        <v>25.9449</v>
      </c>
      <c r="C165" s="5" t="n">
        <v>11.7257</v>
      </c>
      <c r="D165" s="1" t="n">
        <f aca="false">LN(B165/B164)</f>
        <v>-0.0184716985984213</v>
      </c>
      <c r="E165" s="1" t="n">
        <f aca="false">LN(C165/C164)</f>
        <v>3.41136838546354E-005</v>
      </c>
      <c r="F165" s="1" t="n">
        <f aca="false">B165/B164-1</f>
        <v>-0.0183021423760622</v>
      </c>
      <c r="G165" s="1" t="n">
        <f aca="false">C165/C164-1</f>
        <v>3.41142657329652E-005</v>
      </c>
    </row>
    <row r="166" customFormat="false" ht="15" hidden="false" customHeight="false" outlineLevel="0" collapsed="false">
      <c r="A166" s="1" t="s">
        <v>173</v>
      </c>
      <c r="B166" s="5" t="n">
        <v>26.1961</v>
      </c>
      <c r="C166" s="5" t="n">
        <v>11.7262</v>
      </c>
      <c r="D166" s="1" t="n">
        <f aca="false">LN(B166/B165)</f>
        <v>0.00963548622013303</v>
      </c>
      <c r="E166" s="1" t="n">
        <f aca="false">LN(C166/C165)</f>
        <v>4.2640468369525E-005</v>
      </c>
      <c r="F166" s="1" t="n">
        <f aca="false">B166/B165-1</f>
        <v>0.00968205697458857</v>
      </c>
      <c r="G166" s="1" t="n">
        <f aca="false">C166/C165-1</f>
        <v>4.26413774872181E-005</v>
      </c>
    </row>
    <row r="167" customFormat="false" ht="15" hidden="false" customHeight="false" outlineLevel="0" collapsed="false">
      <c r="A167" s="1" t="s">
        <v>174</v>
      </c>
      <c r="B167" s="5" t="n">
        <v>26.364</v>
      </c>
      <c r="C167" s="5" t="n">
        <v>11.7272</v>
      </c>
      <c r="D167" s="1" t="n">
        <f aca="false">LN(B167/B166)</f>
        <v>0.00638889846525382</v>
      </c>
      <c r="E167" s="1" t="n">
        <f aca="false">LN(C167/C166)</f>
        <v>8.52754824977359E-005</v>
      </c>
      <c r="F167" s="1" t="n">
        <f aca="false">B167/B166-1</f>
        <v>0.00640935101026496</v>
      </c>
      <c r="G167" s="1" t="n">
        <f aca="false">C167/C166-1</f>
        <v>8.52791185550483E-005</v>
      </c>
    </row>
    <row r="168" customFormat="false" ht="15" hidden="false" customHeight="false" outlineLevel="0" collapsed="false">
      <c r="A168" s="1" t="s">
        <v>175</v>
      </c>
      <c r="B168" s="5" t="n">
        <v>26.0739</v>
      </c>
      <c r="C168" s="5" t="n">
        <v>11.7275</v>
      </c>
      <c r="D168" s="1" t="n">
        <f aca="false">LN(B168/B167)</f>
        <v>-0.0110646291954093</v>
      </c>
      <c r="E168" s="1" t="n">
        <f aca="false">LN(C168/C167)</f>
        <v>2.55812267916419E-005</v>
      </c>
      <c r="F168" s="1" t="n">
        <f aca="false">B168/B167-1</f>
        <v>-0.0110036413290852</v>
      </c>
      <c r="G168" s="1" t="n">
        <f aca="false">C168/C167-1</f>
        <v>2.55815539940141E-005</v>
      </c>
    </row>
    <row r="169" customFormat="false" ht="15" hidden="false" customHeight="false" outlineLevel="0" collapsed="false">
      <c r="A169" s="1" t="s">
        <v>176</v>
      </c>
      <c r="B169" s="5" t="n">
        <v>26.0678</v>
      </c>
      <c r="C169" s="5" t="n">
        <v>11.7284</v>
      </c>
      <c r="D169" s="1" t="n">
        <f aca="false">LN(B169/B168)</f>
        <v>-0.000233977796191127</v>
      </c>
      <c r="E169" s="1" t="n">
        <f aca="false">LN(C169/C168)</f>
        <v>7.6739754214844E-005</v>
      </c>
      <c r="F169" s="1" t="n">
        <f aca="false">B169/B168-1</f>
        <v>-0.000233950425521323</v>
      </c>
      <c r="G169" s="1" t="n">
        <f aca="false">C169/C168-1</f>
        <v>7.67426987851039E-005</v>
      </c>
    </row>
    <row r="170" customFormat="false" ht="15" hidden="false" customHeight="false" outlineLevel="0" collapsed="false">
      <c r="A170" s="1" t="s">
        <v>177</v>
      </c>
      <c r="B170" s="5" t="n">
        <v>26.2521</v>
      </c>
      <c r="C170" s="5" t="n">
        <v>11.7288</v>
      </c>
      <c r="D170" s="1" t="n">
        <f aca="false">LN(B170/B169)</f>
        <v>0.00704514963893031</v>
      </c>
      <c r="E170" s="1" t="n">
        <f aca="false">LN(C170/C169)</f>
        <v>3.41046672269919E-005</v>
      </c>
      <c r="F170" s="1" t="n">
        <f aca="false">B170/B169-1</f>
        <v>0.00707002508842325</v>
      </c>
      <c r="G170" s="1" t="n">
        <f aca="false">C170/C169-1</f>
        <v>3.41052487977667E-005</v>
      </c>
    </row>
    <row r="171" customFormat="false" ht="15" hidden="false" customHeight="false" outlineLevel="0" collapsed="false">
      <c r="A171" s="1" t="s">
        <v>178</v>
      </c>
      <c r="B171" s="5" t="n">
        <v>26.6045</v>
      </c>
      <c r="C171" s="5" t="n">
        <v>11.7292</v>
      </c>
      <c r="D171" s="1" t="n">
        <f aca="false">LN(B171/B170)</f>
        <v>0.013334388574054</v>
      </c>
      <c r="E171" s="1" t="n">
        <f aca="false">LN(C171/C170)</f>
        <v>3.41035041383983E-005</v>
      </c>
      <c r="F171" s="1" t="n">
        <f aca="false">B171/B170-1</f>
        <v>0.0134236880097212</v>
      </c>
      <c r="G171" s="1" t="n">
        <f aca="false">C171/C170-1</f>
        <v>3.41040856695063E-005</v>
      </c>
    </row>
    <row r="172" customFormat="false" ht="15" hidden="false" customHeight="false" outlineLevel="0" collapsed="false">
      <c r="A172" s="1" t="s">
        <v>179</v>
      </c>
      <c r="B172" s="5" t="n">
        <v>26.6136</v>
      </c>
      <c r="C172" s="5" t="n">
        <v>11.7298</v>
      </c>
      <c r="D172" s="1" t="n">
        <f aca="false">LN(B172/B171)</f>
        <v>0.000341988913121263</v>
      </c>
      <c r="E172" s="1" t="n">
        <f aca="false">LN(C172/C171)</f>
        <v>5.11530755896721E-005</v>
      </c>
      <c r="F172" s="1" t="n">
        <f aca="false">B172/B171-1</f>
        <v>0.000342047397996481</v>
      </c>
      <c r="G172" s="1" t="n">
        <f aca="false">C172/C171-1</f>
        <v>5.11543839305517E-005</v>
      </c>
    </row>
    <row r="173" customFormat="false" ht="15" hidden="false" customHeight="false" outlineLevel="0" collapsed="false">
      <c r="A173" s="1" t="s">
        <v>180</v>
      </c>
      <c r="B173" s="5" t="n">
        <v>26.2886</v>
      </c>
      <c r="C173" s="5" t="n">
        <v>11.7302</v>
      </c>
      <c r="D173" s="1" t="n">
        <f aca="false">LN(B173/B172)</f>
        <v>-0.0122869781882804</v>
      </c>
      <c r="E173" s="1" t="n">
        <f aca="false">LN(C173/C172)</f>
        <v>3.41005967637302E-005</v>
      </c>
      <c r="F173" s="1" t="n">
        <f aca="false">B173/B172-1</f>
        <v>-0.0122118014849552</v>
      </c>
      <c r="G173" s="1" t="n">
        <f aca="false">C173/C172-1</f>
        <v>3.4101178195689E-005</v>
      </c>
    </row>
    <row r="174" customFormat="false" ht="15" hidden="false" customHeight="false" outlineLevel="0" collapsed="false">
      <c r="A174" s="1" t="s">
        <v>181</v>
      </c>
      <c r="B174" s="5" t="n">
        <v>26.2003</v>
      </c>
      <c r="C174" s="5" t="n">
        <v>11.7315</v>
      </c>
      <c r="D174" s="1" t="n">
        <f aca="false">LN(B174/B173)</f>
        <v>-0.00336452405352298</v>
      </c>
      <c r="E174" s="1" t="n">
        <f aca="false">LN(C174/C173)</f>
        <v>0.000110818909229214</v>
      </c>
      <c r="F174" s="1" t="n">
        <f aca="false">B174/B173-1</f>
        <v>-0.0033588703848817</v>
      </c>
      <c r="G174" s="1" t="n">
        <f aca="false">C174/C173-1</f>
        <v>0.000110825049871366</v>
      </c>
    </row>
    <row r="175" customFormat="false" ht="15" hidden="false" customHeight="false" outlineLevel="0" collapsed="false">
      <c r="A175" s="1" t="s">
        <v>182</v>
      </c>
      <c r="B175" s="5" t="n">
        <v>26.0771</v>
      </c>
      <c r="C175" s="5" t="n">
        <v>11.7319</v>
      </c>
      <c r="D175" s="1" t="n">
        <f aca="false">LN(B175/B174)</f>
        <v>-0.00471332652651058</v>
      </c>
      <c r="E175" s="1" t="n">
        <f aca="false">LN(C175/C174)</f>
        <v>3.40956553644039E-005</v>
      </c>
      <c r="F175" s="1" t="n">
        <f aca="false">B175/B174-1</f>
        <v>-0.00470223623393617</v>
      </c>
      <c r="G175" s="1" t="n">
        <f aca="false">C175/C174-1</f>
        <v>3.40962366278674E-005</v>
      </c>
    </row>
    <row r="176" customFormat="false" ht="15" hidden="false" customHeight="false" outlineLevel="0" collapsed="false">
      <c r="A176" s="1" t="s">
        <v>183</v>
      </c>
      <c r="B176" s="5" t="n">
        <v>26.3186</v>
      </c>
      <c r="C176" s="5" t="n">
        <v>11.7325</v>
      </c>
      <c r="D176" s="1" t="n">
        <f aca="false">LN(B176/B175)</f>
        <v>0.00921837899637246</v>
      </c>
      <c r="E176" s="1" t="n">
        <f aca="false">LN(C176/C175)</f>
        <v>5.11413034325883E-005</v>
      </c>
      <c r="F176" s="1" t="n">
        <f aca="false">B176/B175-1</f>
        <v>0.00926099911416523</v>
      </c>
      <c r="G176" s="1" t="n">
        <f aca="false">C176/C175-1</f>
        <v>5.11426111713398E-005</v>
      </c>
    </row>
    <row r="177" customFormat="false" ht="15" hidden="false" customHeight="false" outlineLevel="0" collapsed="false">
      <c r="A177" s="1" t="s">
        <v>184</v>
      </c>
      <c r="B177" s="5" t="n">
        <v>26.4998</v>
      </c>
      <c r="C177" s="5" t="n">
        <v>11.7329</v>
      </c>
      <c r="D177" s="1" t="n">
        <f aca="false">LN(B177/B176)</f>
        <v>0.00686127224084778</v>
      </c>
      <c r="E177" s="1" t="n">
        <f aca="false">LN(C177/C176)</f>
        <v>3.40927493279302E-005</v>
      </c>
      <c r="F177" s="1" t="n">
        <f aca="false">B177/B176-1</f>
        <v>0.00688486469645033</v>
      </c>
      <c r="G177" s="1" t="n">
        <f aca="false">C177/C176-1</f>
        <v>3.4093330492313E-005</v>
      </c>
    </row>
    <row r="178" customFormat="false" ht="15" hidden="false" customHeight="false" outlineLevel="0" collapsed="false">
      <c r="A178" s="1" t="s">
        <v>185</v>
      </c>
      <c r="B178" s="5" t="n">
        <v>26.4603</v>
      </c>
      <c r="C178" s="5" t="n">
        <v>11.7333</v>
      </c>
      <c r="D178" s="1" t="n">
        <f aca="false">LN(B178/B177)</f>
        <v>-0.001491689302868</v>
      </c>
      <c r="E178" s="1" t="n">
        <f aca="false">LN(C178/C177)</f>
        <v>3.40915870517562E-005</v>
      </c>
      <c r="F178" s="1" t="n">
        <f aca="false">B178/B177-1</f>
        <v>-0.00149057728737578</v>
      </c>
      <c r="G178" s="1" t="n">
        <f aca="false">C178/C177-1</f>
        <v>3.40921681765138E-005</v>
      </c>
    </row>
    <row r="179" customFormat="false" ht="15" hidden="false" customHeight="false" outlineLevel="0" collapsed="false">
      <c r="A179" s="1" t="s">
        <v>186</v>
      </c>
      <c r="B179" s="5" t="n">
        <v>26.5234</v>
      </c>
      <c r="C179" s="5" t="n">
        <v>11.7344</v>
      </c>
      <c r="D179" s="1" t="n">
        <f aca="false">LN(B179/B178)</f>
        <v>0.00238186573727447</v>
      </c>
      <c r="E179" s="1" t="n">
        <f aca="false">LN(C179/C178)</f>
        <v>9.37458720544901E-005</v>
      </c>
      <c r="F179" s="1" t="n">
        <f aca="false">B179/B178-1</f>
        <v>0.00238470463297835</v>
      </c>
      <c r="G179" s="1" t="n">
        <f aca="false">C179/C178-1</f>
        <v>9.37502663360679E-005</v>
      </c>
    </row>
    <row r="180" customFormat="false" ht="15" hidden="false" customHeight="false" outlineLevel="0" collapsed="false">
      <c r="A180" s="1" t="s">
        <v>187</v>
      </c>
      <c r="B180" s="5" t="n">
        <v>26.1968</v>
      </c>
      <c r="C180" s="5" t="n">
        <v>11.7346</v>
      </c>
      <c r="D180" s="1" t="n">
        <f aca="false">LN(B180/B179)</f>
        <v>-0.012390096325201</v>
      </c>
      <c r="E180" s="1" t="n">
        <f aca="false">LN(C180/C179)</f>
        <v>1.70437598537896E-005</v>
      </c>
      <c r="F180" s="1" t="n">
        <f aca="false">B180/B179-1</f>
        <v>-0.0123136551120897</v>
      </c>
      <c r="G180" s="1" t="n">
        <f aca="false">C180/C179-1</f>
        <v>1.70439050994897E-005</v>
      </c>
    </row>
    <row r="181" customFormat="false" ht="15" hidden="false" customHeight="false" outlineLevel="0" collapsed="false">
      <c r="A181" s="1" t="s">
        <v>188</v>
      </c>
      <c r="B181" s="5" t="n">
        <v>26.0453</v>
      </c>
      <c r="C181" s="5" t="n">
        <v>11.7348</v>
      </c>
      <c r="D181" s="1" t="n">
        <f aca="false">LN(B181/B180)</f>
        <v>-0.00579993624664493</v>
      </c>
      <c r="E181" s="1" t="n">
        <f aca="false">LN(C181/C180)</f>
        <v>1.70434693691082E-005</v>
      </c>
      <c r="F181" s="1" t="n">
        <f aca="false">B181/B180-1</f>
        <v>-0.00578314908691135</v>
      </c>
      <c r="G181" s="1" t="n">
        <f aca="false">C181/C180-1</f>
        <v>1.70436146098574E-005</v>
      </c>
    </row>
    <row r="182" customFormat="false" ht="15" hidden="false" customHeight="false" outlineLevel="0" collapsed="false">
      <c r="A182" s="1" t="s">
        <v>189</v>
      </c>
      <c r="B182" s="5" t="n">
        <v>26.012</v>
      </c>
      <c r="C182" s="5" t="n">
        <v>11.7349</v>
      </c>
      <c r="D182" s="1" t="n">
        <f aca="false">LN(B182/B181)</f>
        <v>-0.00127935964954045</v>
      </c>
      <c r="E182" s="1" t="n">
        <f aca="false">LN(C182/C181)</f>
        <v>8.52162575573057E-006</v>
      </c>
      <c r="F182" s="1" t="n">
        <f aca="false">B182/B181-1</f>
        <v>-0.00127854161787344</v>
      </c>
      <c r="G182" s="1" t="n">
        <f aca="false">C182/C181-1</f>
        <v>8.52166206488647E-006</v>
      </c>
    </row>
    <row r="183" customFormat="false" ht="15" hidden="false" customHeight="false" outlineLevel="0" collapsed="false">
      <c r="A183" s="1" t="s">
        <v>190</v>
      </c>
      <c r="B183" s="5" t="n">
        <v>26.0885</v>
      </c>
      <c r="C183" s="5" t="n">
        <v>11.7353</v>
      </c>
      <c r="D183" s="1" t="n">
        <f aca="false">LN(B183/B182)</f>
        <v>0.00293663419647972</v>
      </c>
      <c r="E183" s="1" t="n">
        <f aca="false">LN(C183/C182)</f>
        <v>3.40857768607625E-005</v>
      </c>
      <c r="F183" s="1" t="n">
        <f aca="false">B183/B182-1</f>
        <v>0.00294095033061659</v>
      </c>
      <c r="G183" s="1" t="n">
        <f aca="false">C183/C182-1</f>
        <v>3.40863577874551E-005</v>
      </c>
    </row>
    <row r="184" customFormat="false" ht="15" hidden="false" customHeight="false" outlineLevel="0" collapsed="false">
      <c r="A184" s="1" t="s">
        <v>191</v>
      </c>
      <c r="B184" s="5" t="n">
        <v>25.5577</v>
      </c>
      <c r="C184" s="5" t="n">
        <v>11.7364</v>
      </c>
      <c r="D184" s="1" t="n">
        <f aca="false">LN(B184/B183)</f>
        <v>-0.0205559630934334</v>
      </c>
      <c r="E184" s="1" t="n">
        <f aca="false">LN(C184/C183)</f>
        <v>9.37298960709992E-005</v>
      </c>
      <c r="F184" s="1" t="n">
        <f aca="false">B184/B183-1</f>
        <v>-0.0203461295206701</v>
      </c>
      <c r="G184" s="1" t="n">
        <f aca="false">C184/C183-1</f>
        <v>9.37342888549519E-005</v>
      </c>
    </row>
    <row r="185" customFormat="false" ht="15" hidden="false" customHeight="false" outlineLevel="0" collapsed="false">
      <c r="A185" s="1" t="s">
        <v>192</v>
      </c>
      <c r="B185" s="5" t="n">
        <v>25.4337</v>
      </c>
      <c r="C185" s="5" t="n">
        <v>11.7367</v>
      </c>
      <c r="D185" s="1" t="n">
        <f aca="false">LN(B185/B184)</f>
        <v>-0.00486357481568611</v>
      </c>
      <c r="E185" s="1" t="n">
        <f aca="false">LN(C185/C184)</f>
        <v>2.55611742818394E-005</v>
      </c>
      <c r="F185" s="1" t="n">
        <f aca="false">B185/B184-1</f>
        <v>-0.0048517667865261</v>
      </c>
      <c r="G185" s="1" t="n">
        <f aca="false">C185/C184-1</f>
        <v>2.55615009714383E-005</v>
      </c>
    </row>
    <row r="186" customFormat="false" ht="15" hidden="false" customHeight="false" outlineLevel="0" collapsed="false">
      <c r="A186" s="1" t="s">
        <v>193</v>
      </c>
      <c r="B186" s="5" t="n">
        <v>25.452</v>
      </c>
      <c r="C186" s="5" t="n">
        <v>11.7373</v>
      </c>
      <c r="D186" s="1" t="n">
        <f aca="false">LN(B186/B185)</f>
        <v>0.000719259076280212</v>
      </c>
      <c r="E186" s="1" t="n">
        <f aca="false">LN(C186/C185)</f>
        <v>5.11203885259503E-005</v>
      </c>
      <c r="F186" s="1" t="n">
        <f aca="false">B186/B185-1</f>
        <v>0.00071951780511692</v>
      </c>
      <c r="G186" s="1" t="n">
        <f aca="false">C186/C185-1</f>
        <v>5.11216951952775E-005</v>
      </c>
    </row>
    <row r="187" customFormat="false" ht="15" hidden="false" customHeight="false" outlineLevel="0" collapsed="false">
      <c r="A187" s="1" t="s">
        <v>194</v>
      </c>
      <c r="B187" s="5" t="n">
        <v>25.413</v>
      </c>
      <c r="C187" s="5" t="n">
        <v>11.738</v>
      </c>
      <c r="D187" s="1" t="n">
        <f aca="false">LN(B187/B186)</f>
        <v>-0.00153347125302214</v>
      </c>
      <c r="E187" s="1" t="n">
        <f aca="false">LN(C187/C186)</f>
        <v>5.96371505547275E-005</v>
      </c>
      <c r="F187" s="1" t="n">
        <f aca="false">B187/B186-1</f>
        <v>-0.00153229608675154</v>
      </c>
      <c r="G187" s="1" t="n">
        <f aca="false">C187/C186-1</f>
        <v>5.96389288849419E-005</v>
      </c>
    </row>
    <row r="188" customFormat="false" ht="15" hidden="false" customHeight="false" outlineLevel="0" collapsed="false">
      <c r="A188" s="1" t="s">
        <v>195</v>
      </c>
      <c r="B188" s="5" t="n">
        <v>25.4489</v>
      </c>
      <c r="C188" s="5" t="n">
        <v>11.7384</v>
      </c>
      <c r="D188" s="1" t="n">
        <f aca="false">LN(B188/B187)</f>
        <v>0.00141166594098109</v>
      </c>
      <c r="E188" s="1" t="n">
        <f aca="false">LN(C188/C187)</f>
        <v>3.4076774977459E-005</v>
      </c>
      <c r="F188" s="1" t="n">
        <f aca="false">B188/B187-1</f>
        <v>0.00141266281037256</v>
      </c>
      <c r="G188" s="1" t="n">
        <f aca="false">C188/C187-1</f>
        <v>3.40773555973506E-005</v>
      </c>
    </row>
    <row r="189" customFormat="false" ht="15" hidden="false" customHeight="false" outlineLevel="0" collapsed="false">
      <c r="A189" s="1" t="s">
        <v>196</v>
      </c>
      <c r="B189" s="5" t="n">
        <v>25.8419</v>
      </c>
      <c r="C189" s="5" t="n">
        <v>11.7395</v>
      </c>
      <c r="D189" s="1" t="n">
        <f aca="false">LN(B189/B188)</f>
        <v>0.0153246855645064</v>
      </c>
      <c r="E189" s="1" t="n">
        <f aca="false">LN(C189/C188)</f>
        <v>9.37051440548911E-005</v>
      </c>
      <c r="F189" s="1" t="n">
        <f aca="false">B189/B188-1</f>
        <v>0.0154427106869059</v>
      </c>
      <c r="G189" s="1" t="n">
        <f aca="false">C189/C188-1</f>
        <v>9.37095345190375E-005</v>
      </c>
    </row>
    <row r="190" customFormat="false" ht="15" hidden="false" customHeight="false" outlineLevel="0" collapsed="false">
      <c r="A190" s="1" t="s">
        <v>197</v>
      </c>
      <c r="B190" s="5" t="n">
        <v>26.0228</v>
      </c>
      <c r="C190" s="5" t="n">
        <v>11.7401</v>
      </c>
      <c r="D190" s="1" t="n">
        <f aca="false">LN(B190/B189)</f>
        <v>0.00697587120298776</v>
      </c>
      <c r="E190" s="1" t="n">
        <f aca="false">LN(C190/C189)</f>
        <v>5.11081960621909E-005</v>
      </c>
      <c r="F190" s="1" t="n">
        <f aca="false">B190/B189-1</f>
        <v>0.00700025926886183</v>
      </c>
      <c r="G190" s="1" t="n">
        <f aca="false">C190/C189-1</f>
        <v>5.1109502108293E-005</v>
      </c>
    </row>
    <row r="191" customFormat="false" ht="15" hidden="false" customHeight="false" outlineLevel="0" collapsed="false">
      <c r="A191" s="1" t="s">
        <v>198</v>
      </c>
      <c r="B191" s="5" t="n">
        <v>26.6251</v>
      </c>
      <c r="C191" s="5" t="n">
        <v>11.7406</v>
      </c>
      <c r="D191" s="1" t="n">
        <f aca="false">LN(B191/B190)</f>
        <v>0.0228813030650816</v>
      </c>
      <c r="E191" s="1" t="n">
        <f aca="false">LN(C191/C190)</f>
        <v>4.25881681617063E-005</v>
      </c>
      <c r="F191" s="1" t="n">
        <f aca="false">B191/B190-1</f>
        <v>0.0231450881534654</v>
      </c>
      <c r="G191" s="1" t="n">
        <f aca="false">C191/C190-1</f>
        <v>4.25890750506142E-005</v>
      </c>
    </row>
    <row r="192" customFormat="false" ht="15" hidden="false" customHeight="false" outlineLevel="0" collapsed="false">
      <c r="A192" s="1" t="s">
        <v>199</v>
      </c>
      <c r="B192" s="5" t="n">
        <v>26.5832</v>
      </c>
      <c r="C192" s="5" t="n">
        <v>11.741</v>
      </c>
      <c r="D192" s="1" t="n">
        <f aca="false">LN(B192/B191)</f>
        <v>-0.00157494258079588</v>
      </c>
      <c r="E192" s="1" t="n">
        <f aca="false">LN(C192/C191)</f>
        <v>3.40692286758772E-005</v>
      </c>
      <c r="F192" s="1" t="n">
        <f aca="false">B192/B191-1</f>
        <v>-0.00157370300956605</v>
      </c>
      <c r="G192" s="1" t="n">
        <f aca="false">C192/C191-1</f>
        <v>3.40698090386393E-005</v>
      </c>
    </row>
    <row r="193" customFormat="false" ht="15" hidden="false" customHeight="false" outlineLevel="0" collapsed="false">
      <c r="A193" s="1" t="s">
        <v>200</v>
      </c>
      <c r="B193" s="5" t="n">
        <v>26.9918</v>
      </c>
      <c r="C193" s="5" t="n">
        <v>11.7416</v>
      </c>
      <c r="D193" s="1" t="n">
        <f aca="false">LN(B193/B192)</f>
        <v>0.0152536788630314</v>
      </c>
      <c r="E193" s="1" t="n">
        <f aca="false">LN(C193/C192)</f>
        <v>5.11016667772545E-005</v>
      </c>
      <c r="F193" s="1" t="n">
        <f aca="false">B193/B192-1</f>
        <v>0.0153706100093292</v>
      </c>
      <c r="G193" s="1" t="n">
        <f aca="false">C193/C192-1</f>
        <v>5.11029724896694E-005</v>
      </c>
    </row>
    <row r="194" customFormat="false" ht="15" hidden="false" customHeight="false" outlineLevel="0" collapsed="false">
      <c r="A194" s="1" t="s">
        <v>201</v>
      </c>
      <c r="B194" s="5" t="n">
        <v>26.9661</v>
      </c>
      <c r="C194" s="5" t="n">
        <v>11.7426</v>
      </c>
      <c r="D194" s="1" t="n">
        <f aca="false">LN(B194/B193)</f>
        <v>-0.000952594594801738</v>
      </c>
      <c r="E194" s="1" t="n">
        <f aca="false">LN(C194/C193)</f>
        <v>8.51636419894666E-005</v>
      </c>
      <c r="F194" s="1" t="n">
        <f aca="false">B194/B193-1</f>
        <v>-0.000952141020606256</v>
      </c>
      <c r="G194" s="1" t="n">
        <f aca="false">C194/C193-1</f>
        <v>8.51672685153737E-005</v>
      </c>
    </row>
    <row r="195" customFormat="false" ht="15" hidden="false" customHeight="false" outlineLevel="0" collapsed="false">
      <c r="A195" s="1" t="s">
        <v>202</v>
      </c>
      <c r="B195" s="5" t="n">
        <v>26.8368</v>
      </c>
      <c r="C195" s="5" t="n">
        <v>11.7429</v>
      </c>
      <c r="D195" s="1" t="n">
        <f aca="false">LN(B195/B194)</f>
        <v>-0.00480644162016075</v>
      </c>
      <c r="E195" s="1" t="n">
        <f aca="false">LN(C195/C194)</f>
        <v>2.55476783561789E-005</v>
      </c>
      <c r="F195" s="1" t="n">
        <f aca="false">B195/B194-1</f>
        <v>-0.00479490916372782</v>
      </c>
      <c r="G195" s="1" t="n">
        <f aca="false">C195/C194-1</f>
        <v>2.55480047008927E-005</v>
      </c>
    </row>
    <row r="196" customFormat="false" ht="15" hidden="false" customHeight="false" outlineLevel="0" collapsed="false">
      <c r="A196" s="1" t="s">
        <v>203</v>
      </c>
      <c r="B196" s="5" t="n">
        <v>26.641</v>
      </c>
      <c r="C196" s="5" t="n">
        <v>11.7433</v>
      </c>
      <c r="D196" s="1" t="n">
        <f aca="false">LN(B196/B195)</f>
        <v>-0.00732269745314341</v>
      </c>
      <c r="E196" s="1" t="n">
        <f aca="false">LN(C196/C195)</f>
        <v>3.40625558870559E-005</v>
      </c>
      <c r="F196" s="1" t="n">
        <f aca="false">B196/B195-1</f>
        <v>-0.00729595182734166</v>
      </c>
      <c r="G196" s="1" t="n">
        <f aca="false">C196/C195-1</f>
        <v>3.40631360224997E-005</v>
      </c>
    </row>
    <row r="197" customFormat="false" ht="15" hidden="false" customHeight="false" outlineLevel="0" collapsed="false">
      <c r="A197" s="1" t="s">
        <v>204</v>
      </c>
      <c r="B197" s="5" t="n">
        <v>27.0486</v>
      </c>
      <c r="C197" s="5" t="n">
        <v>11.7437</v>
      </c>
      <c r="D197" s="1" t="n">
        <f aca="false">LN(B197/B196)</f>
        <v>0.0151838654404984</v>
      </c>
      <c r="E197" s="1" t="n">
        <f aca="false">LN(C197/C196)</f>
        <v>3.40613956691303E-005</v>
      </c>
      <c r="F197" s="1" t="n">
        <f aca="false">B197/B196-1</f>
        <v>0.0152997259862619</v>
      </c>
      <c r="G197" s="1" t="n">
        <f aca="false">C197/C196-1</f>
        <v>3.4061975765054E-005</v>
      </c>
    </row>
    <row r="198" customFormat="false" ht="15" hidden="false" customHeight="false" outlineLevel="0" collapsed="false">
      <c r="A198" s="1" t="s">
        <v>205</v>
      </c>
      <c r="B198" s="5" t="n">
        <v>26.9353</v>
      </c>
      <c r="C198" s="5" t="n">
        <v>11.7441</v>
      </c>
      <c r="D198" s="1" t="n">
        <f aca="false">LN(B198/B197)</f>
        <v>-0.00419755395060418</v>
      </c>
      <c r="E198" s="1" t="n">
        <f aca="false">LN(C198/C197)</f>
        <v>3.40602355298043E-005</v>
      </c>
      <c r="F198" s="1" t="n">
        <f aca="false">B198/B197-1</f>
        <v>-0.0041887565345341</v>
      </c>
      <c r="G198" s="1" t="n">
        <f aca="false">C198/C197-1</f>
        <v>3.40608155862121E-005</v>
      </c>
    </row>
    <row r="199" customFormat="false" ht="15" hidden="false" customHeight="false" outlineLevel="0" collapsed="false">
      <c r="A199" s="1" t="s">
        <v>206</v>
      </c>
      <c r="B199" s="5" t="n">
        <v>26.8522</v>
      </c>
      <c r="C199" s="5" t="n">
        <v>11.7452</v>
      </c>
      <c r="D199" s="1" t="n">
        <f aca="false">LN(B199/B198)</f>
        <v>-0.0030899397115688</v>
      </c>
      <c r="E199" s="1" t="n">
        <f aca="false">LN(C199/C198)</f>
        <v>9.365966638466E-005</v>
      </c>
      <c r="F199" s="1" t="n">
        <f aca="false">B199/B198-1</f>
        <v>-0.00308517076104597</v>
      </c>
      <c r="G199" s="1" t="n">
        <f aca="false">C199/C198-1</f>
        <v>9.36640525881494E-005</v>
      </c>
    </row>
    <row r="200" customFormat="false" ht="15" hidden="false" customHeight="false" outlineLevel="0" collapsed="false">
      <c r="A200" s="1" t="s">
        <v>207</v>
      </c>
      <c r="B200" s="5" t="n">
        <v>26.8203</v>
      </c>
      <c r="C200" s="5" t="n">
        <v>11.7455</v>
      </c>
      <c r="D200" s="1" t="n">
        <f aca="false">LN(B200/B199)</f>
        <v>-0.00118869081023564</v>
      </c>
      <c r="E200" s="1" t="n">
        <f aca="false">LN(C200/C199)</f>
        <v>2.55420230147882E-005</v>
      </c>
      <c r="F200" s="1" t="n">
        <f aca="false">B200/B199-1</f>
        <v>-0.00118798459716518</v>
      </c>
      <c r="G200" s="1" t="n">
        <f aca="false">C200/C199-1</f>
        <v>2.55423492150353E-005</v>
      </c>
    </row>
    <row r="201" customFormat="false" ht="15" hidden="false" customHeight="false" outlineLevel="0" collapsed="false">
      <c r="A201" s="1" t="s">
        <v>208</v>
      </c>
      <c r="B201" s="5" t="n">
        <v>26.7805</v>
      </c>
      <c r="C201" s="5" t="n">
        <v>11.7459</v>
      </c>
      <c r="D201" s="1" t="n">
        <f aca="false">LN(B201/B200)</f>
        <v>-0.0014850527348292</v>
      </c>
      <c r="E201" s="1" t="n">
        <f aca="false">LN(C201/C200)</f>
        <v>3.40550158814493E-005</v>
      </c>
      <c r="F201" s="1" t="n">
        <f aca="false">B201/B200-1</f>
        <v>-0.00148395058966533</v>
      </c>
      <c r="G201" s="1" t="n">
        <f aca="false">C201/C200-1</f>
        <v>3.40555957600852E-005</v>
      </c>
    </row>
    <row r="202" customFormat="false" ht="15" hidden="false" customHeight="false" outlineLevel="0" collapsed="false">
      <c r="A202" s="1" t="s">
        <v>209</v>
      </c>
      <c r="B202" s="5" t="n">
        <v>26.7899</v>
      </c>
      <c r="C202" s="5" t="n">
        <v>11.7463</v>
      </c>
      <c r="D202" s="1" t="n">
        <f aca="false">LN(B202/B201)</f>
        <v>0.000350940074984488</v>
      </c>
      <c r="E202" s="1" t="n">
        <f aca="false">LN(C202/C201)</f>
        <v>3.40538561766425E-005</v>
      </c>
      <c r="F202" s="1" t="n">
        <f aca="false">B202/B201-1</f>
        <v>0.000351001661656802</v>
      </c>
      <c r="G202" s="1" t="n">
        <f aca="false">C202/C201-1</f>
        <v>3.40544360157846E-005</v>
      </c>
    </row>
    <row r="203" customFormat="false" ht="15" hidden="false" customHeight="false" outlineLevel="0" collapsed="false">
      <c r="A203" s="1" t="s">
        <v>210</v>
      </c>
      <c r="B203" s="5" t="n">
        <v>26.9863</v>
      </c>
      <c r="C203" s="5" t="n">
        <v>11.7478</v>
      </c>
      <c r="D203" s="1" t="n">
        <f aca="false">LN(B203/B202)</f>
        <v>0.00730437900876523</v>
      </c>
      <c r="E203" s="1" t="n">
        <f aca="false">LN(C203/C202)</f>
        <v>0.000127691633392136</v>
      </c>
      <c r="F203" s="1" t="n">
        <f aca="false">B203/B202-1</f>
        <v>0.0073311210568161</v>
      </c>
      <c r="G203" s="1" t="n">
        <f aca="false">C203/C202-1</f>
        <v>0.000127699786315771</v>
      </c>
    </row>
    <row r="204" customFormat="false" ht="15" hidden="false" customHeight="false" outlineLevel="0" collapsed="false">
      <c r="A204" s="1" t="s">
        <v>211</v>
      </c>
      <c r="B204" s="5" t="n">
        <v>26.9924</v>
      </c>
      <c r="C204" s="5" t="n">
        <v>11.7482</v>
      </c>
      <c r="D204" s="1" t="n">
        <f aca="false">LN(B204/B203)</f>
        <v>0.000226015077279221</v>
      </c>
      <c r="E204" s="1" t="n">
        <f aca="false">LN(C204/C203)</f>
        <v>3.40483486585578E-005</v>
      </c>
      <c r="F204" s="1" t="n">
        <f aca="false">B204/B203-1</f>
        <v>0.000226040620611156</v>
      </c>
      <c r="G204" s="1" t="n">
        <f aca="false">C204/C203-1</f>
        <v>3.40489283101597E-005</v>
      </c>
    </row>
    <row r="205" customFormat="false" ht="15" hidden="false" customHeight="false" outlineLevel="0" collapsed="false">
      <c r="A205" s="1" t="s">
        <v>212</v>
      </c>
      <c r="B205" s="5" t="n">
        <v>26.6856</v>
      </c>
      <c r="C205" s="5" t="n">
        <v>11.7485</v>
      </c>
      <c r="D205" s="1" t="n">
        <f aca="false">LN(B205/B204)</f>
        <v>-0.0114312508244876</v>
      </c>
      <c r="E205" s="1" t="n">
        <f aca="false">LN(C205/C204)</f>
        <v>2.55355007312258E-005</v>
      </c>
      <c r="F205" s="1" t="n">
        <f aca="false">B205/B204-1</f>
        <v>-0.0113661623271736</v>
      </c>
      <c r="G205" s="1" t="n">
        <f aca="false">C205/C204-1</f>
        <v>2.55358267648997E-005</v>
      </c>
    </row>
    <row r="206" customFormat="false" ht="15" hidden="false" customHeight="false" outlineLevel="0" collapsed="false">
      <c r="A206" s="1" t="s">
        <v>213</v>
      </c>
      <c r="B206" s="5" t="n">
        <v>26.3054</v>
      </c>
      <c r="C206" s="5" t="n">
        <v>11.7493</v>
      </c>
      <c r="D206" s="1" t="n">
        <f aca="false">LN(B206/B205)</f>
        <v>-0.014349852773299</v>
      </c>
      <c r="E206" s="1" t="n">
        <f aca="false">LN(C206/C205)</f>
        <v>6.80914809308518E-005</v>
      </c>
      <c r="F206" s="1" t="n">
        <f aca="false">B206/B205-1</f>
        <v>-0.0142473843571065</v>
      </c>
      <c r="G206" s="1" t="n">
        <f aca="false">C206/C205-1</f>
        <v>6.80937992083575E-005</v>
      </c>
    </row>
    <row r="207" customFormat="false" ht="15" hidden="false" customHeight="false" outlineLevel="0" collapsed="false">
      <c r="A207" s="1" t="s">
        <v>214</v>
      </c>
      <c r="B207" s="5" t="n">
        <v>26.3584</v>
      </c>
      <c r="C207" s="5" t="n">
        <v>11.7496</v>
      </c>
      <c r="D207" s="1" t="n">
        <f aca="false">LN(B207/B206)</f>
        <v>0.00201276846307942</v>
      </c>
      <c r="E207" s="1" t="n">
        <f aca="false">LN(C207/C206)</f>
        <v>2.55331100617682E-005</v>
      </c>
      <c r="F207" s="1" t="n">
        <f aca="false">B207/B206-1</f>
        <v>0.00201479544124017</v>
      </c>
      <c r="G207" s="1" t="n">
        <f aca="false">C207/C206-1</f>
        <v>2.55334360343973E-005</v>
      </c>
    </row>
    <row r="208" customFormat="false" ht="15" hidden="false" customHeight="false" outlineLevel="0" collapsed="false">
      <c r="A208" s="1" t="s">
        <v>215</v>
      </c>
      <c r="B208" s="5" t="n">
        <v>26.8267</v>
      </c>
      <c r="C208" s="5" t="n">
        <v>11.7507</v>
      </c>
      <c r="D208" s="1" t="n">
        <f aca="false">LN(B208/B207)</f>
        <v>0.0176106504624865</v>
      </c>
      <c r="E208" s="1" t="n">
        <f aca="false">LN(C208/C207)</f>
        <v>9.36158262494832E-005</v>
      </c>
      <c r="F208" s="1" t="n">
        <f aca="false">B208/B207-1</f>
        <v>0.01776663226903</v>
      </c>
      <c r="G208" s="1" t="n">
        <f aca="false">C208/C207-1</f>
        <v>9.36202083476889E-005</v>
      </c>
    </row>
    <row r="209" customFormat="false" ht="15" hidden="false" customHeight="false" outlineLevel="0" collapsed="false">
      <c r="A209" s="1" t="s">
        <v>216</v>
      </c>
      <c r="B209" s="5" t="n">
        <v>26.7672</v>
      </c>
      <c r="C209" s="5" t="n">
        <v>11.7511</v>
      </c>
      <c r="D209" s="1" t="n">
        <f aca="false">LN(B209/B208)</f>
        <v>-0.00222040286097919</v>
      </c>
      <c r="E209" s="1" t="n">
        <f aca="false">LN(C209/C208)</f>
        <v>3.40399458797176E-005</v>
      </c>
      <c r="F209" s="1" t="n">
        <f aca="false">B209/B208-1</f>
        <v>-0.00221793959003525</v>
      </c>
      <c r="G209" s="1" t="n">
        <f aca="false">C209/C208-1</f>
        <v>3.40405252452491E-005</v>
      </c>
    </row>
    <row r="210" customFormat="false" ht="15" hidden="false" customHeight="false" outlineLevel="0" collapsed="false">
      <c r="A210" s="1" t="s">
        <v>217</v>
      </c>
      <c r="B210" s="5" t="n">
        <v>27.0075</v>
      </c>
      <c r="C210" s="5" t="n">
        <v>11.7516</v>
      </c>
      <c r="D210" s="1" t="n">
        <f aca="false">LN(B210/B209)</f>
        <v>0.00893734784270329</v>
      </c>
      <c r="E210" s="1" t="n">
        <f aca="false">LN(C210/C209)</f>
        <v>4.25483029673897E-005</v>
      </c>
      <c r="F210" s="1" t="n">
        <f aca="false">B210/B209-1</f>
        <v>0.00897740518246226</v>
      </c>
      <c r="G210" s="1" t="n">
        <f aca="false">C210/C209-1</f>
        <v>4.25492081592704E-005</v>
      </c>
    </row>
    <row r="211" customFormat="false" ht="15" hidden="false" customHeight="false" outlineLevel="0" collapsed="false">
      <c r="A211" s="1" t="s">
        <v>218</v>
      </c>
      <c r="B211" s="5" t="n">
        <v>26.7621</v>
      </c>
      <c r="C211" s="5" t="n">
        <v>11.7519</v>
      </c>
      <c r="D211" s="1" t="n">
        <f aca="false">LN(B211/B210)</f>
        <v>-0.00912789769168046</v>
      </c>
      <c r="E211" s="1" t="n">
        <f aca="false">LN(C211/C210)</f>
        <v>2.5528112835488E-005</v>
      </c>
      <c r="F211" s="1" t="n">
        <f aca="false">B211/B210-1</f>
        <v>-0.00908636489863923</v>
      </c>
      <c r="G211" s="1" t="n">
        <f aca="false">C211/C210-1</f>
        <v>2.55284386805332E-005</v>
      </c>
    </row>
    <row r="212" customFormat="false" ht="15" hidden="false" customHeight="false" outlineLevel="0" collapsed="false">
      <c r="A212" s="1" t="s">
        <v>219</v>
      </c>
      <c r="B212" s="5" t="n">
        <v>26.7839</v>
      </c>
      <c r="C212" s="5" t="n">
        <v>11.7525</v>
      </c>
      <c r="D212" s="1" t="n">
        <f aca="false">LN(B212/B211)</f>
        <v>0.000814253210490549</v>
      </c>
      <c r="E212" s="1" t="n">
        <f aca="false">LN(C212/C211)</f>
        <v>5.10542707008624E-005</v>
      </c>
      <c r="F212" s="1" t="n">
        <f aca="false">B212/B211-1</f>
        <v>0.000814584804630369</v>
      </c>
      <c r="G212" s="1" t="n">
        <f aca="false">C212/C211-1</f>
        <v>5.10555739923202E-005</v>
      </c>
    </row>
    <row r="213" customFormat="false" ht="15" hidden="false" customHeight="false" outlineLevel="0" collapsed="false">
      <c r="A213" s="1" t="s">
        <v>220</v>
      </c>
      <c r="B213" s="5" t="n">
        <v>26.4849</v>
      </c>
      <c r="C213" s="5" t="n">
        <v>11.7537</v>
      </c>
      <c r="D213" s="1" t="n">
        <f aca="false">LN(B213/B212)</f>
        <v>-0.011226201460558</v>
      </c>
      <c r="E213" s="1" t="n">
        <f aca="false">LN(C213/C212)</f>
        <v>0.0001021007224514</v>
      </c>
      <c r="F213" s="1" t="n">
        <f aca="false">B213/B212-1</f>
        <v>-0.0111634228025045</v>
      </c>
      <c r="G213" s="1" t="n">
        <f aca="false">C213/C212-1</f>
        <v>0.000102105934907559</v>
      </c>
    </row>
    <row r="214" customFormat="false" ht="15" hidden="false" customHeight="false" outlineLevel="0" collapsed="false">
      <c r="A214" s="1" t="s">
        <v>221</v>
      </c>
      <c r="B214" s="5" t="n">
        <v>26.3375</v>
      </c>
      <c r="C214" s="5" t="n">
        <v>11.754</v>
      </c>
      <c r="D214" s="1" t="n">
        <f aca="false">LN(B214/B213)</f>
        <v>-0.00558098013694773</v>
      </c>
      <c r="E214" s="1" t="n">
        <f aca="false">LN(C214/C213)</f>
        <v>2.55235518588534E-005</v>
      </c>
      <c r="F214" s="1" t="n">
        <f aca="false">B214/B213-1</f>
        <v>-0.00556543539903875</v>
      </c>
      <c r="G214" s="1" t="n">
        <f aca="false">C214/C213-1</f>
        <v>2.55238775874744E-005</v>
      </c>
    </row>
    <row r="215" customFormat="false" ht="15" hidden="false" customHeight="false" outlineLevel="0" collapsed="false">
      <c r="A215" s="1" t="s">
        <v>222</v>
      </c>
      <c r="B215" s="5" t="n">
        <v>26.1878</v>
      </c>
      <c r="C215" s="5" t="n">
        <v>11.7545</v>
      </c>
      <c r="D215" s="1" t="n">
        <f aca="false">LN(B215/B214)</f>
        <v>-0.00570012566631325</v>
      </c>
      <c r="E215" s="1" t="n">
        <f aca="false">LN(C215/C214)</f>
        <v>4.25378054810269E-005</v>
      </c>
      <c r="F215" s="1" t="n">
        <f aca="false">B215/B214-1</f>
        <v>-0.00568391077361174</v>
      </c>
      <c r="G215" s="1" t="n">
        <f aca="false">C215/C214-1</f>
        <v>4.25387102263031E-005</v>
      </c>
    </row>
    <row r="216" customFormat="false" ht="15" hidden="false" customHeight="false" outlineLevel="0" collapsed="false">
      <c r="A216" s="1" t="s">
        <v>223</v>
      </c>
      <c r="B216" s="5" t="n">
        <v>26.0734</v>
      </c>
      <c r="C216" s="5" t="n">
        <v>11.7551</v>
      </c>
      <c r="D216" s="1" t="n">
        <f aca="false">LN(B216/B215)</f>
        <v>-0.0043780159171838</v>
      </c>
      <c r="E216" s="1" t="n">
        <f aca="false">LN(C216/C215)</f>
        <v>5.10429781986494E-005</v>
      </c>
      <c r="F216" s="1" t="n">
        <f aca="false">B216/B215-1</f>
        <v>-0.00436844637579326</v>
      </c>
      <c r="G216" s="1" t="n">
        <f aca="false">C216/C215-1</f>
        <v>5.10442809136258E-005</v>
      </c>
    </row>
    <row r="217" customFormat="false" ht="15" hidden="false" customHeight="false" outlineLevel="0" collapsed="false">
      <c r="A217" s="1" t="s">
        <v>224</v>
      </c>
      <c r="B217" s="5" t="n">
        <v>26.0232</v>
      </c>
      <c r="C217" s="5" t="n">
        <v>11.7555</v>
      </c>
      <c r="D217" s="1" t="n">
        <f aca="false">LN(B217/B216)</f>
        <v>-0.00192718970286545</v>
      </c>
      <c r="E217" s="1" t="n">
        <f aca="false">LN(C217/C216)</f>
        <v>3.40272047533217E-005</v>
      </c>
      <c r="F217" s="1" t="n">
        <f aca="false">B217/B216-1</f>
        <v>-0.00192533386516525</v>
      </c>
      <c r="G217" s="1" t="n">
        <f aca="false">C217/C216-1</f>
        <v>3.40277836852199E-005</v>
      </c>
    </row>
    <row r="218" customFormat="false" ht="15" hidden="false" customHeight="false" outlineLevel="0" collapsed="false">
      <c r="A218" s="1" t="s">
        <v>225</v>
      </c>
      <c r="B218" s="5" t="n">
        <v>26.161</v>
      </c>
      <c r="C218" s="5" t="n">
        <v>11.7566</v>
      </c>
      <c r="D218" s="1" t="n">
        <f aca="false">LN(B218/B217)</f>
        <v>0.00528130431414114</v>
      </c>
      <c r="E218" s="1" t="n">
        <f aca="false">LN(C218/C217)</f>
        <v>9.35688433448795E-005</v>
      </c>
      <c r="F218" s="1" t="n">
        <f aca="false">B218/B217-1</f>
        <v>0.00529527498539784</v>
      </c>
      <c r="G218" s="1" t="n">
        <f aca="false">C218/C217-1</f>
        <v>9.35732210456397E-005</v>
      </c>
    </row>
    <row r="219" customFormat="false" ht="15" hidden="false" customHeight="false" outlineLevel="0" collapsed="false">
      <c r="A219" s="1" t="s">
        <v>226</v>
      </c>
      <c r="B219" s="5" t="n">
        <v>26.1521</v>
      </c>
      <c r="C219" s="5" t="n">
        <v>11.7567</v>
      </c>
      <c r="D219" s="1" t="n">
        <f aca="false">LN(B219/B218)</f>
        <v>-0.00034025894415999</v>
      </c>
      <c r="E219" s="1" t="n">
        <f aca="false">LN(C219/C218)</f>
        <v>8.50582436328408E-006</v>
      </c>
      <c r="F219" s="1" t="n">
        <f aca="false">B219/B218-1</f>
        <v>-0.000340201062650536</v>
      </c>
      <c r="G219" s="1" t="n">
        <f aca="false">C219/C218-1</f>
        <v>8.50586053791069E-006</v>
      </c>
    </row>
    <row r="220" customFormat="false" ht="15" hidden="false" customHeight="false" outlineLevel="0" collapsed="false">
      <c r="A220" s="1" t="s">
        <v>227</v>
      </c>
      <c r="B220" s="5" t="n">
        <v>25.8604</v>
      </c>
      <c r="C220" s="5" t="n">
        <v>11.7573</v>
      </c>
      <c r="D220" s="1" t="n">
        <f aca="false">LN(B220/B219)</f>
        <v>-0.0112166520857423</v>
      </c>
      <c r="E220" s="1" t="n">
        <f aca="false">LN(C220/C219)</f>
        <v>5.1033426905665E-005</v>
      </c>
      <c r="F220" s="1" t="n">
        <f aca="false">B220/B219-1</f>
        <v>-0.011153979986311</v>
      </c>
      <c r="G220" s="1" t="n">
        <f aca="false">C220/C219-1</f>
        <v>5.10347291331481E-005</v>
      </c>
    </row>
    <row r="221" customFormat="false" ht="15" hidden="false" customHeight="false" outlineLevel="0" collapsed="false">
      <c r="A221" s="1" t="s">
        <v>228</v>
      </c>
      <c r="B221" s="5" t="n">
        <v>26.0327</v>
      </c>
      <c r="C221" s="5" t="n">
        <v>11.7577</v>
      </c>
      <c r="D221" s="1" t="n">
        <f aca="false">LN(B221/B220)</f>
        <v>0.00664059896853034</v>
      </c>
      <c r="E221" s="1" t="n">
        <f aca="false">LN(C221/C220)</f>
        <v>3.40208377663027E-005</v>
      </c>
      <c r="F221" s="1" t="n">
        <f aca="false">B221/B220-1</f>
        <v>0.00666269663268926</v>
      </c>
      <c r="G221" s="1" t="n">
        <f aca="false">C221/C220-1</f>
        <v>3.40214164815666E-005</v>
      </c>
    </row>
    <row r="222" customFormat="false" ht="15" hidden="false" customHeight="false" outlineLevel="0" collapsed="false">
      <c r="A222" s="1" t="s">
        <v>229</v>
      </c>
      <c r="B222" s="5" t="n">
        <v>26.2468</v>
      </c>
      <c r="C222" s="5" t="n">
        <v>11.7581</v>
      </c>
      <c r="D222" s="1" t="n">
        <f aca="false">LN(B222/B221)</f>
        <v>0.00819063674802452</v>
      </c>
      <c r="E222" s="1" t="n">
        <f aca="false">LN(C222/C221)</f>
        <v>3.40196803884045E-005</v>
      </c>
      <c r="F222" s="1" t="n">
        <f aca="false">B222/B221-1</f>
        <v>0.00822427178125973</v>
      </c>
      <c r="G222" s="1" t="n">
        <f aca="false">C222/C221-1</f>
        <v>3.40202590642935E-005</v>
      </c>
    </row>
    <row r="223" customFormat="false" ht="15" hidden="false" customHeight="false" outlineLevel="0" collapsed="false">
      <c r="A223" s="1" t="s">
        <v>230</v>
      </c>
      <c r="B223" s="5" t="n">
        <v>26.2266</v>
      </c>
      <c r="C223" s="5" t="n">
        <v>11.7593</v>
      </c>
      <c r="D223" s="1" t="n">
        <f aca="false">LN(B223/B222)</f>
        <v>-0.000769913937264325</v>
      </c>
      <c r="E223" s="1" t="n">
        <f aca="false">LN(C223/C222)</f>
        <v>0.000102052097684408</v>
      </c>
      <c r="F223" s="1" t="n">
        <f aca="false">B223/B222-1</f>
        <v>-0.000769617629577613</v>
      </c>
      <c r="G223" s="1" t="n">
        <f aca="false">C223/C222-1</f>
        <v>0.000102057305176873</v>
      </c>
    </row>
    <row r="224" customFormat="false" ht="15" hidden="false" customHeight="false" outlineLevel="0" collapsed="false">
      <c r="A224" s="1" t="s">
        <v>231</v>
      </c>
      <c r="B224" s="5" t="n">
        <v>26.0188</v>
      </c>
      <c r="C224" s="5" t="n">
        <v>11.7598</v>
      </c>
      <c r="D224" s="1" t="n">
        <f aca="false">LN(B224/B223)</f>
        <v>-0.00795480925708402</v>
      </c>
      <c r="E224" s="1" t="n">
        <f aca="false">LN(C224/C223)</f>
        <v>4.25186337976821E-005</v>
      </c>
      <c r="F224" s="1" t="n">
        <f aca="false">B224/B223-1</f>
        <v>-0.00792325349073086</v>
      </c>
      <c r="G224" s="1" t="n">
        <f aca="false">C224/C223-1</f>
        <v>4.25195377276033E-005</v>
      </c>
    </row>
    <row r="225" customFormat="false" ht="15" hidden="false" customHeight="false" outlineLevel="0" collapsed="false">
      <c r="A225" s="1" t="s">
        <v>232</v>
      </c>
      <c r="B225" s="5" t="n">
        <v>25.9611</v>
      </c>
      <c r="C225" s="5" t="n">
        <v>11.7605</v>
      </c>
      <c r="D225" s="1" t="n">
        <f aca="false">LN(B225/B224)</f>
        <v>-0.00222008983085023</v>
      </c>
      <c r="E225" s="1" t="n">
        <f aca="false">LN(C225/C224)</f>
        <v>5.95230503187676E-005</v>
      </c>
      <c r="F225" s="1" t="n">
        <f aca="false">B225/B224-1</f>
        <v>-0.00221762725413932</v>
      </c>
      <c r="G225" s="1" t="n">
        <f aca="false">C225/C224-1</f>
        <v>5.95248218506761E-005</v>
      </c>
    </row>
    <row r="226" customFormat="false" ht="15" hidden="false" customHeight="false" outlineLevel="0" collapsed="false">
      <c r="A226" s="1" t="s">
        <v>233</v>
      </c>
      <c r="B226" s="5" t="n">
        <v>25.6291</v>
      </c>
      <c r="C226" s="5" t="n">
        <v>11.7609</v>
      </c>
      <c r="D226" s="1" t="n">
        <f aca="false">LN(B226/B225)</f>
        <v>-0.0128708391596024</v>
      </c>
      <c r="E226" s="1" t="n">
        <f aca="false">LN(C226/C225)</f>
        <v>3.40115809465756E-005</v>
      </c>
      <c r="F226" s="1" t="n">
        <f aca="false">B226/B225-1</f>
        <v>-0.0127883641294089</v>
      </c>
      <c r="G226" s="1" t="n">
        <f aca="false">C226/C225-1</f>
        <v>3.40121593469522E-005</v>
      </c>
    </row>
    <row r="227" customFormat="false" ht="15" hidden="false" customHeight="false" outlineLevel="0" collapsed="false">
      <c r="A227" s="1" t="s">
        <v>234</v>
      </c>
      <c r="B227" s="5" t="n">
        <v>25.5655</v>
      </c>
      <c r="C227" s="5" t="n">
        <v>11.7614</v>
      </c>
      <c r="D227" s="1" t="n">
        <f aca="false">LN(B227/B226)</f>
        <v>-0.00248463832979124</v>
      </c>
      <c r="E227" s="1" t="n">
        <f aca="false">LN(C227/C226)</f>
        <v>4.25128495151985E-005</v>
      </c>
      <c r="F227" s="1" t="n">
        <f aca="false">B227/B226-1</f>
        <v>-0.00248155417084495</v>
      </c>
      <c r="G227" s="1" t="n">
        <f aca="false">C227/C226-1</f>
        <v>4.25137531991915E-005</v>
      </c>
    </row>
    <row r="228" customFormat="false" ht="15" hidden="false" customHeight="false" outlineLevel="0" collapsed="false">
      <c r="A228" s="1" t="s">
        <v>235</v>
      </c>
      <c r="B228" s="5" t="n">
        <v>25.4623</v>
      </c>
      <c r="C228" s="5" t="n">
        <v>11.7627</v>
      </c>
      <c r="D228" s="1" t="n">
        <f aca="false">LN(B228/B227)</f>
        <v>-0.00404485949633742</v>
      </c>
      <c r="E228" s="1" t="n">
        <f aca="false">LN(C228/C227)</f>
        <v>0.000110524951120318</v>
      </c>
      <c r="F228" s="1" t="n">
        <f aca="false">B228/B227-1</f>
        <v>-0.00403669007060303</v>
      </c>
      <c r="G228" s="1" t="n">
        <f aca="false">C228/C227-1</f>
        <v>0.000110531059227759</v>
      </c>
    </row>
    <row r="229" customFormat="false" ht="15" hidden="false" customHeight="false" outlineLevel="0" collapsed="false">
      <c r="A229" s="1" t="s">
        <v>236</v>
      </c>
      <c r="B229" s="5" t="n">
        <v>25.4793</v>
      </c>
      <c r="C229" s="5" t="n">
        <v>11.7631</v>
      </c>
      <c r="D229" s="1" t="n">
        <f aca="false">LN(B229/B228)</f>
        <v>0.000667430965304386</v>
      </c>
      <c r="E229" s="1" t="n">
        <f aca="false">LN(C229/C228)</f>
        <v>3.40052198043605E-005</v>
      </c>
      <c r="F229" s="1" t="n">
        <f aca="false">B229/B228-1</f>
        <v>0.000667653746912134</v>
      </c>
      <c r="G229" s="1" t="n">
        <f aca="false">C229/C228-1</f>
        <v>3.40057979884012E-005</v>
      </c>
    </row>
    <row r="230" customFormat="false" ht="15" hidden="false" customHeight="false" outlineLevel="0" collapsed="false">
      <c r="A230" s="1" t="s">
        <v>237</v>
      </c>
      <c r="B230" s="5" t="n">
        <v>25.1102</v>
      </c>
      <c r="C230" s="5" t="n">
        <v>11.7637</v>
      </c>
      <c r="D230" s="1" t="n">
        <f aca="false">LN(B230/B229)</f>
        <v>-0.0145922197071382</v>
      </c>
      <c r="E230" s="1" t="n">
        <f aca="false">LN(C230/C229)</f>
        <v>5.10056616395415E-005</v>
      </c>
      <c r="F230" s="1" t="n">
        <f aca="false">B230/B229-1</f>
        <v>-0.0144862692460154</v>
      </c>
      <c r="G230" s="1" t="n">
        <f aca="false">C230/C229-1</f>
        <v>5.10069624504173E-005</v>
      </c>
    </row>
    <row r="231" customFormat="false" ht="15" hidden="false" customHeight="false" outlineLevel="0" collapsed="false">
      <c r="A231" s="1" t="s">
        <v>238</v>
      </c>
      <c r="B231" s="5" t="n">
        <v>25.2299</v>
      </c>
      <c r="C231" s="5" t="n">
        <v>11.7642</v>
      </c>
      <c r="D231" s="1" t="n">
        <f aca="false">LN(B231/B230)</f>
        <v>0.00475566101766281</v>
      </c>
      <c r="E231" s="1" t="n">
        <f aca="false">LN(C231/C230)</f>
        <v>4.25027308069155E-005</v>
      </c>
      <c r="F231" s="1" t="n">
        <f aca="false">B231/B230-1</f>
        <v>0.00476698712077162</v>
      </c>
      <c r="G231" s="1" t="n">
        <f aca="false">C231/C230-1</f>
        <v>4.25036340607754E-005</v>
      </c>
    </row>
    <row r="232" customFormat="false" ht="15" hidden="false" customHeight="false" outlineLevel="0" collapsed="false">
      <c r="A232" s="1" t="s">
        <v>239</v>
      </c>
      <c r="B232" s="5" t="n">
        <v>25.0635</v>
      </c>
      <c r="C232" s="5" t="n">
        <v>11.7645</v>
      </c>
      <c r="D232" s="1" t="n">
        <f aca="false">LN(B232/B231)</f>
        <v>-0.00661719458946716</v>
      </c>
      <c r="E232" s="1" t="n">
        <f aca="false">LN(C232/C231)</f>
        <v>2.55007713996522E-005</v>
      </c>
      <c r="F232" s="1" t="n">
        <f aca="false">B232/B231-1</f>
        <v>-0.00659534916904148</v>
      </c>
      <c r="G232" s="1" t="n">
        <f aca="false">C232/C231-1</f>
        <v>2.5501096547087E-005</v>
      </c>
    </row>
    <row r="233" customFormat="false" ht="15" hidden="false" customHeight="false" outlineLevel="0" collapsed="false">
      <c r="A233" s="1" t="s">
        <v>240</v>
      </c>
      <c r="B233" s="5" t="n">
        <v>24.524</v>
      </c>
      <c r="C233" s="5" t="n">
        <v>11.766</v>
      </c>
      <c r="D233" s="1" t="n">
        <f aca="false">LN(B233/B232)</f>
        <v>-0.0217603746197292</v>
      </c>
      <c r="E233" s="1" t="n">
        <f aca="false">LN(C233/C232)</f>
        <v>0.000127494103570359</v>
      </c>
      <c r="F233" s="1" t="n">
        <f aca="false">B233/B232-1</f>
        <v>-0.0215253256727911</v>
      </c>
      <c r="G233" s="1" t="n">
        <f aca="false">C233/C232-1</f>
        <v>0.00012750223128899</v>
      </c>
    </row>
    <row r="234" customFormat="false" ht="15" hidden="false" customHeight="false" outlineLevel="0" collapsed="false">
      <c r="A234" s="1" t="s">
        <v>241</v>
      </c>
      <c r="B234" s="5" t="n">
        <v>24.328</v>
      </c>
      <c r="C234" s="5" t="n">
        <v>11.7665</v>
      </c>
      <c r="D234" s="1" t="n">
        <f aca="false">LN(B234/B233)</f>
        <v>-0.00802427952537799</v>
      </c>
      <c r="E234" s="1" t="n">
        <f aca="false">LN(C234/C233)</f>
        <v>4.2494422613492E-005</v>
      </c>
      <c r="F234" s="1" t="n">
        <f aca="false">B234/B233-1</f>
        <v>-0.0079921709345947</v>
      </c>
      <c r="G234" s="1" t="n">
        <f aca="false">C234/C233-1</f>
        <v>4.24953255142579E-005</v>
      </c>
    </row>
    <row r="235" customFormat="false" ht="15" hidden="false" customHeight="false" outlineLevel="0" collapsed="false">
      <c r="A235" s="1" t="s">
        <v>242</v>
      </c>
      <c r="B235" s="5" t="n">
        <v>23.9756</v>
      </c>
      <c r="C235" s="5" t="n">
        <v>11.7672</v>
      </c>
      <c r="D235" s="1" t="n">
        <f aca="false">LN(B235/B234)</f>
        <v>-0.0145913038498867</v>
      </c>
      <c r="E235" s="1" t="n">
        <f aca="false">LN(C235/C234)</f>
        <v>5.94891581184098E-005</v>
      </c>
      <c r="F235" s="1" t="n">
        <f aca="false">B235/B234-1</f>
        <v>-0.0144853666557053</v>
      </c>
      <c r="G235" s="1" t="n">
        <f aca="false">C235/C234-1</f>
        <v>5.94909276334654E-005</v>
      </c>
    </row>
    <row r="236" customFormat="false" ht="15" hidden="false" customHeight="false" outlineLevel="0" collapsed="false">
      <c r="A236" s="1" t="s">
        <v>243</v>
      </c>
      <c r="B236" s="5" t="n">
        <v>23.7631</v>
      </c>
      <c r="C236" s="5" t="n">
        <v>11.7682</v>
      </c>
      <c r="D236" s="1" t="n">
        <f aca="false">LN(B236/B235)</f>
        <v>-0.0089026891609115</v>
      </c>
      <c r="E236" s="1" t="n">
        <f aca="false">LN(C236/C235)</f>
        <v>8.49783730551215E-005</v>
      </c>
      <c r="F236" s="1" t="n">
        <f aca="false">B236/B235-1</f>
        <v>-0.00886317756385657</v>
      </c>
      <c r="G236" s="1" t="n">
        <f aca="false">C236/C235-1</f>
        <v>8.49819838193433E-005</v>
      </c>
    </row>
    <row r="237" customFormat="false" ht="15" hidden="false" customHeight="false" outlineLevel="0" collapsed="false">
      <c r="A237" s="1" t="s">
        <v>244</v>
      </c>
      <c r="B237" s="5" t="n">
        <v>24.4249</v>
      </c>
      <c r="C237" s="5" t="n">
        <v>11.7688</v>
      </c>
      <c r="D237" s="1" t="n">
        <f aca="false">LN(B237/B236)</f>
        <v>0.0274691463903863</v>
      </c>
      <c r="E237" s="1" t="n">
        <f aca="false">LN(C237/C236)</f>
        <v>5.0983557813767E-005</v>
      </c>
      <c r="F237" s="1" t="n">
        <f aca="false">B237/B236-1</f>
        <v>0.0278499017384095</v>
      </c>
      <c r="G237" s="1" t="n">
        <f aca="false">C237/C236-1</f>
        <v>5.09848574974381E-005</v>
      </c>
    </row>
    <row r="238" customFormat="false" ht="15" hidden="false" customHeight="false" outlineLevel="0" collapsed="false">
      <c r="A238" s="1" t="s">
        <v>245</v>
      </c>
      <c r="B238" s="5" t="n">
        <v>24.3903</v>
      </c>
      <c r="C238" s="5" t="n">
        <v>11.7695</v>
      </c>
      <c r="D238" s="1" t="n">
        <f aca="false">LN(B238/B237)</f>
        <v>-0.00141759147946738</v>
      </c>
      <c r="E238" s="1" t="n">
        <f aca="false">LN(C238/C237)</f>
        <v>5.94775323797052E-005</v>
      </c>
      <c r="F238" s="1" t="n">
        <f aca="false">B238/B237-1</f>
        <v>-0.00141658717128834</v>
      </c>
      <c r="G238" s="1" t="n">
        <f aca="false">C238/C237-1</f>
        <v>5.94793012032024E-005</v>
      </c>
    </row>
    <row r="239" customFormat="false" ht="15" hidden="false" customHeight="false" outlineLevel="0" collapsed="false">
      <c r="A239" s="1" t="s">
        <v>246</v>
      </c>
      <c r="B239" s="5" t="n">
        <v>24.5254</v>
      </c>
      <c r="C239" s="5" t="n">
        <v>11.7699</v>
      </c>
      <c r="D239" s="1" t="n">
        <f aca="false">LN(B239/B238)</f>
        <v>0.0055238029311073</v>
      </c>
      <c r="E239" s="1" t="n">
        <f aca="false">LN(C239/C238)</f>
        <v>3.39855731274063E-005</v>
      </c>
      <c r="F239" s="1" t="n">
        <f aca="false">B239/B238-1</f>
        <v>0.00553908726009933</v>
      </c>
      <c r="G239" s="1" t="n">
        <f aca="false">C239/C238-1</f>
        <v>3.39861506435391E-005</v>
      </c>
    </row>
    <row r="240" customFormat="false" ht="15" hidden="false" customHeight="false" outlineLevel="0" collapsed="false">
      <c r="A240" s="1" t="s">
        <v>247</v>
      </c>
      <c r="B240" s="5" t="n">
        <v>23.926</v>
      </c>
      <c r="C240" s="5" t="n">
        <v>11.7702</v>
      </c>
      <c r="D240" s="1" t="n">
        <f aca="false">LN(B240/B239)</f>
        <v>-0.0247435814575792</v>
      </c>
      <c r="E240" s="1" t="n">
        <f aca="false">LN(C240/C239)</f>
        <v>2.54884218857868E-005</v>
      </c>
      <c r="F240" s="1" t="n">
        <f aca="false">B240/B239-1</f>
        <v>-0.0244399683593337</v>
      </c>
      <c r="G240" s="1" t="n">
        <f aca="false">C240/C239-1</f>
        <v>2.54887467183718E-005</v>
      </c>
    </row>
    <row r="241" customFormat="false" ht="15" hidden="false" customHeight="false" outlineLevel="0" collapsed="false">
      <c r="A241" s="1" t="s">
        <v>248</v>
      </c>
      <c r="B241" s="5" t="n">
        <v>23.5035</v>
      </c>
      <c r="C241" s="5" t="n">
        <v>11.7713</v>
      </c>
      <c r="D241" s="1" t="n">
        <f aca="false">LN(B241/B240)</f>
        <v>-0.0178163875182766</v>
      </c>
      <c r="E241" s="1" t="n">
        <f aca="false">LN(C241/C240)</f>
        <v>9.34519891084883E-005</v>
      </c>
      <c r="F241" s="1" t="n">
        <f aca="false">B241/B240-1</f>
        <v>-0.0176586140600183</v>
      </c>
      <c r="G241" s="1" t="n">
        <f aca="false">C241/C240-1</f>
        <v>9.34563558816492E-005</v>
      </c>
    </row>
    <row r="242" customFormat="false" ht="15" hidden="false" customHeight="false" outlineLevel="0" collapsed="false">
      <c r="A242" s="1" t="s">
        <v>249</v>
      </c>
      <c r="B242" s="5" t="n">
        <v>23.5197</v>
      </c>
      <c r="C242" s="5" t="n">
        <v>11.7717</v>
      </c>
      <c r="D242" s="1" t="n">
        <f aca="false">LN(B242/B241)</f>
        <v>0.000689021616602668</v>
      </c>
      <c r="E242" s="1" t="n">
        <f aca="false">LN(C242/C241)</f>
        <v>3.39803763358226E-005</v>
      </c>
      <c r="F242" s="1" t="n">
        <f aca="false">B242/B241-1</f>
        <v>0.000689259046525059</v>
      </c>
      <c r="G242" s="1" t="n">
        <f aca="false">C242/C241-1</f>
        <v>3.39809536753499E-005</v>
      </c>
    </row>
    <row r="243" customFormat="false" ht="15" hidden="false" customHeight="false" outlineLevel="0" collapsed="false">
      <c r="A243" s="1" t="s">
        <v>250</v>
      </c>
      <c r="B243" s="5" t="n">
        <v>23.7664</v>
      </c>
      <c r="C243" s="5" t="n">
        <v>11.7723</v>
      </c>
      <c r="D243" s="1" t="n">
        <f aca="false">LN(B243/B242)</f>
        <v>0.0104344506458019</v>
      </c>
      <c r="E243" s="1" t="n">
        <f aca="false">LN(C243/C242)</f>
        <v>5.09683996033115E-005</v>
      </c>
      <c r="F243" s="1" t="n">
        <f aca="false">B243/B242-1</f>
        <v>0.010489079367509</v>
      </c>
      <c r="G243" s="1" t="n">
        <f aca="false">C243/C242-1</f>
        <v>5.09696985142583E-005</v>
      </c>
    </row>
    <row r="244" customFormat="false" ht="15" hidden="false" customHeight="false" outlineLevel="0" collapsed="false">
      <c r="A244" s="1" t="s">
        <v>251</v>
      </c>
      <c r="B244" s="5" t="n">
        <v>23.9302</v>
      </c>
      <c r="C244" s="5" t="n">
        <v>11.7727</v>
      </c>
      <c r="D244" s="1" t="n">
        <f aca="false">LN(B244/B243)</f>
        <v>0.0068684411025037</v>
      </c>
      <c r="E244" s="1" t="n">
        <f aca="false">LN(C244/C243)</f>
        <v>3.39774899162102E-005</v>
      </c>
      <c r="F244" s="1" t="n">
        <f aca="false">B244/B243-1</f>
        <v>0.00689208294062205</v>
      </c>
      <c r="G244" s="1" t="n">
        <f aca="false">C244/C243-1</f>
        <v>3.39780671576584E-005</v>
      </c>
    </row>
    <row r="245" customFormat="false" ht="15" hidden="false" customHeight="false" outlineLevel="0" collapsed="false">
      <c r="A245" s="1" t="s">
        <v>252</v>
      </c>
      <c r="B245" s="5" t="n">
        <v>23.8909</v>
      </c>
      <c r="C245" s="5" t="n">
        <v>11.7731</v>
      </c>
      <c r="D245" s="1" t="n">
        <f aca="false">LN(B245/B244)</f>
        <v>-0.00164362630083525</v>
      </c>
      <c r="E245" s="1" t="n">
        <f aca="false">LN(C245/C244)</f>
        <v>3.39763354855818E-005</v>
      </c>
      <c r="F245" s="1" t="n">
        <f aca="false">B245/B244-1</f>
        <v>-0.00164227628686764</v>
      </c>
      <c r="G245" s="1" t="n">
        <f aca="false">C245/C244-1</f>
        <v>3.39769126878053E-005</v>
      </c>
    </row>
    <row r="246" customFormat="false" ht="15" hidden="false" customHeight="false" outlineLevel="0" collapsed="false">
      <c r="A246" s="1" t="s">
        <v>253</v>
      </c>
      <c r="B246" s="5" t="n">
        <v>23.8986</v>
      </c>
      <c r="C246" s="5" t="n">
        <v>11.7743</v>
      </c>
      <c r="D246" s="1" t="n">
        <f aca="false">LN(B246/B245)</f>
        <v>0.000322246521375184</v>
      </c>
      <c r="E246" s="1" t="n">
        <f aca="false">LN(C246/C245)</f>
        <v>0.000101922080657716</v>
      </c>
      <c r="F246" s="1" t="n">
        <f aca="false">B246/B245-1</f>
        <v>0.000322298448363068</v>
      </c>
      <c r="G246" s="1" t="n">
        <f aca="false">C246/C245-1</f>
        <v>0.000101927274889446</v>
      </c>
    </row>
    <row r="247" customFormat="false" ht="15" hidden="false" customHeight="false" outlineLevel="0" collapsed="false">
      <c r="A247" s="1" t="s">
        <v>254</v>
      </c>
      <c r="B247" s="5" t="n">
        <v>23.793</v>
      </c>
      <c r="C247" s="5" t="n">
        <v>11.7747</v>
      </c>
      <c r="D247" s="1" t="n">
        <f aca="false">LN(B247/B246)</f>
        <v>-0.0044284600465917</v>
      </c>
      <c r="E247" s="1" t="n">
        <f aca="false">LN(C247/C246)</f>
        <v>3.39717185475118E-005</v>
      </c>
      <c r="F247" s="1" t="n">
        <f aca="false">B247/B246-1</f>
        <v>-0.00441866887600106</v>
      </c>
      <c r="G247" s="1" t="n">
        <f aca="false">C247/C246-1</f>
        <v>3.39722955928767E-005</v>
      </c>
    </row>
    <row r="248" customFormat="false" ht="15" hidden="false" customHeight="false" outlineLevel="0" collapsed="false">
      <c r="A248" s="1" t="s">
        <v>255</v>
      </c>
      <c r="B248" s="5" t="n">
        <v>23.8393</v>
      </c>
      <c r="C248" s="5" t="n">
        <v>11.7751</v>
      </c>
      <c r="D248" s="1" t="n">
        <f aca="false">LN(B248/B247)</f>
        <v>0.00194405958066535</v>
      </c>
      <c r="E248" s="1" t="n">
        <f aca="false">LN(C248/C247)</f>
        <v>3.39705645092162E-005</v>
      </c>
      <c r="F248" s="1" t="n">
        <f aca="false">B248/B247-1</f>
        <v>0.00194595048963997</v>
      </c>
      <c r="G248" s="1" t="n">
        <f aca="false">C248/C247-1</f>
        <v>3.39711415153765E-005</v>
      </c>
    </row>
    <row r="249" customFormat="false" ht="15" hidden="false" customHeight="false" outlineLevel="0" collapsed="false">
      <c r="A249" s="1" t="s">
        <v>256</v>
      </c>
      <c r="B249" s="5" t="n">
        <v>23.2985</v>
      </c>
      <c r="C249" s="5" t="n">
        <v>11.7768</v>
      </c>
      <c r="D249" s="1" t="n">
        <f aca="false">LN(B249/B248)</f>
        <v>-0.0229464985330379</v>
      </c>
      <c r="E249" s="1" t="n">
        <f aca="false">LN(C249/C248)</f>
        <v>0.000144362026244231</v>
      </c>
      <c r="F249" s="1" t="n">
        <f aca="false">B249/B248-1</f>
        <v>-0.0226852298515476</v>
      </c>
      <c r="G249" s="1" t="n">
        <f aca="false">C249/C248-1</f>
        <v>0.000144372446942986</v>
      </c>
    </row>
    <row r="250" customFormat="false" ht="15" hidden="false" customHeight="false" outlineLevel="0" collapsed="false">
      <c r="A250" s="1" t="s">
        <v>257</v>
      </c>
      <c r="B250" s="5" t="n">
        <v>23.0347</v>
      </c>
      <c r="C250" s="5" t="n">
        <v>11.777</v>
      </c>
      <c r="D250" s="1" t="n">
        <f aca="false">LN(B250/B249)</f>
        <v>-0.0113872061734962</v>
      </c>
      <c r="E250" s="1" t="n">
        <f aca="false">LN(C250/C249)</f>
        <v>1.69823977451976E-005</v>
      </c>
      <c r="F250" s="1" t="n">
        <f aca="false">B250/B249-1</f>
        <v>-0.01132261733588</v>
      </c>
      <c r="G250" s="1" t="n">
        <f aca="false">C250/C249-1</f>
        <v>1.69825419469305E-005</v>
      </c>
    </row>
    <row r="251" customFormat="false" ht="15" hidden="false" customHeight="false" outlineLevel="0" collapsed="false">
      <c r="A251" s="1" t="s">
        <v>258</v>
      </c>
      <c r="B251" s="5" t="n">
        <v>23.1634</v>
      </c>
      <c r="C251" s="5" t="n">
        <v>11.7772</v>
      </c>
      <c r="D251" s="1" t="n">
        <f aca="false">LN(B251/B250)</f>
        <v>0.00557167212251973</v>
      </c>
      <c r="E251" s="1" t="n">
        <f aca="false">LN(C251/C250)</f>
        <v>1.69821093483484E-005</v>
      </c>
      <c r="F251" s="1" t="n">
        <f aca="false">B251/B250-1</f>
        <v>0.00558722275523449</v>
      </c>
      <c r="G251" s="1" t="n">
        <f aca="false">C251/C250-1</f>
        <v>1.69822535451836E-005</v>
      </c>
    </row>
    <row r="252" customFormat="false" ht="15" hidden="false" customHeight="false" outlineLevel="0" collapsed="false">
      <c r="A252" s="1" t="s">
        <v>259</v>
      </c>
      <c r="B252" s="5" t="n">
        <v>22.3373</v>
      </c>
      <c r="C252" s="5" t="n">
        <v>11.7775</v>
      </c>
      <c r="D252" s="1" t="n">
        <f aca="false">LN(B252/B251)</f>
        <v>-0.0363155198739215</v>
      </c>
      <c r="E252" s="1" t="n">
        <f aca="false">LN(C252/C251)</f>
        <v>2.54726232993423E-005</v>
      </c>
      <c r="F252" s="1" t="n">
        <f aca="false">B252/B251-1</f>
        <v>-0.0356640216893893</v>
      </c>
      <c r="G252" s="1" t="n">
        <f aca="false">C252/C251-1</f>
        <v>2.54729477293658E-005</v>
      </c>
    </row>
    <row r="253" customFormat="false" ht="15" hidden="false" customHeight="false" outlineLevel="0" collapsed="false">
      <c r="A253" s="1" t="s">
        <v>260</v>
      </c>
      <c r="B253" s="5" t="n">
        <v>22.8075</v>
      </c>
      <c r="C253" s="5" t="n">
        <v>11.7778</v>
      </c>
      <c r="D253" s="1" t="n">
        <f aca="false">LN(B253/B252)</f>
        <v>0.0208315023454708</v>
      </c>
      <c r="E253" s="1" t="n">
        <f aca="false">LN(C253/C252)</f>
        <v>2.54719744613442E-005</v>
      </c>
      <c r="F253" s="1" t="n">
        <f aca="false">B253/B252-1</f>
        <v>0.0210499926132524</v>
      </c>
      <c r="G253" s="1" t="n">
        <f aca="false">C253/C252-1</f>
        <v>2.54722988748402E-005</v>
      </c>
    </row>
    <row r="254" customFormat="false" ht="15" hidden="false" customHeight="false" outlineLevel="0" collapsed="false">
      <c r="A254" s="1" t="s">
        <v>261</v>
      </c>
      <c r="B254" s="5" t="n">
        <v>22.5725</v>
      </c>
      <c r="C254" s="5" t="n">
        <v>11.779</v>
      </c>
      <c r="D254" s="1" t="n">
        <f aca="false">LN(B254/B253)</f>
        <v>-0.0103570780379952</v>
      </c>
      <c r="E254" s="1" t="n">
        <f aca="false">LN(C254/C253)</f>
        <v>0.00010188141012692</v>
      </c>
      <c r="F254" s="1" t="n">
        <f aca="false">B254/B253-1</f>
        <v>-0.0103036281924805</v>
      </c>
      <c r="G254" s="1" t="n">
        <f aca="false">C254/C253-1</f>
        <v>0.000101886600214041</v>
      </c>
    </row>
    <row r="255" customFormat="false" ht="15" hidden="false" customHeight="false" outlineLevel="0" collapsed="false">
      <c r="A255" s="1" t="s">
        <v>262</v>
      </c>
      <c r="B255" s="5" t="n">
        <v>23.0469</v>
      </c>
      <c r="C255" s="5" t="n">
        <v>11.7793</v>
      </c>
      <c r="D255" s="1" t="n">
        <f aca="false">LN(B255/B254)</f>
        <v>0.0207989189599255</v>
      </c>
      <c r="E255" s="1" t="n">
        <f aca="false">LN(C255/C254)</f>
        <v>2.54687307671606E-005</v>
      </c>
      <c r="F255" s="1" t="n">
        <f aca="false">B255/B254-1</f>
        <v>0.0210167238896888</v>
      </c>
      <c r="G255" s="1" t="n">
        <f aca="false">C255/C254-1</f>
        <v>2.54690550980374E-005</v>
      </c>
    </row>
    <row r="256" customFormat="false" ht="15" hidden="false" customHeight="false" outlineLevel="0" collapsed="false">
      <c r="A256" s="1" t="s">
        <v>263</v>
      </c>
      <c r="B256" s="5" t="n">
        <v>23.5635</v>
      </c>
      <c r="C256" s="5" t="n">
        <v>11.7796</v>
      </c>
      <c r="D256" s="1" t="n">
        <f aca="false">LN(B256/B255)</f>
        <v>0.0221676344665444</v>
      </c>
      <c r="E256" s="1" t="n">
        <f aca="false">LN(C256/C255)</f>
        <v>2.54680821274408E-005</v>
      </c>
      <c r="F256" s="1" t="n">
        <f aca="false">B256/B255-1</f>
        <v>0.0224151621259259</v>
      </c>
      <c r="G256" s="1" t="n">
        <f aca="false">C256/C255-1</f>
        <v>2.54684064417976E-005</v>
      </c>
    </row>
    <row r="257" customFormat="false" ht="15" hidden="false" customHeight="false" outlineLevel="0" collapsed="false">
      <c r="A257" s="1" t="s">
        <v>264</v>
      </c>
      <c r="B257" s="5" t="n">
        <v>23.1572</v>
      </c>
      <c r="C257" s="5" t="n">
        <v>11.7801</v>
      </c>
      <c r="D257" s="1" t="n">
        <f aca="false">LN(B257/B256)</f>
        <v>-0.0173931573301097</v>
      </c>
      <c r="E257" s="1" t="n">
        <f aca="false">LN(C257/C256)</f>
        <v>4.24453622137168E-005</v>
      </c>
      <c r="F257" s="1" t="n">
        <f aca="false">B257/B256-1</f>
        <v>-0.0172427695376324</v>
      </c>
      <c r="G257" s="1" t="n">
        <f aca="false">C257/C256-1</f>
        <v>4.24462630308486E-005</v>
      </c>
    </row>
    <row r="258" customFormat="false" ht="15" hidden="false" customHeight="false" outlineLevel="0" collapsed="false">
      <c r="A258" s="1" t="s">
        <v>265</v>
      </c>
      <c r="B258" s="5" t="n">
        <v>22.6774</v>
      </c>
      <c r="C258" s="5" t="n">
        <v>11.7804</v>
      </c>
      <c r="D258" s="1" t="n">
        <f aca="false">LN(B258/B257)</f>
        <v>-0.020936913455767</v>
      </c>
      <c r="E258" s="1" t="n">
        <f aca="false">LN(C258/C257)</f>
        <v>2.54663525830156E-005</v>
      </c>
      <c r="F258" s="1" t="n">
        <f aca="false">B258/B257-1</f>
        <v>-0.0207192579413746</v>
      </c>
      <c r="G258" s="1" t="n">
        <f aca="false">C258/C257-1</f>
        <v>2.54666768533252E-005</v>
      </c>
    </row>
    <row r="259" customFormat="false" ht="15" hidden="false" customHeight="false" outlineLevel="0" collapsed="false">
      <c r="A259" s="1" t="s">
        <v>266</v>
      </c>
      <c r="B259" s="5" t="n">
        <v>22.6263</v>
      </c>
      <c r="C259" s="5" t="n">
        <v>11.7814</v>
      </c>
      <c r="D259" s="1" t="n">
        <f aca="false">LN(B259/B258)</f>
        <v>-0.00225588734124468</v>
      </c>
      <c r="E259" s="1" t="n">
        <f aca="false">LN(C259/C258)</f>
        <v>8.48831583835528E-005</v>
      </c>
      <c r="F259" s="1" t="n">
        <f aca="false">B259/B258-1</f>
        <v>-0.00225334473969674</v>
      </c>
      <c r="G259" s="1" t="n">
        <f aca="false">C259/C258-1</f>
        <v>8.48867610607762E-005</v>
      </c>
    </row>
    <row r="260" customFormat="false" ht="15" hidden="false" customHeight="false" outlineLevel="0" collapsed="false">
      <c r="A260" s="1" t="s">
        <v>267</v>
      </c>
      <c r="B260" s="5" t="n">
        <v>23.1713</v>
      </c>
      <c r="C260" s="5" t="n">
        <v>11.7817</v>
      </c>
      <c r="D260" s="1" t="n">
        <f aca="false">LN(B260/B259)</f>
        <v>0.0238014974064573</v>
      </c>
      <c r="E260" s="1" t="n">
        <f aca="false">LN(C260/C259)</f>
        <v>2.54635425744046E-005</v>
      </c>
      <c r="F260" s="1" t="n">
        <f aca="false">B260/B259-1</f>
        <v>0.0240870137848432</v>
      </c>
      <c r="G260" s="1" t="n">
        <f aca="false">C260/C259-1</f>
        <v>2.54638667731566E-005</v>
      </c>
    </row>
    <row r="261" customFormat="false" ht="15" hidden="false" customHeight="false" outlineLevel="0" collapsed="false">
      <c r="A261" s="1" t="s">
        <v>268</v>
      </c>
      <c r="B261" s="5" t="n">
        <v>22.7328</v>
      </c>
      <c r="C261" s="5" t="n">
        <v>11.7822</v>
      </c>
      <c r="D261" s="1" t="n">
        <f aca="false">LN(B261/B260)</f>
        <v>-0.0191056284097531</v>
      </c>
      <c r="E261" s="1" t="n">
        <f aca="false">LN(C261/C260)</f>
        <v>4.24377968056572E-005</v>
      </c>
      <c r="F261" s="1" t="n">
        <f aca="false">B261/B260-1</f>
        <v>-0.0189242726994169</v>
      </c>
      <c r="G261" s="1" t="n">
        <f aca="false">C261/C260-1</f>
        <v>4.24386973016944E-005</v>
      </c>
    </row>
    <row r="262" customFormat="false" ht="15" hidden="false" customHeight="false" outlineLevel="0" collapsed="false">
      <c r="A262" s="1" t="s">
        <v>269</v>
      </c>
      <c r="B262" s="5" t="n">
        <v>22.7327</v>
      </c>
      <c r="C262" s="5" t="n">
        <v>11.7826</v>
      </c>
      <c r="D262" s="1" t="n">
        <f aca="false">LN(B262/B261)</f>
        <v>-4.39893985543791E-006</v>
      </c>
      <c r="E262" s="1" t="n">
        <f aca="false">LN(C262/C261)</f>
        <v>3.39489407964428E-005</v>
      </c>
      <c r="F262" s="1" t="n">
        <f aca="false">B262/B261-1</f>
        <v>-4.39893018011617E-006</v>
      </c>
      <c r="G262" s="1" t="n">
        <f aca="false">C262/C261-1</f>
        <v>3.39495170682547E-005</v>
      </c>
    </row>
    <row r="263" customFormat="false" ht="15" hidden="false" customHeight="false" outlineLevel="0" collapsed="false">
      <c r="A263" s="1" t="s">
        <v>270</v>
      </c>
      <c r="B263" s="5" t="n">
        <v>23.2732</v>
      </c>
      <c r="C263" s="5" t="n">
        <v>11.783</v>
      </c>
      <c r="D263" s="1" t="n">
        <f aca="false">LN(B263/B262)</f>
        <v>0.0234980674192014</v>
      </c>
      <c r="E263" s="1" t="n">
        <f aca="false">LN(C263/C262)</f>
        <v>3.39477883048312E-005</v>
      </c>
      <c r="F263" s="1" t="n">
        <f aca="false">B263/B262-1</f>
        <v>0.0237763222142551</v>
      </c>
      <c r="G263" s="1" t="n">
        <f aca="false">C263/C262-1</f>
        <v>3.39483645375172E-005</v>
      </c>
    </row>
    <row r="264" customFormat="false" ht="15" hidden="false" customHeight="false" outlineLevel="0" collapsed="false">
      <c r="A264" s="1" t="s">
        <v>271</v>
      </c>
      <c r="B264" s="5" t="n">
        <v>23.2926</v>
      </c>
      <c r="C264" s="5" t="n">
        <v>11.7841</v>
      </c>
      <c r="D264" s="1" t="n">
        <f aca="false">LN(B264/B263)</f>
        <v>0.000833229585765044</v>
      </c>
      <c r="E264" s="1" t="n">
        <f aca="false">LN(C264/C263)</f>
        <v>9.33504759432079E-005</v>
      </c>
      <c r="F264" s="1" t="n">
        <f aca="false">B264/B263-1</f>
        <v>0.000833576817971027</v>
      </c>
      <c r="G264" s="1" t="n">
        <f aca="false">C264/C263-1</f>
        <v>9.33548332344714E-005</v>
      </c>
    </row>
    <row r="265" customFormat="false" ht="15" hidden="false" customHeight="false" outlineLevel="0" collapsed="false">
      <c r="A265" s="1" t="s">
        <v>272</v>
      </c>
      <c r="B265" s="5" t="n">
        <v>23.3</v>
      </c>
      <c r="C265" s="5" t="n">
        <v>11.7845</v>
      </c>
      <c r="D265" s="1" t="n">
        <f aca="false">LN(B265/B264)</f>
        <v>0.000317647010994105</v>
      </c>
      <c r="E265" s="1" t="n">
        <f aca="false">LN(C265/C264)</f>
        <v>3.39434671586386E-005</v>
      </c>
      <c r="F265" s="1" t="n">
        <f aca="false">B265/B264-1</f>
        <v>0.00031769746614807</v>
      </c>
      <c r="G265" s="1" t="n">
        <f aca="false">C265/C264-1</f>
        <v>3.39440432446381E-005</v>
      </c>
    </row>
    <row r="266" customFormat="false" ht="15" hidden="false" customHeight="false" outlineLevel="0" collapsed="false">
      <c r="A266" s="1" t="s">
        <v>273</v>
      </c>
      <c r="B266" s="5" t="n">
        <v>23.538</v>
      </c>
      <c r="C266" s="5" t="n">
        <v>11.785</v>
      </c>
      <c r="D266" s="1" t="n">
        <f aca="false">LN(B266/B265)</f>
        <v>0.0101627758838157</v>
      </c>
      <c r="E266" s="1" t="n">
        <f aca="false">LN(C266/C265)</f>
        <v>4.24277137889926E-005</v>
      </c>
      <c r="F266" s="1" t="n">
        <f aca="false">B266/B265-1</f>
        <v>0.0102145922746781</v>
      </c>
      <c r="G266" s="1" t="n">
        <f aca="false">C266/C265-1</f>
        <v>4.24286138571706E-005</v>
      </c>
    </row>
    <row r="267" customFormat="false" ht="15" hidden="false" customHeight="false" outlineLevel="0" collapsed="false">
      <c r="A267" s="1" t="s">
        <v>274</v>
      </c>
      <c r="B267" s="5" t="n">
        <v>23.8508</v>
      </c>
      <c r="C267" s="5" t="n">
        <v>11.7852</v>
      </c>
      <c r="D267" s="1" t="n">
        <f aca="false">LN(B267/B266)</f>
        <v>0.0132016232932659</v>
      </c>
      <c r="E267" s="1" t="n">
        <f aca="false">LN(C267/C266)</f>
        <v>1.69705814973114E-005</v>
      </c>
      <c r="F267" s="1" t="n">
        <f aca="false">B267/B266-1</f>
        <v>0.013289149460447</v>
      </c>
      <c r="G267" s="1" t="n">
        <f aca="false">C267/C266-1</f>
        <v>1.69707254984441E-005</v>
      </c>
    </row>
    <row r="268" customFormat="false" ht="15" hidden="false" customHeight="false" outlineLevel="0" collapsed="false">
      <c r="A268" s="1" t="s">
        <v>275</v>
      </c>
      <c r="B268" s="5" t="n">
        <v>24.2279</v>
      </c>
      <c r="C268" s="5" t="n">
        <v>11.7857</v>
      </c>
      <c r="D268" s="1" t="n">
        <f aca="false">LN(B268/B267)</f>
        <v>0.0156871019056103</v>
      </c>
      <c r="E268" s="1" t="n">
        <f aca="false">LN(C268/C267)</f>
        <v>4.24251937835688E-005</v>
      </c>
      <c r="F268" s="1" t="n">
        <f aca="false">B268/B267-1</f>
        <v>0.0158107904137388</v>
      </c>
      <c r="G268" s="1" t="n">
        <f aca="false">C268/C267-1</f>
        <v>4.24260937448295E-005</v>
      </c>
    </row>
    <row r="269" customFormat="false" ht="15" hidden="false" customHeight="false" outlineLevel="0" collapsed="false">
      <c r="A269" s="1" t="s">
        <v>276</v>
      </c>
      <c r="B269" s="5" t="n">
        <v>24.0962</v>
      </c>
      <c r="C269" s="5" t="n">
        <v>11.7867</v>
      </c>
      <c r="D269" s="1" t="n">
        <f aca="false">LN(B269/B268)</f>
        <v>-0.00545070993850741</v>
      </c>
      <c r="E269" s="1" t="n">
        <f aca="false">LN(C269/C268)</f>
        <v>8.4844988257383E-005</v>
      </c>
      <c r="F269" s="1" t="n">
        <f aca="false">B269/B268-1</f>
        <v>-0.00543588177266718</v>
      </c>
      <c r="G269" s="1" t="n">
        <f aca="false">C269/C268-1</f>
        <v>8.48485876951965E-005</v>
      </c>
    </row>
    <row r="270" customFormat="false" ht="15" hidden="false" customHeight="false" outlineLevel="0" collapsed="false">
      <c r="A270" s="1" t="s">
        <v>277</v>
      </c>
      <c r="B270" s="5" t="n">
        <v>23.7784</v>
      </c>
      <c r="C270" s="5" t="n">
        <v>11.7871</v>
      </c>
      <c r="D270" s="1" t="n">
        <f aca="false">LN(B270/B269)</f>
        <v>-0.0132765461482901</v>
      </c>
      <c r="E270" s="1" t="n">
        <f aca="false">LN(C270/C269)</f>
        <v>3.3935979777584E-005</v>
      </c>
      <c r="F270" s="1" t="n">
        <f aca="false">B270/B269-1</f>
        <v>-0.0131888015537719</v>
      </c>
      <c r="G270" s="1" t="n">
        <f aca="false">C270/C269-1</f>
        <v>3.39365556094595E-005</v>
      </c>
    </row>
    <row r="271" customFormat="false" ht="15" hidden="false" customHeight="false" outlineLevel="0" collapsed="false">
      <c r="A271" s="1" t="s">
        <v>278</v>
      </c>
      <c r="B271" s="5" t="n">
        <v>23.9471</v>
      </c>
      <c r="C271" s="5" t="n">
        <v>11.7874</v>
      </c>
      <c r="D271" s="1" t="n">
        <f aca="false">LN(B271/B270)</f>
        <v>0.00706962536293293</v>
      </c>
      <c r="E271" s="1" t="n">
        <f aca="false">LN(C271/C270)</f>
        <v>2.54512290836794E-005</v>
      </c>
      <c r="F271" s="1" t="n">
        <f aca="false">B271/B270-1</f>
        <v>0.00709467415805931</v>
      </c>
      <c r="G271" s="1" t="n">
        <f aca="false">C271/C270-1</f>
        <v>2.54515529689581E-005</v>
      </c>
    </row>
    <row r="272" customFormat="false" ht="15" hidden="false" customHeight="false" outlineLevel="0" collapsed="false">
      <c r="A272" s="1" t="s">
        <v>279</v>
      </c>
      <c r="B272" s="5" t="n">
        <v>24.0853</v>
      </c>
      <c r="C272" s="5" t="n">
        <v>11.7878</v>
      </c>
      <c r="D272" s="1" t="n">
        <f aca="false">LN(B272/B271)</f>
        <v>0.00575446495953398</v>
      </c>
      <c r="E272" s="1" t="n">
        <f aca="false">LN(C272/C271)</f>
        <v>3.39339645082987E-005</v>
      </c>
      <c r="F272" s="1" t="n">
        <f aca="false">B272/B271-1</f>
        <v>0.00577105369752506</v>
      </c>
      <c r="G272" s="1" t="n">
        <f aca="false">C272/C271-1</f>
        <v>3.3934540271785E-005</v>
      </c>
    </row>
    <row r="273" customFormat="false" ht="15" hidden="false" customHeight="false" outlineLevel="0" collapsed="false">
      <c r="A273" s="1" t="s">
        <v>280</v>
      </c>
      <c r="B273" s="5" t="n">
        <v>24.2893</v>
      </c>
      <c r="C273" s="5" t="n">
        <v>11.788</v>
      </c>
      <c r="D273" s="1" t="n">
        <f aca="false">LN(B273/B272)</f>
        <v>0.00843422826500173</v>
      </c>
      <c r="E273" s="1" t="n">
        <f aca="false">LN(C273/C272)</f>
        <v>1.69665504460528E-005</v>
      </c>
      <c r="F273" s="1" t="n">
        <f aca="false">B273/B272-1</f>
        <v>0.00846989657591979</v>
      </c>
      <c r="G273" s="1" t="n">
        <f aca="false">C273/C272-1</f>
        <v>1.69666943787838E-005</v>
      </c>
    </row>
    <row r="274" customFormat="false" ht="15" hidden="false" customHeight="false" outlineLevel="0" collapsed="false">
      <c r="A274" s="1" t="s">
        <v>281</v>
      </c>
      <c r="B274" s="5" t="n">
        <v>24.2046</v>
      </c>
      <c r="C274" s="5" t="n">
        <v>11.7891</v>
      </c>
      <c r="D274" s="1" t="n">
        <f aca="false">LN(B274/B273)</f>
        <v>-0.00349322641116592</v>
      </c>
      <c r="E274" s="1" t="n">
        <f aca="false">LN(C274/C273)</f>
        <v>9.3310882237108E-005</v>
      </c>
      <c r="F274" s="1" t="n">
        <f aca="false">B274/B273-1</f>
        <v>-0.00348713219401142</v>
      </c>
      <c r="G274" s="1" t="n">
        <f aca="false">C274/C273-1</f>
        <v>9.33152358328915E-005</v>
      </c>
    </row>
    <row r="275" customFormat="false" ht="15" hidden="false" customHeight="false" outlineLevel="0" collapsed="false">
      <c r="A275" s="1" t="s">
        <v>282</v>
      </c>
      <c r="B275" s="5" t="n">
        <v>24.1134</v>
      </c>
      <c r="C275" s="5" t="n">
        <v>11.7895</v>
      </c>
      <c r="D275" s="1" t="n">
        <f aca="false">LN(B275/B274)</f>
        <v>-0.00377499516968617</v>
      </c>
      <c r="E275" s="1" t="n">
        <f aca="false">LN(C275/C274)</f>
        <v>3.39290712797578E-005</v>
      </c>
      <c r="F275" s="1" t="n">
        <f aca="false">B275/B274-1</f>
        <v>-0.00376787883294916</v>
      </c>
      <c r="G275" s="1" t="n">
        <f aca="false">C275/C274-1</f>
        <v>3.39296468772066E-005</v>
      </c>
    </row>
    <row r="276" customFormat="false" ht="15" hidden="false" customHeight="false" outlineLevel="0" collapsed="false">
      <c r="A276" s="1" t="s">
        <v>283</v>
      </c>
      <c r="B276" s="5" t="n">
        <v>24.1282</v>
      </c>
      <c r="C276" s="5" t="n">
        <v>11.7898</v>
      </c>
      <c r="D276" s="1" t="n">
        <f aca="false">LN(B276/B275)</f>
        <v>0.000613578341693732</v>
      </c>
      <c r="E276" s="1" t="n">
        <f aca="false">LN(C276/C275)</f>
        <v>2.54460480180611E-005</v>
      </c>
      <c r="F276" s="1" t="n">
        <f aca="false">B276/B275-1</f>
        <v>0.000613766619390166</v>
      </c>
      <c r="G276" s="1" t="n">
        <f aca="false">C276/C275-1</f>
        <v>2.5446371771487E-005</v>
      </c>
    </row>
    <row r="277" customFormat="false" ht="15" hidden="false" customHeight="false" outlineLevel="0" collapsed="false">
      <c r="A277" s="1" t="s">
        <v>284</v>
      </c>
      <c r="B277" s="5" t="n">
        <v>23.6202</v>
      </c>
      <c r="C277" s="5" t="n">
        <v>11.7904</v>
      </c>
      <c r="D277" s="1" t="n">
        <f aca="false">LN(B277/B276)</f>
        <v>-0.0212790027819833</v>
      </c>
      <c r="E277" s="1" t="n">
        <f aca="false">LN(C277/C276)</f>
        <v>5.08901536143687E-005</v>
      </c>
      <c r="F277" s="1" t="n">
        <f aca="false">B277/B276-1</f>
        <v>-0.0210542021369186</v>
      </c>
      <c r="G277" s="1" t="n">
        <f aca="false">C277/C276-1</f>
        <v>5.08914485402023E-005</v>
      </c>
    </row>
    <row r="278" customFormat="false" ht="15" hidden="false" customHeight="false" outlineLevel="0" collapsed="false">
      <c r="A278" s="1" t="s">
        <v>285</v>
      </c>
      <c r="B278" s="5" t="n">
        <v>23.6177</v>
      </c>
      <c r="C278" s="5" t="n">
        <v>11.7907</v>
      </c>
      <c r="D278" s="1" t="n">
        <f aca="false">LN(B278/B277)</f>
        <v>-0.00010584721176574</v>
      </c>
      <c r="E278" s="1" t="n">
        <f aca="false">LN(C278/C277)</f>
        <v>2.54441056621374E-005</v>
      </c>
      <c r="F278" s="1" t="n">
        <f aca="false">B278/B277-1</f>
        <v>-0.000105841610147261</v>
      </c>
      <c r="G278" s="1" t="n">
        <f aca="false">C278/C277-1</f>
        <v>2.54444293661393E-005</v>
      </c>
    </row>
    <row r="279" customFormat="false" ht="15" hidden="false" customHeight="false" outlineLevel="0" collapsed="false">
      <c r="A279" s="1" t="s">
        <v>286</v>
      </c>
      <c r="B279" s="5" t="n">
        <v>23.8636</v>
      </c>
      <c r="C279" s="5" t="n">
        <v>11.7917</v>
      </c>
      <c r="D279" s="1" t="n">
        <f aca="false">LN(B279/B278)</f>
        <v>0.0103578545005129</v>
      </c>
      <c r="E279" s="1" t="n">
        <f aca="false">LN(C279/C278)</f>
        <v>8.48090101602552E-005</v>
      </c>
      <c r="F279" s="1" t="n">
        <f aca="false">B279/B278-1</f>
        <v>0.0104116827633514</v>
      </c>
      <c r="G279" s="1" t="n">
        <f aca="false">C279/C278-1</f>
        <v>8.48126065460253E-005</v>
      </c>
    </row>
    <row r="280" customFormat="false" ht="15" hidden="false" customHeight="false" outlineLevel="0" collapsed="false">
      <c r="A280" s="1" t="s">
        <v>287</v>
      </c>
      <c r="B280" s="5" t="n">
        <v>23.9047</v>
      </c>
      <c r="C280" s="5" t="n">
        <v>11.7921</v>
      </c>
      <c r="D280" s="1" t="n">
        <f aca="false">LN(B280/B279)</f>
        <v>0.00172080690089554</v>
      </c>
      <c r="E280" s="1" t="n">
        <f aca="false">LN(C280/C279)</f>
        <v>3.39215902473014E-005</v>
      </c>
      <c r="F280" s="1" t="n">
        <f aca="false">B280/B279-1</f>
        <v>0.0017222883387249</v>
      </c>
      <c r="G280" s="1" t="n">
        <f aca="false">C280/C279-1</f>
        <v>3.39221655909494E-005</v>
      </c>
    </row>
    <row r="281" customFormat="false" ht="15" hidden="false" customHeight="false" outlineLevel="0" collapsed="false">
      <c r="A281" s="1" t="s">
        <v>288</v>
      </c>
      <c r="B281" s="5" t="n">
        <v>23.9222</v>
      </c>
      <c r="C281" s="5" t="n">
        <v>11.7925</v>
      </c>
      <c r="D281" s="1" t="n">
        <f aca="false">LN(B281/B280)</f>
        <v>0.000731805773779826</v>
      </c>
      <c r="E281" s="1" t="n">
        <f aca="false">LN(C281/C280)</f>
        <v>3.39204396123323E-005</v>
      </c>
      <c r="F281" s="1" t="n">
        <f aca="false">B281/B280-1</f>
        <v>0.000732073608955552</v>
      </c>
      <c r="G281" s="1" t="n">
        <f aca="false">C281/C280-1</f>
        <v>3.39210149169489E-005</v>
      </c>
    </row>
    <row r="282" customFormat="false" ht="15" hidden="false" customHeight="false" outlineLevel="0" collapsed="false">
      <c r="A282" s="1" t="s">
        <v>289</v>
      </c>
      <c r="B282" s="5" t="n">
        <v>24.1508</v>
      </c>
      <c r="C282" s="5" t="n">
        <v>11.793</v>
      </c>
      <c r="D282" s="1" t="n">
        <f aca="false">LN(B282/B281)</f>
        <v>0.00951060774661526</v>
      </c>
      <c r="E282" s="1" t="n">
        <f aca="false">LN(C282/C281)</f>
        <v>4.23989315532616E-005</v>
      </c>
      <c r="F282" s="1" t="n">
        <f aca="false">B282/B281-1</f>
        <v>0.00955597729305824</v>
      </c>
      <c r="G282" s="1" t="n">
        <f aca="false">C282/C281-1</f>
        <v>4.23998304006634E-005</v>
      </c>
    </row>
    <row r="283" customFormat="false" ht="15" hidden="false" customHeight="false" outlineLevel="0" collapsed="false">
      <c r="A283" s="1" t="s">
        <v>290</v>
      </c>
      <c r="B283" s="5" t="n">
        <v>24.8054</v>
      </c>
      <c r="C283" s="5" t="n">
        <v>11.7934</v>
      </c>
      <c r="D283" s="1" t="n">
        <f aca="false">LN(B283/B282)</f>
        <v>0.0267438655601717</v>
      </c>
      <c r="E283" s="1" t="n">
        <f aca="false">LN(C283/C282)</f>
        <v>3.39178509682429E-005</v>
      </c>
      <c r="F283" s="1" t="n">
        <f aca="false">B283/B282-1</f>
        <v>0.0271046921841098</v>
      </c>
      <c r="G283" s="1" t="n">
        <f aca="false">C283/C282-1</f>
        <v>3.39184261850534E-005</v>
      </c>
    </row>
    <row r="284" customFormat="false" ht="15" hidden="false" customHeight="false" outlineLevel="0" collapsed="false">
      <c r="A284" s="1" t="s">
        <v>291</v>
      </c>
      <c r="B284" s="5" t="n">
        <v>24.9233</v>
      </c>
      <c r="C284" s="5" t="n">
        <v>11.7948</v>
      </c>
      <c r="D284" s="1" t="n">
        <f aca="false">LN(B284/B283)</f>
        <v>0.00474173750393443</v>
      </c>
      <c r="E284" s="1" t="n">
        <f aca="false">LN(C284/C283)</f>
        <v>0.000118703419645729</v>
      </c>
      <c r="F284" s="1" t="n">
        <f aca="false">B284/B283-1</f>
        <v>0.00475299733122636</v>
      </c>
      <c r="G284" s="1" t="n">
        <f aca="false">C284/C283-1</f>
        <v>0.00011871046517542</v>
      </c>
    </row>
    <row r="285" customFormat="false" ht="15" hidden="false" customHeight="false" outlineLevel="0" collapsed="false">
      <c r="A285" s="1" t="s">
        <v>292</v>
      </c>
      <c r="B285" s="5" t="n">
        <v>25.0173</v>
      </c>
      <c r="C285" s="5" t="n">
        <v>11.7951</v>
      </c>
      <c r="D285" s="1" t="n">
        <f aca="false">LN(B285/B284)</f>
        <v>0.00376447663858135</v>
      </c>
      <c r="E285" s="1" t="n">
        <f aca="false">LN(C285/C284)</f>
        <v>2.54346139674771E-005</v>
      </c>
      <c r="F285" s="1" t="n">
        <f aca="false">B285/B284-1</f>
        <v>0.00377157118038141</v>
      </c>
      <c r="G285" s="1" t="n">
        <f aca="false">C285/C284-1</f>
        <v>2.54349374300134E-005</v>
      </c>
    </row>
    <row r="286" customFormat="false" ht="15" hidden="false" customHeight="false" outlineLevel="0" collapsed="false">
      <c r="A286" s="1" t="s">
        <v>293</v>
      </c>
      <c r="B286" s="5" t="n">
        <v>25.0372</v>
      </c>
      <c r="C286" s="5" t="n">
        <v>11.7955</v>
      </c>
      <c r="D286" s="1" t="n">
        <f aca="false">LN(B286/B285)</f>
        <v>0.00079513334659065</v>
      </c>
      <c r="E286" s="1" t="n">
        <f aca="false">LN(C286/C285)</f>
        <v>3.39118123353934E-005</v>
      </c>
      <c r="F286" s="1" t="n">
        <f aca="false">B286/B285-1</f>
        <v>0.000795449548912197</v>
      </c>
      <c r="G286" s="1" t="n">
        <f aca="false">C286/C285-1</f>
        <v>3.39123873474012E-005</v>
      </c>
    </row>
    <row r="287" customFormat="false" ht="15" hidden="false" customHeight="false" outlineLevel="0" collapsed="false">
      <c r="A287" s="1" t="s">
        <v>294</v>
      </c>
      <c r="B287" s="5" t="n">
        <v>25.279</v>
      </c>
      <c r="C287" s="5" t="n">
        <v>11.7958</v>
      </c>
      <c r="D287" s="1" t="n">
        <f aca="false">LN(B287/B286)</f>
        <v>0.00961129264104203</v>
      </c>
      <c r="E287" s="1" t="n">
        <f aca="false">LN(C287/C286)</f>
        <v>2.54331045779512E-005</v>
      </c>
      <c r="F287" s="1" t="n">
        <f aca="false">B287/B286-1</f>
        <v>0.00965762944738224</v>
      </c>
      <c r="G287" s="1" t="n">
        <f aca="false">C287/C286-1</f>
        <v>2.54334280020974E-005</v>
      </c>
    </row>
    <row r="288" customFormat="false" ht="15" hidden="false" customHeight="false" outlineLevel="0" collapsed="false">
      <c r="A288" s="1" t="s">
        <v>295</v>
      </c>
      <c r="B288" s="5" t="n">
        <v>25.0326</v>
      </c>
      <c r="C288" s="5" t="n">
        <v>11.7968</v>
      </c>
      <c r="D288" s="1" t="n">
        <f aca="false">LN(B288/B287)</f>
        <v>-0.0097950361356413</v>
      </c>
      <c r="E288" s="1" t="n">
        <f aca="false">LN(C288/C287)</f>
        <v>8.47723439213397E-005</v>
      </c>
      <c r="F288" s="1" t="n">
        <f aca="false">B288/B287-1</f>
        <v>-0.00974722101348946</v>
      </c>
      <c r="G288" s="1" t="n">
        <f aca="false">C288/C287-1</f>
        <v>8.47759371980228E-005</v>
      </c>
    </row>
    <row r="289" customFormat="false" ht="15" hidden="false" customHeight="false" outlineLevel="0" collapsed="false">
      <c r="A289" s="1" t="s">
        <v>296</v>
      </c>
      <c r="B289" s="5" t="n">
        <v>25.4705</v>
      </c>
      <c r="C289" s="5" t="n">
        <v>11.7971</v>
      </c>
      <c r="D289" s="1" t="n">
        <f aca="false">LN(B289/B288)</f>
        <v>0.0173419443384473</v>
      </c>
      <c r="E289" s="1" t="n">
        <f aca="false">LN(C289/C288)</f>
        <v>2.54303019016394E-005</v>
      </c>
      <c r="F289" s="1" t="n">
        <f aca="false">B289/B288-1</f>
        <v>0.0174931888816983</v>
      </c>
      <c r="G289" s="1" t="n">
        <f aca="false">C289/C288-1</f>
        <v>2.54306252545078E-005</v>
      </c>
    </row>
    <row r="290" customFormat="false" ht="15" hidden="false" customHeight="false" outlineLevel="0" collapsed="false">
      <c r="A290" s="1" t="s">
        <v>297</v>
      </c>
      <c r="B290" s="5" t="n">
        <v>25.8999</v>
      </c>
      <c r="C290" s="5" t="n">
        <v>11.7976</v>
      </c>
      <c r="D290" s="1" t="n">
        <f aca="false">LN(B290/B289)</f>
        <v>0.0167181879571372</v>
      </c>
      <c r="E290" s="1" t="n">
        <f aca="false">LN(C290/C289)</f>
        <v>4.23823994434076E-005</v>
      </c>
      <c r="F290" s="1" t="n">
        <f aca="false">B290/B289-1</f>
        <v>0.0168587189101117</v>
      </c>
      <c r="G290" s="1" t="n">
        <f aca="false">C290/C289-1</f>
        <v>4.23832975899874E-005</v>
      </c>
    </row>
    <row r="291" customFormat="false" ht="15" hidden="false" customHeight="false" outlineLevel="0" collapsed="false">
      <c r="A291" s="1" t="s">
        <v>298</v>
      </c>
      <c r="B291" s="5" t="n">
        <v>26.2552</v>
      </c>
      <c r="C291" s="5" t="n">
        <v>11.7982</v>
      </c>
      <c r="D291" s="1" t="n">
        <f aca="false">LN(B291/B290)</f>
        <v>0.0136249569632797</v>
      </c>
      <c r="E291" s="1" t="n">
        <f aca="false">LN(C291/C290)</f>
        <v>5.08565083726121E-005</v>
      </c>
      <c r="F291" s="1" t="n">
        <f aca="false">B291/B290-1</f>
        <v>0.0137181996841687</v>
      </c>
      <c r="G291" s="1" t="n">
        <f aca="false">C291/C290-1</f>
        <v>5.08578015867567E-005</v>
      </c>
    </row>
    <row r="292" customFormat="false" ht="15" hidden="false" customHeight="false" outlineLevel="0" collapsed="false">
      <c r="A292" s="1" t="s">
        <v>299</v>
      </c>
      <c r="B292" s="5" t="n">
        <v>26.226</v>
      </c>
      <c r="C292" s="5" t="n">
        <v>11.7987</v>
      </c>
      <c r="D292" s="1" t="n">
        <f aca="false">LN(B292/B291)</f>
        <v>-0.0011127795482246</v>
      </c>
      <c r="E292" s="1" t="n">
        <f aca="false">LN(C292/C291)</f>
        <v>4.23784480229283E-005</v>
      </c>
      <c r="F292" s="1" t="n">
        <f aca="false">B292/B291-1</f>
        <v>-0.00111216063865438</v>
      </c>
      <c r="G292" s="1" t="n">
        <f aca="false">C292/C291-1</f>
        <v>4.23793460020416E-005</v>
      </c>
    </row>
    <row r="293" customFormat="false" ht="15" hidden="false" customHeight="false" outlineLevel="0" collapsed="false">
      <c r="A293" s="1" t="s">
        <v>300</v>
      </c>
      <c r="B293" s="5" t="n">
        <v>26.6832</v>
      </c>
      <c r="C293" s="5" t="n">
        <v>11.7996</v>
      </c>
      <c r="D293" s="1" t="n">
        <f aca="false">LN(B293/B292)</f>
        <v>0.0172828687759451</v>
      </c>
      <c r="E293" s="1" t="n">
        <f aca="false">LN(C293/C292)</f>
        <v>7.62766809843537E-005</v>
      </c>
      <c r="F293" s="1" t="n">
        <f aca="false">B293/B292-1</f>
        <v>0.0174330816746739</v>
      </c>
      <c r="G293" s="1" t="n">
        <f aca="false">C293/C292-1</f>
        <v>7.62795901243507E-005</v>
      </c>
    </row>
    <row r="294" customFormat="false" ht="15" hidden="false" customHeight="false" outlineLevel="0" collapsed="false">
      <c r="A294" s="1" t="s">
        <v>301</v>
      </c>
      <c r="B294" s="5" t="n">
        <v>26.1799</v>
      </c>
      <c r="C294" s="5" t="n">
        <v>11.7999</v>
      </c>
      <c r="D294" s="1" t="n">
        <f aca="false">LN(B294/B293)</f>
        <v>-0.0190422131204209</v>
      </c>
      <c r="E294" s="1" t="n">
        <f aca="false">LN(C294/C293)</f>
        <v>2.54242674646977E-005</v>
      </c>
      <c r="F294" s="1" t="n">
        <f aca="false">B294/B293-1</f>
        <v>-0.0188620555255741</v>
      </c>
      <c r="G294" s="1" t="n">
        <f aca="false">C294/C293-1</f>
        <v>2.54245906641248E-005</v>
      </c>
    </row>
    <row r="295" customFormat="false" ht="15" hidden="false" customHeight="false" outlineLevel="0" collapsed="false">
      <c r="A295" s="1" t="s">
        <v>302</v>
      </c>
      <c r="B295" s="5" t="n">
        <v>26.5535</v>
      </c>
      <c r="C295" s="5" t="n">
        <v>11.8002</v>
      </c>
      <c r="D295" s="1" t="n">
        <f aca="false">LN(B295/B294)</f>
        <v>0.0141696249768059</v>
      </c>
      <c r="E295" s="1" t="n">
        <f aca="false">LN(C295/C294)</f>
        <v>2.54236210877481E-005</v>
      </c>
      <c r="F295" s="1" t="n">
        <f aca="false">B295/B294-1</f>
        <v>0.0142704899560349</v>
      </c>
      <c r="G295" s="1" t="n">
        <f aca="false">C295/C294-1</f>
        <v>2.54239442707416E-005</v>
      </c>
    </row>
    <row r="296" customFormat="false" ht="15" hidden="false" customHeight="false" outlineLevel="0" collapsed="false">
      <c r="A296" s="1" t="s">
        <v>303</v>
      </c>
      <c r="B296" s="5" t="n">
        <v>26.1946</v>
      </c>
      <c r="C296" s="5" t="n">
        <v>11.8006</v>
      </c>
      <c r="D296" s="1" t="n">
        <f aca="false">LN(B296/B295)</f>
        <v>-0.0136082830876804</v>
      </c>
      <c r="E296" s="1" t="n">
        <f aca="false">LN(C296/C295)</f>
        <v>3.38971560318762E-005</v>
      </c>
      <c r="F296" s="1" t="n">
        <f aca="false">B296/B295-1</f>
        <v>-0.0135161089875158</v>
      </c>
      <c r="G296" s="1" t="n">
        <f aca="false">C296/C295-1</f>
        <v>3.38977305469612E-005</v>
      </c>
    </row>
    <row r="297" customFormat="false" ht="15" hidden="false" customHeight="false" outlineLevel="0" collapsed="false">
      <c r="A297" s="1" t="s">
        <v>304</v>
      </c>
      <c r="B297" s="5" t="n">
        <v>26.5382</v>
      </c>
      <c r="C297" s="5" t="n">
        <v>11.801</v>
      </c>
      <c r="D297" s="1" t="n">
        <f aca="false">LN(B297/B296)</f>
        <v>0.0130319217949154</v>
      </c>
      <c r="E297" s="1" t="n">
        <f aca="false">LN(C297/C296)</f>
        <v>3.38960070537196E-005</v>
      </c>
      <c r="F297" s="1" t="n">
        <f aca="false">B297/B296-1</f>
        <v>0.0131172073633496</v>
      </c>
      <c r="G297" s="1" t="n">
        <f aca="false">C297/C296-1</f>
        <v>3.38965815298575E-005</v>
      </c>
    </row>
    <row r="298" customFormat="false" ht="15" hidden="false" customHeight="false" outlineLevel="0" collapsed="false">
      <c r="A298" s="1" t="s">
        <v>305</v>
      </c>
      <c r="B298" s="5" t="n">
        <v>26.5328</v>
      </c>
      <c r="C298" s="5" t="n">
        <v>11.8019</v>
      </c>
      <c r="D298" s="1" t="n">
        <f aca="false">LN(B298/B297)</f>
        <v>-0.000203500971100326</v>
      </c>
      <c r="E298" s="1" t="n">
        <f aca="false">LN(C298/C297)</f>
        <v>7.62618153223953E-005</v>
      </c>
      <c r="F298" s="1" t="n">
        <f aca="false">B298/B297-1</f>
        <v>-0.000203480266182221</v>
      </c>
      <c r="G298" s="1" t="n">
        <f aca="false">C298/C297-1</f>
        <v>7.62647233285563E-005</v>
      </c>
    </row>
    <row r="299" customFormat="false" ht="15" hidden="false" customHeight="false" outlineLevel="0" collapsed="false">
      <c r="A299" s="1" t="s">
        <v>306</v>
      </c>
      <c r="B299" s="5" t="n">
        <v>26.2262</v>
      </c>
      <c r="C299" s="5" t="n">
        <v>11.8024</v>
      </c>
      <c r="D299" s="1" t="n">
        <f aca="false">LN(B299/B298)</f>
        <v>-0.0116227923775626</v>
      </c>
      <c r="E299" s="1" t="n">
        <f aca="false">LN(C299/C298)</f>
        <v>4.23651622860428E-005</v>
      </c>
      <c r="F299" s="1" t="n">
        <f aca="false">B299/B298-1</f>
        <v>-0.0115555086534404</v>
      </c>
      <c r="G299" s="1" t="n">
        <f aca="false">C299/C298-1</f>
        <v>4.23660597022035E-005</v>
      </c>
    </row>
    <row r="300" customFormat="false" ht="15" hidden="false" customHeight="false" outlineLevel="0" collapsed="false">
      <c r="A300" s="1" t="s">
        <v>307</v>
      </c>
      <c r="B300" s="5" t="n">
        <v>26.0536</v>
      </c>
      <c r="C300" s="5" t="n">
        <v>11.8028</v>
      </c>
      <c r="D300" s="1" t="n">
        <f aca="false">LN(B300/B299)</f>
        <v>-0.00660295667156425</v>
      </c>
      <c r="E300" s="1" t="n">
        <f aca="false">LN(C300/C299)</f>
        <v>3.38908376153065E-005</v>
      </c>
      <c r="F300" s="1" t="n">
        <f aca="false">B300/B299-1</f>
        <v>-0.00658120505448745</v>
      </c>
      <c r="G300" s="1" t="n">
        <f aca="false">C300/C299-1</f>
        <v>3.38914119162315E-005</v>
      </c>
    </row>
    <row r="301" customFormat="false" ht="15" hidden="false" customHeight="false" outlineLevel="0" collapsed="false">
      <c r="A301" s="1" t="s">
        <v>308</v>
      </c>
      <c r="B301" s="5" t="n">
        <v>26.1472</v>
      </c>
      <c r="C301" s="5" t="n">
        <v>11.8033</v>
      </c>
      <c r="D301" s="1" t="n">
        <f aca="false">LN(B301/B300)</f>
        <v>0.00358615577968094</v>
      </c>
      <c r="E301" s="1" t="n">
        <f aca="false">LN(C301/C300)</f>
        <v>4.23619318799528E-005</v>
      </c>
      <c r="F301" s="1" t="n">
        <f aca="false">B301/B300-1</f>
        <v>0.00359259372984933</v>
      </c>
      <c r="G301" s="1" t="n">
        <f aca="false">C301/C300-1</f>
        <v>4.23628291592593E-005</v>
      </c>
    </row>
    <row r="302" customFormat="false" ht="15" hidden="false" customHeight="false" outlineLevel="0" collapsed="false">
      <c r="A302" s="1" t="s">
        <v>309</v>
      </c>
      <c r="B302" s="5" t="n">
        <v>26.2208</v>
      </c>
      <c r="C302" s="5" t="n">
        <v>11.8036</v>
      </c>
      <c r="D302" s="1" t="n">
        <f aca="false">LN(B302/B301)</f>
        <v>0.00281087872210885</v>
      </c>
      <c r="E302" s="1" t="n">
        <f aca="false">LN(C302/C301)</f>
        <v>2.5416297778543E-005</v>
      </c>
      <c r="F302" s="1" t="n">
        <f aca="false">B302/B301-1</f>
        <v>0.00281483294578377</v>
      </c>
      <c r="G302" s="1" t="n">
        <f aca="false">C302/C301-1</f>
        <v>2.54166207753759E-005</v>
      </c>
    </row>
    <row r="303" customFormat="false" ht="15" hidden="false" customHeight="false" outlineLevel="0" collapsed="false">
      <c r="A303" s="1" t="s">
        <v>310</v>
      </c>
      <c r="B303" s="5" t="n">
        <v>26.5126</v>
      </c>
      <c r="C303" s="5" t="n">
        <v>11.8047</v>
      </c>
      <c r="D303" s="1" t="n">
        <f aca="false">LN(B303/B302)</f>
        <v>0.0110671027590793</v>
      </c>
      <c r="E303" s="1" t="n">
        <f aca="false">LN(C303/C302)</f>
        <v>9.31875654576935E-005</v>
      </c>
      <c r="F303" s="1" t="n">
        <f aca="false">B303/B302-1</f>
        <v>0.0111285696851353</v>
      </c>
      <c r="G303" s="1" t="n">
        <f aca="false">C303/C302-1</f>
        <v>9.31919075537468E-005</v>
      </c>
    </row>
    <row r="304" customFormat="false" ht="15" hidden="false" customHeight="false" outlineLevel="0" collapsed="false">
      <c r="A304" s="1" t="s">
        <v>311</v>
      </c>
      <c r="B304" s="5" t="n">
        <v>26.6067</v>
      </c>
      <c r="C304" s="5" t="n">
        <v>11.805</v>
      </c>
      <c r="D304" s="1" t="n">
        <f aca="false">LN(B304/B303)</f>
        <v>0.00354297208109627</v>
      </c>
      <c r="E304" s="1" t="n">
        <f aca="false">LN(C304/C303)</f>
        <v>2.54132835245877E-005</v>
      </c>
      <c r="F304" s="1" t="n">
        <f aca="false">B304/B303-1</f>
        <v>0.00354925582553212</v>
      </c>
      <c r="G304" s="1" t="n">
        <f aca="false">C304/C303-1</f>
        <v>2.54136064448129E-005</v>
      </c>
    </row>
    <row r="305" customFormat="false" ht="15" hidden="false" customHeight="false" outlineLevel="0" collapsed="false">
      <c r="A305" s="1" t="s">
        <v>312</v>
      </c>
      <c r="B305" s="5" t="n">
        <v>26.9474</v>
      </c>
      <c r="C305" s="5" t="n">
        <v>11.8053</v>
      </c>
      <c r="D305" s="1" t="n">
        <f aca="false">LN(B305/B304)</f>
        <v>0.0127237539768449</v>
      </c>
      <c r="E305" s="1" t="n">
        <f aca="false">LN(C305/C304)</f>
        <v>2.5412637706281E-005</v>
      </c>
      <c r="F305" s="1" t="n">
        <f aca="false">B305/B304-1</f>
        <v>0.0128050453457211</v>
      </c>
      <c r="G305" s="1" t="n">
        <f aca="false">C305/C304-1</f>
        <v>2.54129606100939E-005</v>
      </c>
    </row>
    <row r="306" customFormat="false" ht="15" hidden="false" customHeight="false" outlineLevel="0" collapsed="false">
      <c r="A306" s="1" t="s">
        <v>313</v>
      </c>
      <c r="B306" s="5" t="n">
        <v>26.7671</v>
      </c>
      <c r="C306" s="5" t="n">
        <v>11.8054</v>
      </c>
      <c r="D306" s="1" t="n">
        <f aca="false">LN(B306/B305)</f>
        <v>-0.00671329630365761</v>
      </c>
      <c r="E306" s="1" t="n">
        <f aca="false">LN(C306/C305)</f>
        <v>8.47073572581462E-006</v>
      </c>
      <c r="F306" s="1" t="n">
        <f aca="false">B306/B305-1</f>
        <v>-0.00669081247170411</v>
      </c>
      <c r="G306" s="1" t="n">
        <f aca="false">C306/C305-1</f>
        <v>8.47077160259779E-006</v>
      </c>
    </row>
    <row r="307" customFormat="false" ht="15" hidden="false" customHeight="false" outlineLevel="0" collapsed="false">
      <c r="A307" s="1" t="s">
        <v>314</v>
      </c>
      <c r="B307" s="5" t="n">
        <v>26.4723</v>
      </c>
      <c r="C307" s="5" t="n">
        <v>11.8058</v>
      </c>
      <c r="D307" s="1" t="n">
        <f aca="false">LN(B307/B306)</f>
        <v>-0.0110746181597058</v>
      </c>
      <c r="E307" s="1" t="n">
        <f aca="false">LN(C307/C306)</f>
        <v>3.38822253877856E-005</v>
      </c>
      <c r="F307" s="1" t="n">
        <f aca="false">B307/B306-1</f>
        <v>-0.0110135203290607</v>
      </c>
      <c r="G307" s="1" t="n">
        <f aca="false">C307/C306-1</f>
        <v>3.38827993968671E-005</v>
      </c>
    </row>
    <row r="308" customFormat="false" ht="15" hidden="false" customHeight="false" outlineLevel="0" collapsed="false">
      <c r="A308" s="1" t="s">
        <v>315</v>
      </c>
      <c r="B308" s="5" t="n">
        <v>26.3496</v>
      </c>
      <c r="C308" s="5" t="n">
        <v>11.8068</v>
      </c>
      <c r="D308" s="1" t="n">
        <f aca="false">LN(B308/B307)</f>
        <v>-0.00464580867752211</v>
      </c>
      <c r="E308" s="1" t="n">
        <f aca="false">LN(C308/C307)</f>
        <v>8.47005412871483E-005</v>
      </c>
      <c r="F308" s="1" t="n">
        <f aca="false">B308/B307-1</f>
        <v>-0.00463503360116058</v>
      </c>
      <c r="G308" s="1" t="n">
        <f aca="false">C308/C307-1</f>
        <v>8.47041284792738E-005</v>
      </c>
    </row>
    <row r="309" customFormat="false" ht="15" hidden="false" customHeight="false" outlineLevel="0" collapsed="false">
      <c r="A309" s="1" t="s">
        <v>316</v>
      </c>
      <c r="B309" s="5" t="n">
        <v>26.4142</v>
      </c>
      <c r="C309" s="5" t="n">
        <v>11.8072</v>
      </c>
      <c r="D309" s="1" t="n">
        <f aca="false">LN(B309/B308)</f>
        <v>0.0024486497287099</v>
      </c>
      <c r="E309" s="1" t="n">
        <f aca="false">LN(C309/C308)</f>
        <v>3.3878207845935E-005</v>
      </c>
      <c r="F309" s="1" t="n">
        <f aca="false">B309/B308-1</f>
        <v>0.0024516501199261</v>
      </c>
      <c r="G309" s="1" t="n">
        <f aca="false">C309/C308-1</f>
        <v>3.3878781718899E-005</v>
      </c>
    </row>
    <row r="310" customFormat="false" ht="15" hidden="false" customHeight="false" outlineLevel="0" collapsed="false">
      <c r="A310" s="1" t="s">
        <v>317</v>
      </c>
      <c r="B310" s="5" t="n">
        <v>26.8169</v>
      </c>
      <c r="C310" s="5" t="n">
        <v>11.8077</v>
      </c>
      <c r="D310" s="1" t="n">
        <f aca="false">LN(B310/B309)</f>
        <v>0.0151305414537804</v>
      </c>
      <c r="E310" s="1" t="n">
        <f aca="false">LN(C310/C309)</f>
        <v>4.23461458719356E-005</v>
      </c>
      <c r="F310" s="1" t="n">
        <f aca="false">B310/B309-1</f>
        <v>0.0152455876006088</v>
      </c>
      <c r="G310" s="1" t="n">
        <f aca="false">C310/C309-1</f>
        <v>4.23470424826267E-005</v>
      </c>
    </row>
    <row r="311" customFormat="false" ht="15" hidden="false" customHeight="false" outlineLevel="0" collapsed="false">
      <c r="A311" s="1" t="s">
        <v>318</v>
      </c>
      <c r="B311" s="5" t="n">
        <v>26.7904</v>
      </c>
      <c r="C311" s="5" t="n">
        <v>11.8078</v>
      </c>
      <c r="D311" s="1" t="n">
        <f aca="false">LN(B311/B310)</f>
        <v>-0.00098867139955122</v>
      </c>
      <c r="E311" s="1" t="n">
        <f aca="false">LN(C311/C310)</f>
        <v>8.46901399498462E-006</v>
      </c>
      <c r="F311" s="1" t="n">
        <f aca="false">B311/B310-1</f>
        <v>-0.000988182825009565</v>
      </c>
      <c r="G311" s="1" t="n">
        <f aca="false">C311/C310-1</f>
        <v>8.46904985718489E-006</v>
      </c>
    </row>
    <row r="312" customFormat="false" ht="15" hidden="false" customHeight="false" outlineLevel="0" collapsed="false">
      <c r="A312" s="1" t="s">
        <v>319</v>
      </c>
      <c r="B312" s="5" t="n">
        <v>26.5994</v>
      </c>
      <c r="C312" s="5" t="n">
        <v>11.8082</v>
      </c>
      <c r="D312" s="1" t="n">
        <f aca="false">LN(B312/B311)</f>
        <v>-0.00715495524715756</v>
      </c>
      <c r="E312" s="1" t="n">
        <f aca="false">LN(C312/C311)</f>
        <v>3.38753387564661E-005</v>
      </c>
      <c r="F312" s="1" t="n">
        <f aca="false">B312/B311-1</f>
        <v>-0.00712941949355006</v>
      </c>
      <c r="G312" s="1" t="n">
        <f aca="false">C312/C311-1</f>
        <v>3.3875912532233E-005</v>
      </c>
    </row>
    <row r="313" customFormat="false" ht="15" hidden="false" customHeight="false" outlineLevel="0" collapsed="false">
      <c r="A313" s="1" t="s">
        <v>320</v>
      </c>
      <c r="B313" s="5" t="n">
        <v>26.5873</v>
      </c>
      <c r="C313" s="5" t="n">
        <v>11.8092</v>
      </c>
      <c r="D313" s="1" t="n">
        <f aca="false">LN(B313/B312)</f>
        <v>-0.000455000976136924</v>
      </c>
      <c r="E313" s="1" t="n">
        <f aca="false">LN(C313/C312)</f>
        <v>8.46833267505125E-005</v>
      </c>
      <c r="F313" s="1" t="n">
        <f aca="false">B313/B312-1</f>
        <v>-0.000454897478890493</v>
      </c>
      <c r="G313" s="1" t="n">
        <f aca="false">C313/C312-1</f>
        <v>8.46869124846439E-005</v>
      </c>
    </row>
    <row r="314" customFormat="false" ht="15" hidden="false" customHeight="false" outlineLevel="0" collapsed="false">
      <c r="A314" s="1" t="s">
        <v>321</v>
      </c>
      <c r="B314" s="5" t="n">
        <v>25.9398</v>
      </c>
      <c r="C314" s="5" t="n">
        <v>11.8095</v>
      </c>
      <c r="D314" s="1" t="n">
        <f aca="false">LN(B314/B313)</f>
        <v>-0.0246551894077961</v>
      </c>
      <c r="E314" s="1" t="n">
        <f aca="false">LN(C314/C313)</f>
        <v>2.54035996913257E-005</v>
      </c>
      <c r="F314" s="1" t="n">
        <f aca="false">B314/B313-1</f>
        <v>-0.0243537327972376</v>
      </c>
      <c r="G314" s="1" t="n">
        <f aca="false">C314/C313-1</f>
        <v>2.54039223654967E-005</v>
      </c>
    </row>
    <row r="315" customFormat="false" ht="15" hidden="false" customHeight="false" outlineLevel="0" collapsed="false">
      <c r="A315" s="1" t="s">
        <v>322</v>
      </c>
      <c r="B315" s="5" t="n">
        <v>25.5319</v>
      </c>
      <c r="C315" s="5" t="n">
        <v>11.8103</v>
      </c>
      <c r="D315" s="1" t="n">
        <f aca="false">LN(B315/B314)</f>
        <v>-0.015849818025814</v>
      </c>
      <c r="E315" s="1" t="n">
        <f aca="false">LN(C315/C314)</f>
        <v>6.77397776701818E-005</v>
      </c>
      <c r="F315" s="1" t="n">
        <f aca="false">B315/B314-1</f>
        <v>-0.0157248706620715</v>
      </c>
      <c r="G315" s="1" t="n">
        <f aca="false">C315/C314-1</f>
        <v>6.7742072060728E-005</v>
      </c>
    </row>
    <row r="316" customFormat="false" ht="15" hidden="false" customHeight="false" outlineLevel="0" collapsed="false">
      <c r="A316" s="1" t="s">
        <v>323</v>
      </c>
      <c r="B316" s="5" t="n">
        <v>25.8452</v>
      </c>
      <c r="C316" s="5" t="n">
        <v>11.8106</v>
      </c>
      <c r="D316" s="1" t="n">
        <f aca="false">LN(B316/B315)</f>
        <v>0.0121962463262355</v>
      </c>
      <c r="E316" s="1" t="n">
        <f aca="false">LN(C316/C315)</f>
        <v>2.54012336547776E-005</v>
      </c>
      <c r="F316" s="1" t="n">
        <f aca="false">B316/B315-1</f>
        <v>0.0122709238247054</v>
      </c>
      <c r="G316" s="1" t="n">
        <f aca="false">C316/C315-1</f>
        <v>2.54015562688448E-005</v>
      </c>
    </row>
    <row r="317" customFormat="false" ht="15" hidden="false" customHeight="false" outlineLevel="0" collapsed="false">
      <c r="A317" s="1" t="s">
        <v>324</v>
      </c>
      <c r="B317" s="5" t="n">
        <v>25.7849</v>
      </c>
      <c r="C317" s="5" t="n">
        <v>11.8116</v>
      </c>
      <c r="D317" s="1" t="n">
        <f aca="false">LN(B317/B316)</f>
        <v>-0.00233584778713676</v>
      </c>
      <c r="E317" s="1" t="n">
        <f aca="false">LN(C317/C316)</f>
        <v>8.46661192096136E-005</v>
      </c>
      <c r="F317" s="1" t="n">
        <f aca="false">B317/B316-1</f>
        <v>-0.00233312181759082</v>
      </c>
      <c r="G317" s="1" t="n">
        <f aca="false">C317/C316-1</f>
        <v>8.46697034866395E-005</v>
      </c>
    </row>
    <row r="318" customFormat="false" ht="15" hidden="false" customHeight="false" outlineLevel="0" collapsed="false">
      <c r="A318" s="1" t="s">
        <v>325</v>
      </c>
      <c r="B318" s="5" t="n">
        <v>26.1307</v>
      </c>
      <c r="C318" s="5" t="n">
        <v>11.812</v>
      </c>
      <c r="D318" s="1" t="n">
        <f aca="false">LN(B318/B317)</f>
        <v>0.0133218190333372</v>
      </c>
      <c r="E318" s="1" t="n">
        <f aca="false">LN(C318/C317)</f>
        <v>3.38644406472481E-005</v>
      </c>
      <c r="F318" s="1" t="n">
        <f aca="false">B318/B317-1</f>
        <v>0.0134109498194681</v>
      </c>
      <c r="G318" s="1" t="n">
        <f aca="false">C318/C317-1</f>
        <v>3.3865014053891E-005</v>
      </c>
    </row>
    <row r="319" customFormat="false" ht="15" hidden="false" customHeight="false" outlineLevel="0" collapsed="false">
      <c r="A319" s="1" t="s">
        <v>326</v>
      </c>
      <c r="B319" s="5" t="n">
        <v>26.4658</v>
      </c>
      <c r="C319" s="5" t="n">
        <v>11.8139</v>
      </c>
      <c r="D319" s="1" t="n">
        <f aca="false">LN(B319/B318)</f>
        <v>0.0127424651519268</v>
      </c>
      <c r="E319" s="1" t="n">
        <f aca="false">LN(C319/C318)</f>
        <v>0.000160840433938713</v>
      </c>
      <c r="F319" s="1" t="n">
        <f aca="false">B319/B318-1</f>
        <v>0.0128239962955452</v>
      </c>
      <c r="G319" s="1" t="n">
        <f aca="false">C319/C318-1</f>
        <v>0.000160853369454816</v>
      </c>
    </row>
    <row r="320" customFormat="false" ht="15" hidden="false" customHeight="false" outlineLevel="0" collapsed="false">
      <c r="A320" s="1" t="s">
        <v>327</v>
      </c>
      <c r="B320" s="5" t="n">
        <v>26.8914</v>
      </c>
      <c r="C320" s="5" t="n">
        <v>11.8142</v>
      </c>
      <c r="D320" s="1" t="n">
        <f aca="false">LN(B320/B319)</f>
        <v>0.0159531994328988</v>
      </c>
      <c r="E320" s="1" t="n">
        <f aca="false">LN(C320/C319)</f>
        <v>2.5393493341797E-005</v>
      </c>
      <c r="F320" s="1" t="n">
        <f aca="false">B320/B319-1</f>
        <v>0.0160811311201625</v>
      </c>
      <c r="G320" s="1" t="n">
        <f aca="false">C320/C319-1</f>
        <v>2.53938157592781E-005</v>
      </c>
    </row>
    <row r="321" customFormat="false" ht="15" hidden="false" customHeight="false" outlineLevel="0" collapsed="false">
      <c r="A321" s="1" t="s">
        <v>328</v>
      </c>
      <c r="B321" s="5" t="n">
        <v>26.8463</v>
      </c>
      <c r="C321" s="5" t="n">
        <v>11.8144</v>
      </c>
      <c r="D321" s="1" t="n">
        <f aca="false">LN(B321/B320)</f>
        <v>-0.00167852403764548</v>
      </c>
      <c r="E321" s="1" t="n">
        <f aca="false">LN(C321/C320)</f>
        <v>1.69286373297952E-005</v>
      </c>
      <c r="F321" s="1" t="n">
        <f aca="false">B321/B320-1</f>
        <v>-0.00167711610403332</v>
      </c>
      <c r="G321" s="1" t="n">
        <f aca="false">C321/C320-1</f>
        <v>1.69287806199847E-005</v>
      </c>
    </row>
    <row r="322" customFormat="false" ht="15" hidden="false" customHeight="false" outlineLevel="0" collapsed="false">
      <c r="A322" s="1" t="s">
        <v>329</v>
      </c>
      <c r="B322" s="5" t="n">
        <v>27.0552</v>
      </c>
      <c r="C322" s="5" t="n">
        <v>11.8145</v>
      </c>
      <c r="D322" s="1" t="n">
        <f aca="false">LN(B322/B321)</f>
        <v>0.00775121456414836</v>
      </c>
      <c r="E322" s="1" t="n">
        <f aca="false">LN(C322/C321)</f>
        <v>8.46421119907531E-006</v>
      </c>
      <c r="F322" s="1" t="n">
        <f aca="false">B322/B321-1</f>
        <v>0.00778133299560824</v>
      </c>
      <c r="G322" s="1" t="n">
        <f aca="false">C322/C321-1</f>
        <v>8.46424702061199E-006</v>
      </c>
    </row>
    <row r="323" customFormat="false" ht="15" hidden="false" customHeight="false" outlineLevel="0" collapsed="false">
      <c r="A323" s="1" t="s">
        <v>330</v>
      </c>
      <c r="B323" s="5" t="n">
        <v>26.7321</v>
      </c>
      <c r="C323" s="5" t="n">
        <v>11.8147</v>
      </c>
      <c r="D323" s="1" t="n">
        <f aca="false">LN(B323/B322)</f>
        <v>-0.0120141329395131</v>
      </c>
      <c r="E323" s="1" t="n">
        <f aca="false">LN(C323/C322)</f>
        <v>1.69282074724837E-005</v>
      </c>
      <c r="F323" s="1" t="n">
        <f aca="false">B323/B322-1</f>
        <v>-0.0119422513971437</v>
      </c>
      <c r="G323" s="1" t="n">
        <f aca="false">C323/C322-1</f>
        <v>1.69283507553963E-005</v>
      </c>
    </row>
    <row r="324" customFormat="false" ht="15" hidden="false" customHeight="false" outlineLevel="0" collapsed="false">
      <c r="A324" s="1" t="s">
        <v>331</v>
      </c>
      <c r="B324" s="5" t="n">
        <v>26.6953</v>
      </c>
      <c r="C324" s="5" t="n">
        <v>11.8159</v>
      </c>
      <c r="D324" s="1" t="n">
        <f aca="false">LN(B324/B323)</f>
        <v>-0.00137757052821638</v>
      </c>
      <c r="E324" s="1" t="n">
        <f aca="false">LN(C324/C323)</f>
        <v>0.000101563227428106</v>
      </c>
      <c r="F324" s="1" t="n">
        <f aca="false">B324/B323-1</f>
        <v>-0.00137662211348899</v>
      </c>
      <c r="G324" s="1" t="n">
        <f aca="false">C324/C323-1</f>
        <v>0.000101568385147299</v>
      </c>
    </row>
    <row r="325" customFormat="false" ht="15" hidden="false" customHeight="false" outlineLevel="0" collapsed="false">
      <c r="A325" s="1" t="s">
        <v>332</v>
      </c>
      <c r="B325" s="5" t="n">
        <v>26.9185</v>
      </c>
      <c r="C325" s="5" t="n">
        <v>11.816</v>
      </c>
      <c r="D325" s="1" t="n">
        <f aca="false">LN(B325/B324)</f>
        <v>0.00832626262172018</v>
      </c>
      <c r="E325" s="1" t="n">
        <f aca="false">LN(C325/C324)</f>
        <v>8.46313669258201E-006</v>
      </c>
      <c r="F325" s="1" t="n">
        <f aca="false">B325/B324-1</f>
        <v>0.00836102235224945</v>
      </c>
      <c r="G325" s="1" t="n">
        <f aca="false">C325/C324-1</f>
        <v>8.46317250502437E-006</v>
      </c>
    </row>
    <row r="326" customFormat="false" ht="15" hidden="false" customHeight="false" outlineLevel="0" collapsed="false">
      <c r="A326" s="1" t="s">
        <v>333</v>
      </c>
      <c r="B326" s="5" t="n">
        <v>26.749</v>
      </c>
      <c r="C326" s="5" t="n">
        <v>11.8164</v>
      </c>
      <c r="D326" s="1" t="n">
        <f aca="false">LN(B326/B325)</f>
        <v>-0.00631669310460774</v>
      </c>
      <c r="E326" s="1" t="n">
        <f aca="false">LN(C326/C325)</f>
        <v>3.38518305409258E-005</v>
      </c>
      <c r="F326" s="1" t="n">
        <f aca="false">B326/B325-1</f>
        <v>-0.00629678473911999</v>
      </c>
      <c r="G326" s="1" t="n">
        <f aca="false">C326/C325-1</f>
        <v>3.38524035206067E-005</v>
      </c>
    </row>
    <row r="327" customFormat="false" ht="15" hidden="false" customHeight="false" outlineLevel="0" collapsed="false">
      <c r="A327" s="1" t="s">
        <v>334</v>
      </c>
      <c r="B327" s="5" t="n">
        <v>26.5016</v>
      </c>
      <c r="C327" s="5" t="n">
        <v>11.8168</v>
      </c>
      <c r="D327" s="1" t="n">
        <f aca="false">LN(B327/B326)</f>
        <v>-0.00929198093764928</v>
      </c>
      <c r="E327" s="1" t="n">
        <f aca="false">LN(C327/C326)</f>
        <v>3.385068463349E-005</v>
      </c>
      <c r="F327" s="1" t="n">
        <f aca="false">B327/B326-1</f>
        <v>-0.0092489438857527</v>
      </c>
      <c r="G327" s="1" t="n">
        <f aca="false">C327/C326-1</f>
        <v>3.38512575743799E-005</v>
      </c>
    </row>
    <row r="328" customFormat="false" ht="15" hidden="false" customHeight="false" outlineLevel="0" collapsed="false">
      <c r="A328" s="1" t="s">
        <v>335</v>
      </c>
      <c r="B328" s="5" t="n">
        <v>26.6608</v>
      </c>
      <c r="C328" s="5" t="n">
        <v>11.8174</v>
      </c>
      <c r="D328" s="1" t="n">
        <f aca="false">LN(B328/B327)</f>
        <v>0.00598921327419429</v>
      </c>
      <c r="E328" s="1" t="n">
        <f aca="false">LN(C328/C327)</f>
        <v>5.07738785428388E-005</v>
      </c>
      <c r="F328" s="1" t="n">
        <f aca="false">B328/B327-1</f>
        <v>0.00600718447188098</v>
      </c>
      <c r="G328" s="1" t="n">
        <f aca="false">C328/C327-1</f>
        <v>5.07751675580259E-005</v>
      </c>
    </row>
    <row r="329" customFormat="false" ht="15" hidden="false" customHeight="false" outlineLevel="0" collapsed="false">
      <c r="A329" s="1" t="s">
        <v>336</v>
      </c>
      <c r="B329" s="5" t="n">
        <v>26.5075</v>
      </c>
      <c r="C329" s="5" t="n">
        <v>11.8193</v>
      </c>
      <c r="D329" s="1" t="n">
        <f aca="false">LN(B329/B328)</f>
        <v>-0.00576660998440569</v>
      </c>
      <c r="E329" s="1" t="n">
        <f aca="false">LN(C329/C328)</f>
        <v>0.00016076694327824</v>
      </c>
      <c r="F329" s="1" t="n">
        <f aca="false">B329/B328-1</f>
        <v>-0.00575001500330064</v>
      </c>
      <c r="G329" s="1" t="n">
        <f aca="false">C329/C328-1</f>
        <v>0.000160779866975824</v>
      </c>
    </row>
    <row r="330" customFormat="false" ht="15" hidden="false" customHeight="false" outlineLevel="0" collapsed="false">
      <c r="A330" s="1" t="s">
        <v>337</v>
      </c>
      <c r="B330" s="5" t="n">
        <v>26.383</v>
      </c>
      <c r="C330" s="5" t="n">
        <v>11.8194</v>
      </c>
      <c r="D330" s="1" t="n">
        <f aca="false">LN(B330/B329)</f>
        <v>-0.00470784847750455</v>
      </c>
      <c r="E330" s="1" t="n">
        <f aca="false">LN(C330/C329)</f>
        <v>8.46070215374004E-006</v>
      </c>
      <c r="F330" s="1" t="n">
        <f aca="false">B330/B329-1</f>
        <v>-0.00469678392907669</v>
      </c>
      <c r="G330" s="1" t="n">
        <f aca="false">C330/C329-1</f>
        <v>8.46073794558144E-006</v>
      </c>
    </row>
    <row r="331" customFormat="false" ht="15" hidden="false" customHeight="false" outlineLevel="0" collapsed="false">
      <c r="A331" s="1" t="s">
        <v>338</v>
      </c>
      <c r="B331" s="5" t="n">
        <v>26.5286</v>
      </c>
      <c r="C331" s="5" t="n">
        <v>11.8208</v>
      </c>
      <c r="D331" s="1" t="n">
        <f aca="false">LN(B331/B330)</f>
        <v>0.00550353296837867</v>
      </c>
      <c r="E331" s="1" t="n">
        <f aca="false">LN(C331/C330)</f>
        <v>0.000118442314501256</v>
      </c>
      <c r="F331" s="1" t="n">
        <f aca="false">B331/B330-1</f>
        <v>0.00551870522685061</v>
      </c>
      <c r="G331" s="1" t="n">
        <f aca="false">C331/C330-1</f>
        <v>0.000118449329069126</v>
      </c>
    </row>
    <row r="332" customFormat="false" ht="15" hidden="false" customHeight="false" outlineLevel="0" collapsed="false">
      <c r="A332" s="1" t="s">
        <v>339</v>
      </c>
      <c r="B332" s="5" t="n">
        <v>26.4423</v>
      </c>
      <c r="C332" s="5" t="n">
        <v>11.8213</v>
      </c>
      <c r="D332" s="1" t="n">
        <f aca="false">LN(B332/B331)</f>
        <v>-0.00325839569857933</v>
      </c>
      <c r="E332" s="1" t="n">
        <f aca="false">LN(C332/C331)</f>
        <v>4.22974270538496E-005</v>
      </c>
      <c r="F332" s="1" t="n">
        <f aca="false">B332/B331-1</f>
        <v>-0.0032530928884299</v>
      </c>
      <c r="G332" s="1" t="n">
        <f aca="false">C332/C331-1</f>
        <v>4.22983216026296E-005</v>
      </c>
    </row>
    <row r="333" customFormat="false" ht="15" hidden="false" customHeight="false" outlineLevel="0" collapsed="false">
      <c r="A333" s="1" t="s">
        <v>340</v>
      </c>
      <c r="B333" s="5" t="n">
        <v>26.1999</v>
      </c>
      <c r="C333" s="5" t="n">
        <v>11.8214</v>
      </c>
      <c r="D333" s="1" t="n">
        <f aca="false">LN(B333/B332)</f>
        <v>-0.00920940664423705</v>
      </c>
      <c r="E333" s="1" t="n">
        <f aca="false">LN(C333/C332)</f>
        <v>8.45927072621645E-006</v>
      </c>
      <c r="F333" s="1" t="n">
        <f aca="false">B333/B332-1</f>
        <v>-0.00916712993952873</v>
      </c>
      <c r="G333" s="1" t="n">
        <f aca="false">C333/C332-1</f>
        <v>8.45930650594795E-006</v>
      </c>
    </row>
    <row r="334" customFormat="false" ht="15" hidden="false" customHeight="false" outlineLevel="0" collapsed="false">
      <c r="A334" s="1" t="s">
        <v>341</v>
      </c>
      <c r="B334" s="5" t="n">
        <v>26.6682</v>
      </c>
      <c r="C334" s="5" t="n">
        <v>11.8219</v>
      </c>
      <c r="D334" s="1" t="n">
        <f aca="false">LN(B334/B333)</f>
        <v>0.0177162503868361</v>
      </c>
      <c r="E334" s="1" t="n">
        <f aca="false">LN(C334/C333)</f>
        <v>4.22952802759695E-005</v>
      </c>
      <c r="F334" s="1" t="n">
        <f aca="false">B334/B333-1</f>
        <v>0.0178741140233358</v>
      </c>
      <c r="G334" s="1" t="n">
        <f aca="false">C334/C333-1</f>
        <v>4.22961747339468E-005</v>
      </c>
    </row>
    <row r="335" customFormat="false" ht="15" hidden="false" customHeight="false" outlineLevel="0" collapsed="false">
      <c r="A335" s="1" t="s">
        <v>342</v>
      </c>
      <c r="B335" s="5" t="n">
        <v>26.5352</v>
      </c>
      <c r="C335" s="5" t="n">
        <v>11.8224</v>
      </c>
      <c r="D335" s="1" t="n">
        <f aca="false">LN(B335/B334)</f>
        <v>-0.00499969088625761</v>
      </c>
      <c r="E335" s="1" t="n">
        <f aca="false">LN(C335/C334)</f>
        <v>4.22934914610368E-005</v>
      </c>
      <c r="F335" s="1" t="n">
        <f aca="false">B335/B334-1</f>
        <v>-0.00498721323523899</v>
      </c>
      <c r="G335" s="1" t="n">
        <f aca="false">C335/C334-1</f>
        <v>4.22943858433555E-005</v>
      </c>
    </row>
    <row r="336" customFormat="false" ht="15" hidden="false" customHeight="false" outlineLevel="0" collapsed="false">
      <c r="A336" s="1" t="s">
        <v>343</v>
      </c>
      <c r="B336" s="5" t="n">
        <v>26.6271</v>
      </c>
      <c r="C336" s="5" t="n">
        <v>11.8236</v>
      </c>
      <c r="D336" s="1" t="n">
        <f aca="false">LN(B336/B335)</f>
        <v>0.00345734069224267</v>
      </c>
      <c r="E336" s="1" t="n">
        <f aca="false">LN(C336/C335)</f>
        <v>0.000101497082046177</v>
      </c>
      <c r="F336" s="1" t="n">
        <f aca="false">B336/B335-1</f>
        <v>0.00346332418824802</v>
      </c>
      <c r="G336" s="1" t="n">
        <f aca="false">C336/C335-1</f>
        <v>0.000101502233049278</v>
      </c>
    </row>
    <row r="337" customFormat="false" ht="15" hidden="false" customHeight="false" outlineLevel="0" collapsed="false">
      <c r="A337" s="1" t="s">
        <v>344</v>
      </c>
      <c r="B337" s="5" t="n">
        <v>26.9335</v>
      </c>
      <c r="C337" s="5" t="n">
        <v>11.8239</v>
      </c>
      <c r="D337" s="1" t="n">
        <f aca="false">LN(B337/B336)</f>
        <v>0.0114413707999101</v>
      </c>
      <c r="E337" s="1" t="n">
        <f aca="false">LN(C337/C336)</f>
        <v>2.53726609591977E-005</v>
      </c>
      <c r="F337" s="1" t="n">
        <f aca="false">B337/B336-1</f>
        <v>0.0115070736204843</v>
      </c>
      <c r="G337" s="1" t="n">
        <f aca="false">C337/C336-1</f>
        <v>2.53729828478821E-005</v>
      </c>
    </row>
    <row r="338" customFormat="false" ht="15" hidden="false" customHeight="false" outlineLevel="0" collapsed="false">
      <c r="A338" s="1" t="s">
        <v>345</v>
      </c>
      <c r="B338" s="5" t="n">
        <v>26.7978</v>
      </c>
      <c r="C338" s="5" t="n">
        <v>11.8243</v>
      </c>
      <c r="D338" s="1" t="n">
        <f aca="false">LN(B338/B337)</f>
        <v>-0.00505107036356511</v>
      </c>
      <c r="E338" s="1" t="n">
        <f aca="false">LN(C338/C337)</f>
        <v>3.38292132202499E-005</v>
      </c>
      <c r="F338" s="1" t="n">
        <f aca="false">B338/B337-1</f>
        <v>-0.00503833515881713</v>
      </c>
      <c r="G338" s="1" t="n">
        <f aca="false">C338/C337-1</f>
        <v>3.3829785434536E-005</v>
      </c>
    </row>
    <row r="339" customFormat="false" ht="15" hidden="false" customHeight="false" outlineLevel="0" collapsed="false">
      <c r="A339" s="1" t="s">
        <v>346</v>
      </c>
      <c r="B339" s="5" t="n">
        <v>26.4653</v>
      </c>
      <c r="C339" s="5" t="n">
        <v>11.8249</v>
      </c>
      <c r="D339" s="1" t="n">
        <f aca="false">LN(B339/B338)</f>
        <v>-0.0124853536229073</v>
      </c>
      <c r="E339" s="1" t="n">
        <f aca="false">LN(C339/C338)</f>
        <v>5.07416741478828E-005</v>
      </c>
      <c r="F339" s="1" t="n">
        <f aca="false">B339/B338-1</f>
        <v>-0.0124077349633178</v>
      </c>
      <c r="G339" s="1" t="n">
        <f aca="false">C339/C338-1</f>
        <v>5.0742961528405E-005</v>
      </c>
    </row>
    <row r="340" customFormat="false" ht="15" hidden="false" customHeight="false" outlineLevel="0" collapsed="false">
      <c r="A340" s="1" t="s">
        <v>347</v>
      </c>
      <c r="B340" s="5" t="n">
        <v>26.4023</v>
      </c>
      <c r="C340" s="5" t="n">
        <v>11.8262</v>
      </c>
      <c r="D340" s="1" t="n">
        <f aca="false">LN(B340/B339)</f>
        <v>-0.00238331340257385</v>
      </c>
      <c r="E340" s="1" t="n">
        <f aca="false">LN(C340/C339)</f>
        <v>0.00010993146207225</v>
      </c>
      <c r="F340" s="1" t="n">
        <f aca="false">B340/B339-1</f>
        <v>-0.00238047556611865</v>
      </c>
      <c r="G340" s="1" t="n">
        <f aca="false">C340/C339-1</f>
        <v>0.000109937504756852</v>
      </c>
    </row>
    <row r="341" customFormat="false" ht="15" hidden="false" customHeight="false" outlineLevel="0" collapsed="false">
      <c r="A341" s="1" t="s">
        <v>348</v>
      </c>
      <c r="B341" s="5" t="n">
        <v>26.4101</v>
      </c>
      <c r="C341" s="5" t="n">
        <v>11.8262</v>
      </c>
      <c r="D341" s="1" t="n">
        <f aca="false">LN(B341/B340)</f>
        <v>0.000295385176841505</v>
      </c>
      <c r="E341" s="1" t="n">
        <f aca="false">LN(C341/C340)</f>
        <v>0</v>
      </c>
      <c r="F341" s="1" t="n">
        <f aca="false">B341/B340-1</f>
        <v>0.000295428807338682</v>
      </c>
      <c r="G341" s="1" t="n">
        <f aca="false">C341/C340-1</f>
        <v>0</v>
      </c>
    </row>
    <row r="342" customFormat="false" ht="15" hidden="false" customHeight="false" outlineLevel="0" collapsed="false">
      <c r="A342" s="1" t="s">
        <v>349</v>
      </c>
      <c r="B342" s="5" t="n">
        <v>26.6928</v>
      </c>
      <c r="C342" s="5" t="n">
        <v>11.8264</v>
      </c>
      <c r="D342" s="1" t="n">
        <f aca="false">LN(B342/B341)</f>
        <v>0.0106473533728711</v>
      </c>
      <c r="E342" s="1" t="n">
        <f aca="false">LN(C342/C341)</f>
        <v>1.69114600512932E-005</v>
      </c>
      <c r="F342" s="1" t="n">
        <f aca="false">B342/B341-1</f>
        <v>0.0107042381513132</v>
      </c>
      <c r="G342" s="1" t="n">
        <f aca="false">C342/C341-1</f>
        <v>1.69116030508398E-005</v>
      </c>
    </row>
    <row r="343" customFormat="false" ht="15" hidden="false" customHeight="false" outlineLevel="0" collapsed="false">
      <c r="A343" s="1" t="s">
        <v>350</v>
      </c>
      <c r="B343" s="5" t="n">
        <v>26.7541</v>
      </c>
      <c r="C343" s="5" t="n">
        <v>11.8266</v>
      </c>
      <c r="D343" s="1" t="n">
        <f aca="false">LN(B343/B342)</f>
        <v>0.00229386650597686</v>
      </c>
      <c r="E343" s="1" t="n">
        <f aca="false">LN(C343/C342)</f>
        <v>1.69111740586818E-005</v>
      </c>
      <c r="F343" s="1" t="n">
        <f aca="false">B343/B342-1</f>
        <v>0.0022964994305581</v>
      </c>
      <c r="G343" s="1" t="n">
        <f aca="false">C343/C342-1</f>
        <v>1.69113170533919E-005</v>
      </c>
    </row>
    <row r="344" customFormat="false" ht="15" hidden="false" customHeight="false" outlineLevel="0" collapsed="false">
      <c r="A344" s="1" t="s">
        <v>351</v>
      </c>
      <c r="B344" s="5" t="n">
        <v>27.0352</v>
      </c>
      <c r="C344" s="5" t="n">
        <v>11.827</v>
      </c>
      <c r="D344" s="1" t="n">
        <f aca="false">LN(B344/B343)</f>
        <v>0.0104519879989991</v>
      </c>
      <c r="E344" s="1" t="n">
        <f aca="false">LN(C344/C343)</f>
        <v>3.38214901781587E-005</v>
      </c>
      <c r="F344" s="1" t="n">
        <f aca="false">B344/B343-1</f>
        <v>0.010506800826789</v>
      </c>
      <c r="G344" s="1" t="n">
        <f aca="false">C344/C343-1</f>
        <v>3.38220621312058E-005</v>
      </c>
    </row>
    <row r="345" customFormat="false" ht="15" hidden="false" customHeight="false" outlineLevel="0" collapsed="false">
      <c r="A345" s="1" t="s">
        <v>352</v>
      </c>
      <c r="B345" s="5" t="n">
        <v>27.2944</v>
      </c>
      <c r="C345" s="5" t="n">
        <v>11.8279</v>
      </c>
      <c r="D345" s="1" t="n">
        <f aca="false">LN(B345/B344)</f>
        <v>0.00954183231986981</v>
      </c>
      <c r="E345" s="1" t="n">
        <f aca="false">LN(C345/C344)</f>
        <v>7.60941708005453E-005</v>
      </c>
      <c r="F345" s="1" t="n">
        <f aca="false">B345/B344-1</f>
        <v>0.00958750073977632</v>
      </c>
      <c r="G345" s="1" t="n">
        <f aca="false">C345/C344-1</f>
        <v>7.60970660353966E-005</v>
      </c>
    </row>
    <row r="346" customFormat="false" ht="15" hidden="false" customHeight="false" outlineLevel="0" collapsed="false">
      <c r="A346" s="1" t="s">
        <v>353</v>
      </c>
      <c r="B346" s="5" t="n">
        <v>27.2673</v>
      </c>
      <c r="C346" s="5" t="n">
        <v>11.8283</v>
      </c>
      <c r="D346" s="1" t="n">
        <f aca="false">LN(B346/B345)</f>
        <v>-0.000993370889414813</v>
      </c>
      <c r="E346" s="1" t="n">
        <f aca="false">LN(C346/C345)</f>
        <v>3.38177729339093E-005</v>
      </c>
      <c r="F346" s="1" t="n">
        <f aca="false">B346/B345-1</f>
        <v>-0.000992877659886315</v>
      </c>
      <c r="G346" s="1" t="n">
        <f aca="false">C346/C345-1</f>
        <v>3.38183447612384E-005</v>
      </c>
    </row>
    <row r="347" customFormat="false" ht="15" hidden="false" customHeight="false" outlineLevel="0" collapsed="false">
      <c r="A347" s="1" t="s">
        <v>354</v>
      </c>
      <c r="B347" s="5" t="n">
        <v>27.0293</v>
      </c>
      <c r="C347" s="5" t="n">
        <v>11.8286</v>
      </c>
      <c r="D347" s="1" t="n">
        <f aca="false">LN(B347/B346)</f>
        <v>-0.0087667192529974</v>
      </c>
      <c r="E347" s="1" t="n">
        <f aca="false">LN(C347/C346)</f>
        <v>2.53625792066117E-005</v>
      </c>
      <c r="F347" s="1" t="n">
        <f aca="false">B347/B346-1</f>
        <v>-0.00872840361898686</v>
      </c>
      <c r="G347" s="1" t="n">
        <f aca="false">C347/C346-1</f>
        <v>2.53629008395428E-005</v>
      </c>
    </row>
    <row r="348" customFormat="false" ht="15" hidden="false" customHeight="false" outlineLevel="0" collapsed="false">
      <c r="A348" s="1" t="s">
        <v>355</v>
      </c>
      <c r="B348" s="5" t="n">
        <v>27.1452</v>
      </c>
      <c r="C348" s="5" t="n">
        <v>11.8288</v>
      </c>
      <c r="D348" s="1" t="n">
        <f aca="false">LN(B348/B347)</f>
        <v>0.0042787723679473</v>
      </c>
      <c r="E348" s="1" t="n">
        <f aca="false">LN(C348/C347)</f>
        <v>1.69080287778744E-005</v>
      </c>
      <c r="F348" s="1" t="n">
        <f aca="false">B348/B347-1</f>
        <v>0.00428793938429783</v>
      </c>
      <c r="G348" s="1" t="n">
        <f aca="false">C348/C347-1</f>
        <v>1.69081717193986E-005</v>
      </c>
    </row>
    <row r="349" customFormat="false" ht="15" hidden="false" customHeight="false" outlineLevel="0" collapsed="false">
      <c r="A349" s="1" t="s">
        <v>356</v>
      </c>
      <c r="B349" s="5" t="n">
        <v>27.434</v>
      </c>
      <c r="C349" s="5" t="n">
        <v>11.829</v>
      </c>
      <c r="D349" s="1" t="n">
        <f aca="false">LN(B349/B348)</f>
        <v>0.0105828848865622</v>
      </c>
      <c r="E349" s="1" t="n">
        <f aca="false">LN(C349/C348)</f>
        <v>1.69077429013894E-005</v>
      </c>
      <c r="F349" s="1" t="n">
        <f aca="false">B349/B348-1</f>
        <v>0.0106390816792656</v>
      </c>
      <c r="G349" s="1" t="n">
        <f aca="false">C349/C348-1</f>
        <v>1.690788583808E-005</v>
      </c>
    </row>
    <row r="350" customFormat="false" ht="15" hidden="false" customHeight="false" outlineLevel="0" collapsed="false">
      <c r="A350" s="1" t="s">
        <v>357</v>
      </c>
      <c r="B350" s="5" t="n">
        <v>27.5597</v>
      </c>
      <c r="C350" s="5" t="n">
        <v>11.8299</v>
      </c>
      <c r="D350" s="1" t="n">
        <f aca="false">LN(B350/B349)</f>
        <v>0.00457144068892268</v>
      </c>
      <c r="E350" s="1" t="n">
        <f aca="false">LN(C350/C349)</f>
        <v>7.60813055917963E-005</v>
      </c>
      <c r="F350" s="1" t="n">
        <f aca="false">B350/B349-1</f>
        <v>0.00458190566450378</v>
      </c>
      <c r="G350" s="1" t="n">
        <f aca="false">C350/C349-1</f>
        <v>7.60841998477257E-005</v>
      </c>
    </row>
    <row r="351" customFormat="false" ht="15" hidden="false" customHeight="false" outlineLevel="0" collapsed="false">
      <c r="A351" s="1" t="s">
        <v>358</v>
      </c>
      <c r="B351" s="5" t="n">
        <v>27.5626</v>
      </c>
      <c r="C351" s="5" t="n">
        <v>11.8303</v>
      </c>
      <c r="D351" s="1" t="n">
        <f aca="false">LN(B351/B350)</f>
        <v>0.000105220573258978</v>
      </c>
      <c r="E351" s="1" t="n">
        <f aca="false">LN(C351/C350)</f>
        <v>3.38120556916046E-005</v>
      </c>
      <c r="F351" s="1" t="n">
        <f aca="false">B351/B350-1</f>
        <v>0.000105226109137657</v>
      </c>
      <c r="G351" s="1" t="n">
        <f aca="false">C351/C350-1</f>
        <v>3.38126273256023E-005</v>
      </c>
    </row>
    <row r="352" customFormat="false" ht="15" hidden="false" customHeight="false" outlineLevel="0" collapsed="false">
      <c r="A352" s="1" t="s">
        <v>359</v>
      </c>
      <c r="B352" s="5" t="n">
        <v>27.6242</v>
      </c>
      <c r="C352" s="5" t="n">
        <v>11.8307</v>
      </c>
      <c r="D352" s="1" t="n">
        <f aca="false">LN(B352/B351)</f>
        <v>0.00223241882417393</v>
      </c>
      <c r="E352" s="1" t="n">
        <f aca="false">LN(C352/C351)</f>
        <v>3.38109124752129E-005</v>
      </c>
      <c r="F352" s="1" t="n">
        <f aca="false">B352/B351-1</f>
        <v>0.00223491252639452</v>
      </c>
      <c r="G352" s="1" t="n">
        <f aca="false">C352/C351-1</f>
        <v>3.38114840705561E-005</v>
      </c>
    </row>
    <row r="353" customFormat="false" ht="15" hidden="false" customHeight="false" outlineLevel="0" collapsed="false">
      <c r="A353" s="1" t="s">
        <v>360</v>
      </c>
      <c r="B353" s="5" t="n">
        <v>27.3587</v>
      </c>
      <c r="C353" s="5" t="n">
        <v>11.8313</v>
      </c>
      <c r="D353" s="1" t="n">
        <f aca="false">LN(B353/B352)</f>
        <v>-0.0096576231369595</v>
      </c>
      <c r="E353" s="1" t="n">
        <f aca="false">LN(C353/C352)</f>
        <v>5.07142253511065E-005</v>
      </c>
      <c r="F353" s="1" t="n">
        <f aca="false">B353/B352-1</f>
        <v>-0.00961113806010672</v>
      </c>
      <c r="G353" s="1" t="n">
        <f aca="false">C353/C352-1</f>
        <v>5.07155113391722E-005</v>
      </c>
    </row>
    <row r="354" customFormat="false" ht="15" hidden="false" customHeight="false" outlineLevel="0" collapsed="false">
      <c r="A354" s="1" t="s">
        <v>361</v>
      </c>
      <c r="B354" s="5" t="n">
        <v>27.2146</v>
      </c>
      <c r="C354" s="5" t="n">
        <v>11.8316</v>
      </c>
      <c r="D354" s="1" t="n">
        <f aca="false">LN(B354/B353)</f>
        <v>-0.00528098300442253</v>
      </c>
      <c r="E354" s="1" t="n">
        <f aca="false">LN(C354/C353)</f>
        <v>2.5356148233409E-005</v>
      </c>
      <c r="F354" s="1" t="n">
        <f aca="false">B354/B353-1</f>
        <v>-0.00526706312799941</v>
      </c>
      <c r="G354" s="1" t="n">
        <f aca="false">C354/C353-1</f>
        <v>2.53564697032527E-005</v>
      </c>
    </row>
    <row r="355" customFormat="false" ht="15" hidden="false" customHeight="false" outlineLevel="0" collapsed="false">
      <c r="A355" s="1" t="s">
        <v>362</v>
      </c>
      <c r="B355" s="5" t="n">
        <v>27.0041</v>
      </c>
      <c r="C355" s="5" t="n">
        <v>11.8325</v>
      </c>
      <c r="D355" s="1" t="n">
        <f aca="false">LN(B355/B354)</f>
        <v>-0.00776488767333321</v>
      </c>
      <c r="E355" s="1" t="n">
        <f aca="false">LN(C355/C354)</f>
        <v>7.60645873227898E-005</v>
      </c>
      <c r="F355" s="1" t="n">
        <f aca="false">B355/B354-1</f>
        <v>-0.00773481881049143</v>
      </c>
      <c r="G355" s="1" t="n">
        <f aca="false">C355/C354-1</f>
        <v>7.60674803068628E-005</v>
      </c>
    </row>
    <row r="356" customFormat="false" ht="15" hidden="false" customHeight="false" outlineLevel="0" collapsed="false">
      <c r="A356" s="1" t="s">
        <v>363</v>
      </c>
      <c r="B356" s="5" t="n">
        <v>27.138</v>
      </c>
      <c r="C356" s="5" t="n">
        <v>11.8328</v>
      </c>
      <c r="D356" s="1" t="n">
        <f aca="false">LN(B356/B355)</f>
        <v>0.00494625339590554</v>
      </c>
      <c r="E356" s="1" t="n">
        <f aca="false">LN(C356/C355)</f>
        <v>2.5353576757185E-005</v>
      </c>
      <c r="F356" s="1" t="n">
        <f aca="false">B356/B355-1</f>
        <v>0.00495850630089501</v>
      </c>
      <c r="G356" s="1" t="n">
        <f aca="false">C356/C355-1</f>
        <v>2.53538981618284E-005</v>
      </c>
    </row>
    <row r="357" customFormat="false" ht="15" hidden="false" customHeight="false" outlineLevel="0" collapsed="false">
      <c r="A357" s="1" t="s">
        <v>364</v>
      </c>
      <c r="B357" s="5" t="n">
        <v>27.2724</v>
      </c>
      <c r="C357" s="5" t="n">
        <v>11.8329</v>
      </c>
      <c r="D357" s="1" t="n">
        <f aca="false">LN(B357/B356)</f>
        <v>0.00494024206206871</v>
      </c>
      <c r="E357" s="1" t="n">
        <f aca="false">LN(C357/C356)</f>
        <v>8.45104940904675E-006</v>
      </c>
      <c r="F357" s="1" t="n">
        <f aca="false">B357/B356-1</f>
        <v>0.00495246517797909</v>
      </c>
      <c r="G357" s="1" t="n">
        <f aca="false">C357/C356-1</f>
        <v>8.4510851192654E-006</v>
      </c>
    </row>
    <row r="358" customFormat="false" ht="15" hidden="false" customHeight="false" outlineLevel="0" collapsed="false">
      <c r="A358" s="1" t="s">
        <v>365</v>
      </c>
      <c r="B358" s="5" t="n">
        <v>26.7293</v>
      </c>
      <c r="C358" s="5" t="n">
        <v>11.8333</v>
      </c>
      <c r="D358" s="1" t="n">
        <f aca="false">LN(B358/B357)</f>
        <v>-0.0201148597818745</v>
      </c>
      <c r="E358" s="1" t="n">
        <f aca="false">LN(C358/C357)</f>
        <v>3.38034834520647E-005</v>
      </c>
      <c r="F358" s="1" t="n">
        <f aca="false">B358/B357-1</f>
        <v>-0.0199139056335343</v>
      </c>
      <c r="G358" s="1" t="n">
        <f aca="false">C358/C357-1</f>
        <v>3.38040547962493E-005</v>
      </c>
    </row>
    <row r="359" customFormat="false" ht="15" hidden="false" customHeight="false" outlineLevel="0" collapsed="false">
      <c r="A359" s="1" t="s">
        <v>366</v>
      </c>
      <c r="B359" s="5" t="n">
        <v>26.937</v>
      </c>
      <c r="C359" s="5" t="n">
        <v>11.8335</v>
      </c>
      <c r="D359" s="1" t="n">
        <f aca="false">LN(B359/B358)</f>
        <v>0.0077404642028259</v>
      </c>
      <c r="E359" s="1" t="n">
        <f aca="false">LN(C359/C358)</f>
        <v>1.69013132324816E-005</v>
      </c>
      <c r="F359" s="1" t="n">
        <f aca="false">B359/B358-1</f>
        <v>0.00777049904037908</v>
      </c>
      <c r="G359" s="1" t="n">
        <f aca="false">C359/C358-1</f>
        <v>1.69014560604808E-005</v>
      </c>
    </row>
    <row r="360" customFormat="false" ht="15" hidden="false" customHeight="false" outlineLevel="0" collapsed="false">
      <c r="A360" s="1" t="s">
        <v>367</v>
      </c>
      <c r="B360" s="5" t="n">
        <v>26.9645</v>
      </c>
      <c r="C360" s="5" t="n">
        <v>11.8346</v>
      </c>
      <c r="D360" s="1" t="n">
        <f aca="false">LN(B360/B359)</f>
        <v>0.00102037985532964</v>
      </c>
      <c r="E360" s="1" t="n">
        <f aca="false">LN(C360/C359)</f>
        <v>9.29521170512837E-005</v>
      </c>
      <c r="F360" s="1" t="n">
        <f aca="false">B360/B359-1</f>
        <v>0.00102090061996507</v>
      </c>
      <c r="G360" s="1" t="n">
        <f aca="false">C360/C359-1</f>
        <v>9.29564372331715E-005</v>
      </c>
    </row>
    <row r="361" customFormat="false" ht="15" hidden="false" customHeight="false" outlineLevel="0" collapsed="false">
      <c r="A361" s="1" t="s">
        <v>368</v>
      </c>
      <c r="B361" s="5" t="n">
        <v>27.1602</v>
      </c>
      <c r="C361" s="5" t="n">
        <v>11.8351</v>
      </c>
      <c r="D361" s="1" t="n">
        <f aca="false">LN(B361/B360)</f>
        <v>0.00723148037152238</v>
      </c>
      <c r="E361" s="1" t="n">
        <f aca="false">LN(C361/C360)</f>
        <v>4.22481062350599E-005</v>
      </c>
      <c r="F361" s="1" t="n">
        <f aca="false">B361/B360-1</f>
        <v>0.00725769066735893</v>
      </c>
      <c r="G361" s="1" t="n">
        <f aca="false">C361/C360-1</f>
        <v>4.22489986988683E-005</v>
      </c>
    </row>
    <row r="362" customFormat="false" ht="15" hidden="false" customHeight="false" outlineLevel="0" collapsed="false">
      <c r="A362" s="1" t="s">
        <v>369</v>
      </c>
      <c r="B362" s="5" t="n">
        <v>27</v>
      </c>
      <c r="C362" s="5" t="n">
        <v>11.8354</v>
      </c>
      <c r="D362" s="1" t="n">
        <f aca="false">LN(B362/B361)</f>
        <v>-0.00591580042930425</v>
      </c>
      <c r="E362" s="1" t="n">
        <f aca="false">LN(C362/C361)</f>
        <v>2.53480070142747E-005</v>
      </c>
      <c r="F362" s="1" t="n">
        <f aca="false">B362/B361-1</f>
        <v>-0.00589833653654981</v>
      </c>
      <c r="G362" s="1" t="n">
        <f aca="false">C362/C361-1</f>
        <v>2.53483282777189E-005</v>
      </c>
    </row>
    <row r="363" customFormat="false" ht="15" hidden="false" customHeight="false" outlineLevel="0" collapsed="false">
      <c r="A363" s="1" t="s">
        <v>370</v>
      </c>
      <c r="B363" s="5" t="n">
        <v>27.3305</v>
      </c>
      <c r="C363" s="5" t="n">
        <v>11.8359</v>
      </c>
      <c r="D363" s="1" t="n">
        <f aca="false">LN(B363/B362)</f>
        <v>0.0121664286823116</v>
      </c>
      <c r="E363" s="1" t="n">
        <f aca="false">LN(C363/C362)</f>
        <v>4.2245250584085E-005</v>
      </c>
      <c r="F363" s="1" t="n">
        <f aca="false">B363/B362-1</f>
        <v>0.0122407407407408</v>
      </c>
      <c r="G363" s="1" t="n">
        <f aca="false">C363/C362-1</f>
        <v>4.22461429272492E-005</v>
      </c>
    </row>
    <row r="364" customFormat="false" ht="15" hidden="false" customHeight="false" outlineLevel="0" collapsed="false">
      <c r="A364" s="1" t="s">
        <v>371</v>
      </c>
      <c r="B364" s="5" t="n">
        <v>26.7147</v>
      </c>
      <c r="C364" s="5" t="n">
        <v>11.8361</v>
      </c>
      <c r="D364" s="1" t="n">
        <f aca="false">LN(B364/B363)</f>
        <v>-0.0227893189862251</v>
      </c>
      <c r="E364" s="1" t="n">
        <f aca="false">LN(C364/C363)</f>
        <v>1.68976005411205E-005</v>
      </c>
      <c r="F364" s="1" t="n">
        <f aca="false">B364/B363-1</f>
        <v>-0.0225316038857687</v>
      </c>
      <c r="G364" s="1" t="n">
        <f aca="false">C364/C363-1</f>
        <v>1.68977433063766E-005</v>
      </c>
    </row>
    <row r="365" customFormat="false" ht="15" hidden="false" customHeight="false" outlineLevel="0" collapsed="false">
      <c r="A365" s="1" t="s">
        <v>372</v>
      </c>
      <c r="B365" s="5" t="n">
        <v>26.8527</v>
      </c>
      <c r="C365" s="5" t="n">
        <v>11.8367</v>
      </c>
      <c r="D365" s="1" t="n">
        <f aca="false">LN(B365/B364)</f>
        <v>0.00515239885799286</v>
      </c>
      <c r="E365" s="1" t="n">
        <f aca="false">LN(C365/C364)</f>
        <v>5.06910885176134E-005</v>
      </c>
      <c r="F365" s="1" t="n">
        <f aca="false">B365/B364-1</f>
        <v>0.00516569529135635</v>
      </c>
      <c r="G365" s="1" t="n">
        <f aca="false">C365/C364-1</f>
        <v>5.06923733325504E-005</v>
      </c>
    </row>
    <row r="366" customFormat="false" ht="15" hidden="false" customHeight="false" outlineLevel="0" collapsed="false">
      <c r="A366" s="1" t="s">
        <v>373</v>
      </c>
      <c r="B366" s="5" t="n">
        <v>27.0761</v>
      </c>
      <c r="C366" s="5" t="n">
        <v>11.8371</v>
      </c>
      <c r="D366" s="1" t="n">
        <f aca="false">LN(B366/B365)</f>
        <v>0.00828504538885885</v>
      </c>
      <c r="E366" s="1" t="n">
        <f aca="false">LN(C366/C365)</f>
        <v>3.37926315197858E-005</v>
      </c>
      <c r="F366" s="1" t="n">
        <f aca="false">B366/B365-1</f>
        <v>0.00831946135770334</v>
      </c>
      <c r="G366" s="1" t="n">
        <f aca="false">C366/C365-1</f>
        <v>3.37932024971899E-005</v>
      </c>
    </row>
    <row r="367" customFormat="false" ht="15" hidden="false" customHeight="false" outlineLevel="0" collapsed="false">
      <c r="A367" s="1" t="s">
        <v>374</v>
      </c>
      <c r="B367" s="5" t="n">
        <v>27.1968</v>
      </c>
      <c r="C367" s="5" t="n">
        <v>11.8376</v>
      </c>
      <c r="D367" s="1" t="n">
        <f aca="false">LN(B367/B366)</f>
        <v>0.00444789937490269</v>
      </c>
      <c r="E367" s="1" t="n">
        <f aca="false">LN(C367/C366)</f>
        <v>4.22391836074347E-005</v>
      </c>
      <c r="F367" s="1" t="n">
        <f aca="false">B367/B366-1</f>
        <v>0.0044578059617153</v>
      </c>
      <c r="G367" s="1" t="n">
        <f aca="false">C367/C366-1</f>
        <v>4.22400756943109E-005</v>
      </c>
    </row>
    <row r="368" customFormat="false" ht="15" hidden="false" customHeight="false" outlineLevel="0" collapsed="false">
      <c r="A368" s="1" t="s">
        <v>375</v>
      </c>
      <c r="B368" s="5" t="n">
        <v>27.2383</v>
      </c>
      <c r="C368" s="5" t="n">
        <v>11.8381</v>
      </c>
      <c r="D368" s="1" t="n">
        <f aca="false">LN(B368/B367)</f>
        <v>0.00152475178846612</v>
      </c>
      <c r="E368" s="1" t="n">
        <f aca="false">LN(C368/C367)</f>
        <v>4.22373995341858E-005</v>
      </c>
      <c r="F368" s="1" t="n">
        <f aca="false">B368/B367-1</f>
        <v>0.00152591481350739</v>
      </c>
      <c r="G368" s="1" t="n">
        <f aca="false">C368/C367-1</f>
        <v>4.22382915457042E-005</v>
      </c>
    </row>
    <row r="369" customFormat="false" ht="15" hidden="false" customHeight="false" outlineLevel="0" collapsed="false">
      <c r="A369" s="1" t="s">
        <v>376</v>
      </c>
      <c r="B369" s="5" t="n">
        <v>27.4735</v>
      </c>
      <c r="C369" s="5" t="n">
        <v>11.8394</v>
      </c>
      <c r="D369" s="1" t="n">
        <f aca="false">LN(B369/B368)</f>
        <v>0.0085978326022406</v>
      </c>
      <c r="E369" s="1" t="n">
        <f aca="false">LN(C369/C368)</f>
        <v>0.000109808890407027</v>
      </c>
      <c r="F369" s="1" t="n">
        <f aca="false">B369/B368-1</f>
        <v>0.00863490012225432</v>
      </c>
      <c r="G369" s="1" t="n">
        <f aca="false">C369/C368-1</f>
        <v>0.000109814919623918</v>
      </c>
    </row>
    <row r="370" customFormat="false" ht="15" hidden="false" customHeight="false" outlineLevel="0" collapsed="false">
      <c r="A370" s="1" t="s">
        <v>377</v>
      </c>
      <c r="B370" s="5" t="n">
        <v>27.32</v>
      </c>
      <c r="C370" s="5" t="n">
        <v>11.8396</v>
      </c>
      <c r="D370" s="1" t="n">
        <f aca="false">LN(B370/B369)</f>
        <v>-0.00560286901028754</v>
      </c>
      <c r="E370" s="1" t="n">
        <f aca="false">LN(C370/C369)</f>
        <v>1.68926052625048E-005</v>
      </c>
      <c r="F370" s="1" t="n">
        <f aca="false">B370/B369-1</f>
        <v>-0.00558720221304165</v>
      </c>
      <c r="G370" s="1" t="n">
        <f aca="false">C370/C369-1</f>
        <v>1.68927479433645E-005</v>
      </c>
    </row>
    <row r="371" customFormat="false" ht="15" hidden="false" customHeight="false" outlineLevel="0" collapsed="false">
      <c r="A371" s="1" t="s">
        <v>378</v>
      </c>
      <c r="B371" s="5" t="n">
        <v>27.3249</v>
      </c>
      <c r="C371" s="5" t="n">
        <v>11.8399</v>
      </c>
      <c r="D371" s="1" t="n">
        <f aca="false">LN(B371/B370)</f>
        <v>0.000179339700983406</v>
      </c>
      <c r="E371" s="1" t="n">
        <f aca="false">LN(C371/C370)</f>
        <v>2.5338372855385E-005</v>
      </c>
      <c r="F371" s="1" t="n">
        <f aca="false">B371/B370-1</f>
        <v>0.000179355783308965</v>
      </c>
      <c r="G371" s="1" t="n">
        <f aca="false">C371/C370-1</f>
        <v>2.53386938746658E-005</v>
      </c>
    </row>
    <row r="372" customFormat="false" ht="15" hidden="false" customHeight="false" outlineLevel="0" collapsed="false">
      <c r="A372" s="1" t="s">
        <v>379</v>
      </c>
      <c r="B372" s="5" t="n">
        <v>27.3755</v>
      </c>
      <c r="C372" s="5" t="n">
        <v>11.84</v>
      </c>
      <c r="D372" s="1" t="n">
        <f aca="false">LN(B372/B371)</f>
        <v>0.00185007840647476</v>
      </c>
      <c r="E372" s="1" t="n">
        <f aca="false">LN(C372/C371)</f>
        <v>8.44598161304702E-006</v>
      </c>
      <c r="F372" s="1" t="n">
        <f aca="false">B372/B371-1</f>
        <v>0.00185179085742315</v>
      </c>
      <c r="G372" s="1" t="n">
        <f aca="false">C372/C371-1</f>
        <v>8.44601728045014E-006</v>
      </c>
    </row>
    <row r="373" customFormat="false" ht="15" hidden="false" customHeight="false" outlineLevel="0" collapsed="false">
      <c r="A373" s="1" t="s">
        <v>380</v>
      </c>
      <c r="B373" s="5" t="n">
        <v>27.3867</v>
      </c>
      <c r="C373" s="5" t="n">
        <v>11.8403</v>
      </c>
      <c r="D373" s="1" t="n">
        <f aca="false">LN(B373/B372)</f>
        <v>0.000409041278698123</v>
      </c>
      <c r="E373" s="1" t="n">
        <f aca="false">LN(C373/C372)</f>
        <v>2.53375168402779E-005</v>
      </c>
      <c r="F373" s="1" t="n">
        <f aca="false">B373/B372-1</f>
        <v>0.00040912494748957</v>
      </c>
      <c r="G373" s="1" t="n">
        <f aca="false">C373/C372-1</f>
        <v>2.53378378378688E-005</v>
      </c>
    </row>
    <row r="374" customFormat="false" ht="15" hidden="false" customHeight="false" outlineLevel="0" collapsed="false">
      <c r="A374" s="1" t="s">
        <v>381</v>
      </c>
      <c r="B374" s="5" t="n">
        <v>27.6828</v>
      </c>
      <c r="C374" s="5" t="n">
        <v>11.8413</v>
      </c>
      <c r="D374" s="1" t="n">
        <f aca="false">LN(B374/B373)</f>
        <v>0.0107537876141574</v>
      </c>
      <c r="E374" s="1" t="n">
        <f aca="false">LN(C374/C373)</f>
        <v>8.44537531751942E-005</v>
      </c>
      <c r="F374" s="1" t="n">
        <f aca="false">B374/B373-1</f>
        <v>0.0108118174150227</v>
      </c>
      <c r="G374" s="1" t="n">
        <f aca="false">C374/C373-1</f>
        <v>8.44573194938025E-005</v>
      </c>
    </row>
    <row r="375" customFormat="false" ht="15" hidden="false" customHeight="false" outlineLevel="0" collapsed="false">
      <c r="A375" s="1" t="s">
        <v>382</v>
      </c>
      <c r="B375" s="5" t="n">
        <v>27.8271</v>
      </c>
      <c r="C375" s="5" t="n">
        <v>11.8416</v>
      </c>
      <c r="D375" s="1" t="n">
        <f aca="false">LN(B375/B374)</f>
        <v>0.00519908430897367</v>
      </c>
      <c r="E375" s="1" t="n">
        <f aca="false">LN(C375/C374)</f>
        <v>2.53347351899014E-005</v>
      </c>
      <c r="F375" s="1" t="n">
        <f aca="false">B375/B374-1</f>
        <v>0.00521262300056358</v>
      </c>
      <c r="G375" s="1" t="n">
        <f aca="false">C375/C374-1</f>
        <v>2.53350561170151E-005</v>
      </c>
    </row>
    <row r="376" customFormat="false" ht="15" hidden="false" customHeight="false" outlineLevel="0" collapsed="false">
      <c r="A376" s="1" t="s">
        <v>383</v>
      </c>
      <c r="B376" s="5" t="n">
        <v>27.9245</v>
      </c>
      <c r="C376" s="5" t="n">
        <v>11.8418</v>
      </c>
      <c r="D376" s="1" t="n">
        <f aca="false">LN(B376/B375)</f>
        <v>0.0034940736801353</v>
      </c>
      <c r="E376" s="1" t="n">
        <f aca="false">LN(C376/C375)</f>
        <v>1.68894668844451E-005</v>
      </c>
      <c r="F376" s="1" t="n">
        <f aca="false">B376/B375-1</f>
        <v>0.00350018507138716</v>
      </c>
      <c r="G376" s="1" t="n">
        <f aca="false">C376/C375-1</f>
        <v>1.68896095122939E-005</v>
      </c>
    </row>
    <row r="377" customFormat="false" ht="15" hidden="false" customHeight="false" outlineLevel="0" collapsed="false">
      <c r="A377" s="1" t="s">
        <v>384</v>
      </c>
      <c r="B377" s="5" t="n">
        <v>28.1744</v>
      </c>
      <c r="C377" s="5" t="n">
        <v>11.8421</v>
      </c>
      <c r="D377" s="1" t="n">
        <f aca="false">LN(B377/B376)</f>
        <v>0.00890932453236469</v>
      </c>
      <c r="E377" s="1" t="n">
        <f aca="false">LN(C377/C376)</f>
        <v>2.53336654873636E-005</v>
      </c>
      <c r="F377" s="1" t="n">
        <f aca="false">B377/B376-1</f>
        <v>0.00894913069168646</v>
      </c>
      <c r="G377" s="1" t="n">
        <f aca="false">C377/C376-1</f>
        <v>2.53339863873769E-005</v>
      </c>
    </row>
    <row r="378" customFormat="false" ht="15" hidden="false" customHeight="false" outlineLevel="0" collapsed="false">
      <c r="A378" s="1" t="s">
        <v>385</v>
      </c>
      <c r="B378" s="5" t="n">
        <v>28.1805</v>
      </c>
      <c r="C378" s="5" t="n">
        <v>11.8422</v>
      </c>
      <c r="D378" s="1" t="n">
        <f aca="false">LN(B378/B377)</f>
        <v>0.000216485168949805</v>
      </c>
      <c r="E378" s="1" t="n">
        <f aca="false">LN(C378/C377)</f>
        <v>8.44441254343453E-006</v>
      </c>
      <c r="F378" s="1" t="n">
        <f aca="false">B378/B377-1</f>
        <v>0.000216508603555043</v>
      </c>
      <c r="G378" s="1" t="n">
        <f aca="false">C378/C377-1</f>
        <v>8.4444481975865E-006</v>
      </c>
    </row>
    <row r="379" customFormat="false" ht="15" hidden="false" customHeight="false" outlineLevel="0" collapsed="false">
      <c r="A379" s="1" t="s">
        <v>386</v>
      </c>
      <c r="B379" s="5" t="n">
        <v>28.6471</v>
      </c>
      <c r="C379" s="5" t="n">
        <v>11.8438</v>
      </c>
      <c r="D379" s="1" t="n">
        <f aca="false">LN(B379/B378)</f>
        <v>0.0164219670036775</v>
      </c>
      <c r="E379" s="1" t="n">
        <f aca="false">LN(C379/C378)</f>
        <v>0.000135100903692837</v>
      </c>
      <c r="F379" s="1" t="n">
        <f aca="false">B379/B378-1</f>
        <v>0.016557548659534</v>
      </c>
      <c r="G379" s="1" t="n">
        <f aca="false">C379/C378-1</f>
        <v>0.000135110030230923</v>
      </c>
    </row>
    <row r="380" customFormat="false" ht="15" hidden="false" customHeight="false" outlineLevel="0" collapsed="false">
      <c r="A380" s="1" t="s">
        <v>387</v>
      </c>
      <c r="B380" s="5" t="n">
        <v>28.5007</v>
      </c>
      <c r="C380" s="5" t="n">
        <v>11.8441</v>
      </c>
      <c r="D380" s="1" t="n">
        <f aca="false">LN(B380/B379)</f>
        <v>-0.00512356802051668</v>
      </c>
      <c r="E380" s="1" t="n">
        <f aca="false">LN(C380/C379)</f>
        <v>2.53293875789012E-005</v>
      </c>
      <c r="F380" s="1" t="n">
        <f aca="false">B380/B379-1</f>
        <v>-0.00511046493362333</v>
      </c>
      <c r="G380" s="1" t="n">
        <f aca="false">C380/C379-1</f>
        <v>2.53297083705473E-005</v>
      </c>
    </row>
    <row r="381" customFormat="false" ht="15" hidden="false" customHeight="false" outlineLevel="0" collapsed="false">
      <c r="A381" s="1" t="s">
        <v>388</v>
      </c>
      <c r="B381" s="5" t="n">
        <v>28.6508</v>
      </c>
      <c r="C381" s="5" t="n">
        <v>11.8444</v>
      </c>
      <c r="D381" s="1" t="n">
        <f aca="false">LN(B381/B380)</f>
        <v>0.005252717605585</v>
      </c>
      <c r="E381" s="1" t="n">
        <f aca="false">LN(C381/C380)</f>
        <v>2.53287460174717E-005</v>
      </c>
      <c r="F381" s="1" t="n">
        <f aca="false">B381/B380-1</f>
        <v>0.00526653731311866</v>
      </c>
      <c r="G381" s="1" t="n">
        <f aca="false">C381/C380-1</f>
        <v>2.53290667928674E-005</v>
      </c>
    </row>
    <row r="382" customFormat="false" ht="15" hidden="false" customHeight="false" outlineLevel="0" collapsed="false">
      <c r="A382" s="1" t="s">
        <v>389</v>
      </c>
      <c r="B382" s="5" t="n">
        <v>28.6681</v>
      </c>
      <c r="C382" s="5" t="n">
        <v>11.8453</v>
      </c>
      <c r="D382" s="1" t="n">
        <f aca="false">LN(B382/B381)</f>
        <v>0.00060364035336733</v>
      </c>
      <c r="E382" s="1" t="n">
        <f aca="false">LN(C382/C381)</f>
        <v>7.59823890073191E-005</v>
      </c>
      <c r="F382" s="1" t="n">
        <f aca="false">B382/B381-1</f>
        <v>0.000603822580870217</v>
      </c>
      <c r="G382" s="1" t="n">
        <f aca="false">C382/C381-1</f>
        <v>7.5985275742152E-005</v>
      </c>
    </row>
    <row r="383" customFormat="false" ht="15" hidden="false" customHeight="false" outlineLevel="0" collapsed="false">
      <c r="A383" s="1" t="s">
        <v>390</v>
      </c>
      <c r="B383" s="5" t="n">
        <v>28.4576</v>
      </c>
      <c r="C383" s="5" t="n">
        <v>11.8457</v>
      </c>
      <c r="D383" s="1" t="n">
        <f aca="false">LN(B383/B382)</f>
        <v>-0.00736974611225581</v>
      </c>
      <c r="E383" s="1" t="n">
        <f aca="false">LN(C383/C382)</f>
        <v>3.37680975930042E-005</v>
      </c>
      <c r="F383" s="1" t="n">
        <f aca="false">B383/B382-1</f>
        <v>-0.00734265612300777</v>
      </c>
      <c r="G383" s="1" t="n">
        <f aca="false">C383/C382-1</f>
        <v>3.37686677416293E-005</v>
      </c>
    </row>
    <row r="384" customFormat="false" ht="15" hidden="false" customHeight="false" outlineLevel="0" collapsed="false">
      <c r="A384" s="1" t="s">
        <v>391</v>
      </c>
      <c r="B384" s="5" t="n">
        <v>28.6808</v>
      </c>
      <c r="C384" s="5" t="n">
        <v>11.8461</v>
      </c>
      <c r="D384" s="1" t="n">
        <f aca="false">LN(B384/B383)</f>
        <v>0.00781264912199485</v>
      </c>
      <c r="E384" s="1" t="n">
        <f aca="false">LN(C384/C383)</f>
        <v>3.37669573469747E-005</v>
      </c>
      <c r="F384" s="1" t="n">
        <f aca="false">B384/B383-1</f>
        <v>0.00784324749803234</v>
      </c>
      <c r="G384" s="1" t="n">
        <f aca="false">C384/C383-1</f>
        <v>3.37675274570959E-005</v>
      </c>
    </row>
    <row r="385" customFormat="false" ht="15" hidden="false" customHeight="false" outlineLevel="0" collapsed="false">
      <c r="A385" s="1" t="s">
        <v>392</v>
      </c>
      <c r="B385" s="5" t="n">
        <v>28.8986</v>
      </c>
      <c r="C385" s="5" t="n">
        <v>11.8465</v>
      </c>
      <c r="D385" s="1" t="n">
        <f aca="false">LN(B385/B384)</f>
        <v>0.00756524169323788</v>
      </c>
      <c r="E385" s="1" t="n">
        <f aca="false">LN(C385/C384)</f>
        <v>3.37658171782128E-005</v>
      </c>
      <c r="F385" s="1" t="n">
        <f aca="false">B385/B384-1</f>
        <v>0.00759393043429735</v>
      </c>
      <c r="G385" s="1" t="n">
        <f aca="false">C385/C384-1</f>
        <v>3.37663872498339E-005</v>
      </c>
    </row>
    <row r="386" customFormat="false" ht="15" hidden="false" customHeight="false" outlineLevel="0" collapsed="false">
      <c r="A386" s="1" t="s">
        <v>393</v>
      </c>
      <c r="B386" s="5" t="n">
        <v>28.8152</v>
      </c>
      <c r="C386" s="5" t="n">
        <v>11.8467</v>
      </c>
      <c r="D386" s="1" t="n">
        <f aca="false">LN(B386/B385)</f>
        <v>-0.00289012534444514</v>
      </c>
      <c r="E386" s="1" t="n">
        <f aca="false">LN(C386/C385)</f>
        <v>1.68824810497035E-005</v>
      </c>
      <c r="F386" s="1" t="n">
        <f aca="false">B386/B385-1</f>
        <v>-0.00288595295273808</v>
      </c>
      <c r="G386" s="1" t="n">
        <f aca="false">C386/C385-1</f>
        <v>1.68826235595887E-005</v>
      </c>
    </row>
    <row r="387" customFormat="false" ht="15" hidden="false" customHeight="false" outlineLevel="0" collapsed="false">
      <c r="A387" s="1" t="s">
        <v>394</v>
      </c>
      <c r="B387" s="5" t="n">
        <v>28.5718</v>
      </c>
      <c r="C387" s="5" t="n">
        <v>11.8479</v>
      </c>
      <c r="D387" s="1" t="n">
        <f aca="false">LN(B387/B386)</f>
        <v>-0.00848280828574726</v>
      </c>
      <c r="E387" s="1" t="n">
        <f aca="false">LN(C387/C386)</f>
        <v>0.000101288901355065</v>
      </c>
      <c r="F387" s="1" t="n">
        <f aca="false">B387/B386-1</f>
        <v>-0.00844693078652936</v>
      </c>
      <c r="G387" s="1" t="n">
        <f aca="false">C387/C386-1</f>
        <v>0.000101294031249033</v>
      </c>
    </row>
    <row r="388" customFormat="false" ht="15" hidden="false" customHeight="false" outlineLevel="0" collapsed="false">
      <c r="A388" s="1" t="s">
        <v>395</v>
      </c>
      <c r="B388" s="5" t="n">
        <v>28.2523</v>
      </c>
      <c r="C388" s="5" t="n">
        <v>11.8482</v>
      </c>
      <c r="D388" s="1" t="n">
        <f aca="false">LN(B388/B387)</f>
        <v>-0.0112453472006674</v>
      </c>
      <c r="E388" s="1" t="n">
        <f aca="false">LN(C388/C387)</f>
        <v>2.53206223822695E-005</v>
      </c>
      <c r="F388" s="1" t="n">
        <f aca="false">B388/B387-1</f>
        <v>-0.0111823546293898</v>
      </c>
      <c r="G388" s="1" t="n">
        <f aca="false">C388/C387-1</f>
        <v>2.53209429519341E-005</v>
      </c>
    </row>
    <row r="389" customFormat="false" ht="15" hidden="false" customHeight="false" outlineLevel="0" collapsed="false">
      <c r="A389" s="1" t="s">
        <v>396</v>
      </c>
      <c r="B389" s="5" t="n">
        <v>28.4739</v>
      </c>
      <c r="C389" s="5" t="n">
        <v>11.8486</v>
      </c>
      <c r="D389" s="1" t="n">
        <f aca="false">LN(B389/B388)</f>
        <v>0.00781300800199271</v>
      </c>
      <c r="E389" s="1" t="n">
        <f aca="false">LN(C389/C388)</f>
        <v>3.37598325543059E-005</v>
      </c>
      <c r="F389" s="1" t="n">
        <f aca="false">B389/B388-1</f>
        <v>0.00784360919287974</v>
      </c>
      <c r="G389" s="1" t="n">
        <f aca="false">C389/C388-1</f>
        <v>3.37604024238658E-005</v>
      </c>
    </row>
    <row r="390" customFormat="false" ht="15" hidden="false" customHeight="false" outlineLevel="0" collapsed="false">
      <c r="A390" s="1" t="s">
        <v>397</v>
      </c>
      <c r="B390" s="5" t="n">
        <v>28.491</v>
      </c>
      <c r="C390" s="5" t="n">
        <v>11.849</v>
      </c>
      <c r="D390" s="1" t="n">
        <f aca="false">LN(B390/B389)</f>
        <v>0.000600369719375622</v>
      </c>
      <c r="E390" s="1" t="n">
        <f aca="false">LN(C390/C389)</f>
        <v>3.37586928666903E-005</v>
      </c>
      <c r="F390" s="1" t="n">
        <f aca="false">B390/B389-1</f>
        <v>0.000600549977347598</v>
      </c>
      <c r="G390" s="1" t="n">
        <f aca="false">C390/C389-1</f>
        <v>3.37592626977745E-005</v>
      </c>
    </row>
    <row r="391" customFormat="false" ht="15" hidden="false" customHeight="false" outlineLevel="0" collapsed="false">
      <c r="A391" s="1" t="s">
        <v>398</v>
      </c>
      <c r="B391" s="5" t="n">
        <v>28.7603</v>
      </c>
      <c r="C391" s="5" t="n">
        <v>11.8494</v>
      </c>
      <c r="D391" s="1" t="n">
        <f aca="false">LN(B391/B390)</f>
        <v>0.00940771602389775</v>
      </c>
      <c r="E391" s="1" t="n">
        <f aca="false">LN(C391/C390)</f>
        <v>3.37575532556761E-005</v>
      </c>
      <c r="F391" s="1" t="n">
        <f aca="false">B391/B390-1</f>
        <v>0.00945210768312799</v>
      </c>
      <c r="G391" s="1" t="n">
        <f aca="false">C391/C390-1</f>
        <v>3.37581230482886E-005</v>
      </c>
    </row>
    <row r="392" customFormat="false" ht="15" hidden="false" customHeight="false" outlineLevel="0" collapsed="false">
      <c r="A392" s="1" t="s">
        <v>399</v>
      </c>
      <c r="B392" s="5" t="n">
        <v>29.3931</v>
      </c>
      <c r="C392" s="5" t="n">
        <v>11.8503</v>
      </c>
      <c r="D392" s="1" t="n">
        <f aca="false">LN(B392/B391)</f>
        <v>0.0217639889693441</v>
      </c>
      <c r="E392" s="1" t="n">
        <f aca="false">LN(C392/C391)</f>
        <v>7.59503285217231E-005</v>
      </c>
      <c r="F392" s="1" t="n">
        <f aca="false">B392/B391-1</f>
        <v>0.0220025521291503</v>
      </c>
      <c r="G392" s="1" t="n">
        <f aca="false">C392/C391-1</f>
        <v>7.5953212820945E-005</v>
      </c>
    </row>
    <row r="393" customFormat="false" ht="15" hidden="false" customHeight="false" outlineLevel="0" collapsed="false">
      <c r="A393" s="1" t="s">
        <v>400</v>
      </c>
      <c r="B393" s="5" t="n">
        <v>29.4886</v>
      </c>
      <c r="C393" s="5" t="n">
        <v>11.8505</v>
      </c>
      <c r="D393" s="1" t="n">
        <f aca="false">LN(B393/B392)</f>
        <v>0.00324379505820017</v>
      </c>
      <c r="E393" s="1" t="n">
        <f aca="false">LN(C393/C392)</f>
        <v>1.6877067441152E-005</v>
      </c>
      <c r="F393" s="1" t="n">
        <f aca="false">B393/B392-1</f>
        <v>0.00324906185465301</v>
      </c>
      <c r="G393" s="1" t="n">
        <f aca="false">C393/C392-1</f>
        <v>1.68772098596559E-005</v>
      </c>
    </row>
    <row r="394" customFormat="false" ht="15" hidden="false" customHeight="false" outlineLevel="0" collapsed="false">
      <c r="A394" s="1" t="s">
        <v>401</v>
      </c>
      <c r="B394" s="5" t="n">
        <v>29.5076</v>
      </c>
      <c r="C394" s="5" t="n">
        <v>11.8508</v>
      </c>
      <c r="D394" s="1" t="n">
        <f aca="false">LN(B394/B393)</f>
        <v>0.000644109303883457</v>
      </c>
      <c r="E394" s="1" t="n">
        <f aca="false">LN(C394/C393)</f>
        <v>2.53150671072359E-005</v>
      </c>
      <c r="F394" s="1" t="n">
        <f aca="false">B394/B393-1</f>
        <v>0.000644316786825971</v>
      </c>
      <c r="G394" s="1" t="n">
        <f aca="false">C394/C393-1</f>
        <v>2.53153875362511E-005</v>
      </c>
    </row>
    <row r="395" customFormat="false" ht="15" hidden="false" customHeight="false" outlineLevel="0" collapsed="false">
      <c r="A395" s="1" t="s">
        <v>402</v>
      </c>
      <c r="B395" s="5" t="n">
        <v>29.6332</v>
      </c>
      <c r="C395" s="5" t="n">
        <v>11.8512</v>
      </c>
      <c r="D395" s="1" t="n">
        <f aca="false">LN(B395/B394)</f>
        <v>0.00424749711980571</v>
      </c>
      <c r="E395" s="1" t="n">
        <f aca="false">LN(C395/C394)</f>
        <v>3.37524259589688E-005</v>
      </c>
      <c r="F395" s="1" t="n">
        <f aca="false">B395/B394-1</f>
        <v>0.00425653052095054</v>
      </c>
      <c r="G395" s="1" t="n">
        <f aca="false">C395/C394-1</f>
        <v>3.37529955785065E-005</v>
      </c>
    </row>
    <row r="396" customFormat="false" ht="15" hidden="false" customHeight="false" outlineLevel="0" collapsed="false">
      <c r="A396" s="1" t="s">
        <v>403</v>
      </c>
      <c r="B396" s="5" t="n">
        <v>29.6381</v>
      </c>
      <c r="C396" s="5" t="n">
        <v>11.8526</v>
      </c>
      <c r="D396" s="1" t="n">
        <f aca="false">LN(B396/B395)</f>
        <v>0.000165341405070111</v>
      </c>
      <c r="E396" s="1" t="n">
        <f aca="false">LN(C396/C395)</f>
        <v>0.000118124520256419</v>
      </c>
      <c r="F396" s="1" t="n">
        <f aca="false">B396/B395-1</f>
        <v>0.000165355074713602</v>
      </c>
      <c r="G396" s="1" t="n">
        <f aca="false">C396/C395-1</f>
        <v>0.000118131497232277</v>
      </c>
    </row>
    <row r="397" customFormat="false" ht="15" hidden="false" customHeight="false" outlineLevel="0" collapsed="false">
      <c r="A397" s="1" t="s">
        <v>404</v>
      </c>
      <c r="B397" s="5" t="n">
        <v>29.4269</v>
      </c>
      <c r="C397" s="5" t="n">
        <v>11.8529</v>
      </c>
      <c r="D397" s="1" t="n">
        <f aca="false">LN(B397/B396)</f>
        <v>-0.00715147380432405</v>
      </c>
      <c r="E397" s="1" t="n">
        <f aca="false">LN(C397/C396)</f>
        <v>2.5310581933739E-005</v>
      </c>
      <c r="F397" s="1" t="n">
        <f aca="false">B397/B396-1</f>
        <v>-0.00712596286536593</v>
      </c>
      <c r="G397" s="1" t="n">
        <f aca="false">C397/C396-1</f>
        <v>2.53109022492204E-005</v>
      </c>
    </row>
    <row r="398" customFormat="false" ht="15" hidden="false" customHeight="false" outlineLevel="0" collapsed="false">
      <c r="A398" s="1" t="s">
        <v>405</v>
      </c>
      <c r="B398" s="5" t="n">
        <v>29.2786</v>
      </c>
      <c r="C398" s="5" t="n">
        <v>11.8531</v>
      </c>
      <c r="D398" s="1" t="n">
        <f aca="false">LN(B398/B397)</f>
        <v>-0.00505234826247757</v>
      </c>
      <c r="E398" s="1" t="n">
        <f aca="false">LN(C398/C397)</f>
        <v>1.68733653930073E-005</v>
      </c>
      <c r="F398" s="1" t="n">
        <f aca="false">B398/B397-1</f>
        <v>-0.00503960661843417</v>
      </c>
      <c r="G398" s="1" t="n">
        <f aca="false">C398/C397-1</f>
        <v>1.68735077490378E-005</v>
      </c>
    </row>
    <row r="399" customFormat="false" ht="15" hidden="false" customHeight="false" outlineLevel="0" collapsed="false">
      <c r="A399" s="1" t="s">
        <v>406</v>
      </c>
      <c r="B399" s="5" t="n">
        <v>29.6071</v>
      </c>
      <c r="C399" s="5" t="n">
        <v>11.8534</v>
      </c>
      <c r="D399" s="1" t="n">
        <f aca="false">LN(B399/B398)</f>
        <v>0.0111573236895774</v>
      </c>
      <c r="E399" s="1" t="n">
        <f aca="false">LN(C399/C398)</f>
        <v>2.53095142697153E-005</v>
      </c>
      <c r="F399" s="1" t="n">
        <f aca="false">B399/B398-1</f>
        <v>0.0112197987608698</v>
      </c>
      <c r="G399" s="1" t="n">
        <f aca="false">C399/C398-1</f>
        <v>2.53098345581737E-005</v>
      </c>
    </row>
    <row r="400" customFormat="false" ht="15" hidden="false" customHeight="false" outlineLevel="0" collapsed="false">
      <c r="A400" s="1" t="s">
        <v>407</v>
      </c>
      <c r="B400" s="5" t="n">
        <v>29.4186</v>
      </c>
      <c r="C400" s="5" t="n">
        <v>11.8536</v>
      </c>
      <c r="D400" s="1" t="n">
        <f aca="false">LN(B400/B399)</f>
        <v>-0.00638707006662331</v>
      </c>
      <c r="E400" s="1" t="n">
        <f aca="false">LN(C400/C399)</f>
        <v>1.68726536470308E-005</v>
      </c>
      <c r="F400" s="1" t="n">
        <f aca="false">B400/B399-1</f>
        <v>-0.00636671609174822</v>
      </c>
      <c r="G400" s="1" t="n">
        <f aca="false">C400/C399-1</f>
        <v>1.6872795991052E-005</v>
      </c>
    </row>
    <row r="401" customFormat="false" ht="15" hidden="false" customHeight="false" outlineLevel="0" collapsed="false">
      <c r="A401" s="1" t="s">
        <v>408</v>
      </c>
      <c r="B401" s="5" t="n">
        <v>29.4746</v>
      </c>
      <c r="C401" s="5" t="n">
        <v>11.8545</v>
      </c>
      <c r="D401" s="1" t="n">
        <f aca="false">LN(B401/B400)</f>
        <v>0.00190174814334017</v>
      </c>
      <c r="E401" s="1" t="n">
        <f aca="false">LN(C401/C400)</f>
        <v>7.59234186148089E-005</v>
      </c>
      <c r="F401" s="1" t="n">
        <f aca="false">B401/B400-1</f>
        <v>0.0019035576132107</v>
      </c>
      <c r="G401" s="1" t="n">
        <f aca="false">C401/C400-1</f>
        <v>7.59263008704991E-005</v>
      </c>
    </row>
    <row r="402" customFormat="false" ht="15" hidden="false" customHeight="false" outlineLevel="0" collapsed="false">
      <c r="A402" s="1" t="s">
        <v>409</v>
      </c>
      <c r="B402" s="5" t="n">
        <v>29.4535</v>
      </c>
      <c r="C402" s="5" t="n">
        <v>11.855</v>
      </c>
      <c r="D402" s="1" t="n">
        <f aca="false">LN(B402/B401)</f>
        <v>-0.000716126971741514</v>
      </c>
      <c r="E402" s="1" t="n">
        <f aca="false">LN(C402/C401)</f>
        <v>4.21771863661446E-005</v>
      </c>
      <c r="F402" s="1" t="n">
        <f aca="false">B402/B401-1</f>
        <v>-0.000715870614020231</v>
      </c>
      <c r="G402" s="1" t="n">
        <f aca="false">C402/C401-1</f>
        <v>4.21780758361745E-005</v>
      </c>
    </row>
    <row r="403" customFormat="false" ht="15" hidden="false" customHeight="false" outlineLevel="0" collapsed="false">
      <c r="A403" s="1" t="s">
        <v>410</v>
      </c>
      <c r="B403" s="5" t="n">
        <v>29.6199</v>
      </c>
      <c r="C403" s="5" t="n">
        <v>11.8553</v>
      </c>
      <c r="D403" s="1" t="n">
        <f aca="false">LN(B403/B402)</f>
        <v>0.0056336841998446</v>
      </c>
      <c r="E403" s="1" t="n">
        <f aca="false">LN(C403/C402)</f>
        <v>2.53054579667156E-005</v>
      </c>
      <c r="F403" s="1" t="n">
        <f aca="false">B403/B402-1</f>
        <v>0.00564958324138054</v>
      </c>
      <c r="G403" s="1" t="n">
        <f aca="false">C403/C402-1</f>
        <v>2.53057781525179E-005</v>
      </c>
    </row>
    <row r="404" customFormat="false" ht="15" hidden="false" customHeight="false" outlineLevel="0" collapsed="false">
      <c r="A404" s="1" t="s">
        <v>411</v>
      </c>
      <c r="B404" s="5" t="n">
        <v>29.5522</v>
      </c>
      <c r="C404" s="5" t="n">
        <v>11.8557</v>
      </c>
      <c r="D404" s="1" t="n">
        <f aca="false">LN(B404/B403)</f>
        <v>-0.00228824157128258</v>
      </c>
      <c r="E404" s="1" t="n">
        <f aca="false">LN(C404/C403)</f>
        <v>3.3739614528185E-005</v>
      </c>
      <c r="F404" s="1" t="n">
        <f aca="false">B404/B403-1</f>
        <v>-0.00228562554228751</v>
      </c>
      <c r="G404" s="1" t="n">
        <f aca="false">C404/C403-1</f>
        <v>3.37401837153806E-005</v>
      </c>
    </row>
    <row r="405" customFormat="false" ht="15" hidden="false" customHeight="false" outlineLevel="0" collapsed="false">
      <c r="A405" s="1" t="s">
        <v>412</v>
      </c>
      <c r="B405" s="5" t="n">
        <v>29.6621</v>
      </c>
      <c r="C405" s="5" t="n">
        <v>11.856</v>
      </c>
      <c r="D405" s="1" t="n">
        <f aca="false">LN(B405/B404)</f>
        <v>0.00371194546548475</v>
      </c>
      <c r="E405" s="1" t="n">
        <f aca="false">LN(C405/C404)</f>
        <v>2.53039638672655E-005</v>
      </c>
      <c r="F405" s="1" t="n">
        <f aca="false">B405/B404-1</f>
        <v>0.00371884326716798</v>
      </c>
      <c r="G405" s="1" t="n">
        <f aca="false">C405/C404-1</f>
        <v>2.53042840152595E-005</v>
      </c>
    </row>
    <row r="406" customFormat="false" ht="15" hidden="false" customHeight="false" outlineLevel="0" collapsed="false">
      <c r="A406" s="1" t="s">
        <v>413</v>
      </c>
      <c r="B406" s="5" t="n">
        <v>29.5211</v>
      </c>
      <c r="C406" s="5" t="n">
        <v>11.8568</v>
      </c>
      <c r="D406" s="1" t="n">
        <f aca="false">LN(B406/B405)</f>
        <v>-0.00476487472026735</v>
      </c>
      <c r="E406" s="1" t="n">
        <f aca="false">LN(C406/C405)</f>
        <v>6.74741068370168E-005</v>
      </c>
      <c r="F406" s="1" t="n">
        <f aca="false">B406/B405-1</f>
        <v>-0.00475354071357048</v>
      </c>
      <c r="G406" s="1" t="n">
        <f aca="false">C406/C405-1</f>
        <v>6.74763832657632E-005</v>
      </c>
    </row>
    <row r="407" customFormat="false" ht="15" hidden="false" customHeight="false" outlineLevel="0" collapsed="false">
      <c r="A407" s="1" t="s">
        <v>414</v>
      </c>
      <c r="B407" s="5" t="n">
        <v>29.5391</v>
      </c>
      <c r="C407" s="5" t="n">
        <v>11.8574</v>
      </c>
      <c r="D407" s="1" t="n">
        <f aca="false">LN(B407/B406)</f>
        <v>0.000609547565274789</v>
      </c>
      <c r="E407" s="1" t="n">
        <f aca="false">LN(C407/C406)</f>
        <v>5.06025925503547E-005</v>
      </c>
      <c r="F407" s="1" t="n">
        <f aca="false">B407/B406-1</f>
        <v>0.000609733377143762</v>
      </c>
      <c r="G407" s="1" t="n">
        <f aca="false">C407/C406-1</f>
        <v>5.06038728831371E-005</v>
      </c>
    </row>
    <row r="408" customFormat="false" ht="15" hidden="false" customHeight="false" outlineLevel="0" collapsed="false">
      <c r="A408" s="1" t="s">
        <v>415</v>
      </c>
      <c r="B408" s="5" t="n">
        <v>29.5978</v>
      </c>
      <c r="C408" s="5" t="n">
        <v>11.8575</v>
      </c>
      <c r="D408" s="1" t="n">
        <f aca="false">LN(B408/B407)</f>
        <v>0.00198522476756922</v>
      </c>
      <c r="E408" s="1" t="n">
        <f aca="false">LN(C408/C407)</f>
        <v>8.43351648118527E-006</v>
      </c>
      <c r="F408" s="1" t="n">
        <f aca="false">B408/B407-1</f>
        <v>0.00198719663090619</v>
      </c>
      <c r="G408" s="1" t="n">
        <f aca="false">C408/C407-1</f>
        <v>8.43355204338536E-006</v>
      </c>
    </row>
    <row r="409" customFormat="false" ht="15" hidden="false" customHeight="false" outlineLevel="0" collapsed="false">
      <c r="A409" s="1" t="s">
        <v>416</v>
      </c>
      <c r="B409" s="5" t="n">
        <v>29.4694</v>
      </c>
      <c r="C409" s="5" t="n">
        <v>11.8578</v>
      </c>
      <c r="D409" s="1" t="n">
        <f aca="false">LN(B409/B408)</f>
        <v>-0.00434759738897693</v>
      </c>
      <c r="E409" s="1" t="n">
        <f aca="false">LN(C409/C408)</f>
        <v>2.53001227069217E-005</v>
      </c>
      <c r="F409" s="1" t="n">
        <f aca="false">B409/B408-1</f>
        <v>-0.00433816026866862</v>
      </c>
      <c r="G409" s="1" t="n">
        <f aca="false">C409/C408-1</f>
        <v>2.53004427577253E-005</v>
      </c>
    </row>
    <row r="410" customFormat="false" ht="15" hidden="false" customHeight="false" outlineLevel="0" collapsed="false">
      <c r="A410" s="1" t="s">
        <v>417</v>
      </c>
      <c r="B410" s="5" t="n">
        <v>29.075</v>
      </c>
      <c r="C410" s="5" t="n">
        <v>11.8581</v>
      </c>
      <c r="D410" s="1" t="n">
        <f aca="false">LN(B410/B409)</f>
        <v>-0.0134737384497958</v>
      </c>
      <c r="E410" s="1" t="n">
        <f aca="false">LN(C410/C409)</f>
        <v>2.52994826269175E-005</v>
      </c>
      <c r="F410" s="1" t="n">
        <f aca="false">B410/B409-1</f>
        <v>-0.0133833739404263</v>
      </c>
      <c r="G410" s="1" t="n">
        <f aca="false">C410/C409-1</f>
        <v>2.5299802661527E-005</v>
      </c>
    </row>
    <row r="411" customFormat="false" ht="15" hidden="false" customHeight="false" outlineLevel="0" collapsed="false">
      <c r="A411" s="1" t="s">
        <v>418</v>
      </c>
      <c r="B411" s="5" t="n">
        <v>28.621</v>
      </c>
      <c r="C411" s="5" t="n">
        <v>11.8591</v>
      </c>
      <c r="D411" s="1" t="n">
        <f aca="false">LN(B411/B410)</f>
        <v>-0.0157379842858535</v>
      </c>
      <c r="E411" s="1" t="n">
        <f aca="false">LN(C411/C410)</f>
        <v>8.43269863721572E-005</v>
      </c>
      <c r="F411" s="1" t="n">
        <f aca="false">B411/B410-1</f>
        <v>-0.0156147893379192</v>
      </c>
      <c r="G411" s="1" t="n">
        <f aca="false">C411/C410-1</f>
        <v>8.43305419924167E-005</v>
      </c>
    </row>
    <row r="412" customFormat="false" ht="15" hidden="false" customHeight="false" outlineLevel="0" collapsed="false">
      <c r="A412" s="1" t="s">
        <v>419</v>
      </c>
      <c r="B412" s="5" t="n">
        <v>28.6748</v>
      </c>
      <c r="C412" s="5" t="n">
        <v>11.8595</v>
      </c>
      <c r="D412" s="1" t="n">
        <f aca="false">LN(B412/B411)</f>
        <v>0.00187797415558429</v>
      </c>
      <c r="E412" s="1" t="n">
        <f aca="false">LN(C412/C411)</f>
        <v>3.37288035581743E-005</v>
      </c>
      <c r="F412" s="1" t="n">
        <f aca="false">B412/B411-1</f>
        <v>0.00187973865343638</v>
      </c>
      <c r="G412" s="1" t="n">
        <f aca="false">C412/C411-1</f>
        <v>3.37293723806642E-005</v>
      </c>
    </row>
    <row r="413" customFormat="false" ht="15" hidden="false" customHeight="false" outlineLevel="0" collapsed="false">
      <c r="A413" s="1" t="s">
        <v>420</v>
      </c>
      <c r="B413" s="5" t="n">
        <v>28.475</v>
      </c>
      <c r="C413" s="5" t="n">
        <v>11.8598</v>
      </c>
      <c r="D413" s="1" t="n">
        <f aca="false">LN(B413/B412)</f>
        <v>-0.00699217894121298</v>
      </c>
      <c r="E413" s="1" t="n">
        <f aca="false">LN(C413/C412)</f>
        <v>2.52958561185295E-005</v>
      </c>
      <c r="F413" s="1" t="n">
        <f aca="false">B413/B412-1</f>
        <v>-0.00696779053384855</v>
      </c>
      <c r="G413" s="1" t="n">
        <f aca="false">C413/C412-1</f>
        <v>2.52961760613957E-005</v>
      </c>
    </row>
    <row r="414" customFormat="false" ht="15" hidden="false" customHeight="false" outlineLevel="0" collapsed="false">
      <c r="A414" s="1" t="s">
        <v>421</v>
      </c>
      <c r="B414" s="5" t="n">
        <v>28.0269</v>
      </c>
      <c r="C414" s="5" t="n">
        <v>11.8601</v>
      </c>
      <c r="D414" s="1" t="n">
        <f aca="false">LN(B414/B413)</f>
        <v>-0.015861746062939</v>
      </c>
      <c r="E414" s="1" t="n">
        <f aca="false">LN(C414/C413)</f>
        <v>2.52952162543445E-005</v>
      </c>
      <c r="F414" s="1" t="n">
        <f aca="false">B414/B413-1</f>
        <v>-0.0157366110623354</v>
      </c>
      <c r="G414" s="1" t="n">
        <f aca="false">C414/C413-1</f>
        <v>2.52955361810248E-005</v>
      </c>
    </row>
    <row r="415" customFormat="false" ht="15" hidden="false" customHeight="false" outlineLevel="0" collapsed="false">
      <c r="A415" s="1" t="s">
        <v>422</v>
      </c>
      <c r="B415" s="5" t="n">
        <v>27.8386</v>
      </c>
      <c r="C415" s="5" t="n">
        <v>11.8603</v>
      </c>
      <c r="D415" s="1" t="n">
        <f aca="false">LN(B415/B414)</f>
        <v>-0.00674121642486132</v>
      </c>
      <c r="E415" s="1" t="n">
        <f aca="false">LN(C415/C414)</f>
        <v>1.68631220388806E-005</v>
      </c>
      <c r="F415" s="1" t="n">
        <f aca="false">B415/B414-1</f>
        <v>-0.00671854539745753</v>
      </c>
      <c r="G415" s="1" t="n">
        <f aca="false">C415/C414-1</f>
        <v>1.68632642221223E-005</v>
      </c>
    </row>
    <row r="416" customFormat="false" ht="15" hidden="false" customHeight="false" outlineLevel="0" collapsed="false">
      <c r="A416" s="1" t="s">
        <v>423</v>
      </c>
      <c r="B416" s="5" t="n">
        <v>27.1903</v>
      </c>
      <c r="C416" s="5" t="n">
        <v>11.8612</v>
      </c>
      <c r="D416" s="1" t="n">
        <f aca="false">LN(B416/B415)</f>
        <v>-0.0235632547937476</v>
      </c>
      <c r="E416" s="1" t="n">
        <f aca="false">LN(C416/C415)</f>
        <v>7.58805303570059E-005</v>
      </c>
      <c r="F416" s="1" t="n">
        <f aca="false">B416/B415-1</f>
        <v>-0.0232878090133842</v>
      </c>
      <c r="G416" s="1" t="n">
        <f aca="false">C416/C415-1</f>
        <v>7.58834093572691E-005</v>
      </c>
    </row>
    <row r="417" customFormat="false" ht="15" hidden="false" customHeight="false" outlineLevel="0" collapsed="false">
      <c r="A417" s="1" t="s">
        <v>424</v>
      </c>
      <c r="B417" s="5" t="n">
        <v>27.9682</v>
      </c>
      <c r="C417" s="5" t="n">
        <v>11.8616</v>
      </c>
      <c r="D417" s="1" t="n">
        <f aca="false">LN(B417/B416)</f>
        <v>0.0282078584256068</v>
      </c>
      <c r="E417" s="1" t="n">
        <f aca="false">LN(C417/C416)</f>
        <v>3.37228320464478E-005</v>
      </c>
      <c r="F417" s="1" t="n">
        <f aca="false">B417/B416-1</f>
        <v>0.0286094673468111</v>
      </c>
      <c r="G417" s="1" t="n">
        <f aca="false">C417/C416-1</f>
        <v>3.37234006675402E-005</v>
      </c>
    </row>
    <row r="418" customFormat="false" ht="15" hidden="false" customHeight="false" outlineLevel="0" collapsed="false">
      <c r="A418" s="1" t="s">
        <v>425</v>
      </c>
      <c r="B418" s="5" t="n">
        <v>28.1277</v>
      </c>
      <c r="C418" s="5" t="n">
        <v>11.8619</v>
      </c>
      <c r="D418" s="1" t="n">
        <f aca="false">LN(B418/B417)</f>
        <v>0.0056867054395744</v>
      </c>
      <c r="E418" s="1" t="n">
        <f aca="false">LN(C418/C417)</f>
        <v>2.52913777493314E-005</v>
      </c>
      <c r="F418" s="1" t="n">
        <f aca="false">B418/B417-1</f>
        <v>0.00570290544260987</v>
      </c>
      <c r="G418" s="1" t="n">
        <f aca="false">C418/C417-1</f>
        <v>2.52916975789219E-005</v>
      </c>
    </row>
    <row r="419" customFormat="false" ht="15" hidden="false" customHeight="false" outlineLevel="0" collapsed="false">
      <c r="A419" s="1" t="s">
        <v>426</v>
      </c>
      <c r="B419" s="5" t="n">
        <v>28.1643</v>
      </c>
      <c r="C419" s="5" t="n">
        <v>11.8622</v>
      </c>
      <c r="D419" s="1" t="n">
        <f aca="false">LN(B419/B418)</f>
        <v>0.00130036257931403</v>
      </c>
      <c r="E419" s="1" t="n">
        <f aca="false">LN(C419/C418)</f>
        <v>2.52907381114012E-005</v>
      </c>
      <c r="F419" s="1" t="n">
        <f aca="false">B419/B418-1</f>
        <v>0.00130120841732517</v>
      </c>
      <c r="G419" s="1" t="n">
        <f aca="false">C419/C418-1</f>
        <v>2.52910579248145E-005</v>
      </c>
    </row>
    <row r="420" customFormat="false" ht="15" hidden="false" customHeight="false" outlineLevel="0" collapsed="false">
      <c r="A420" s="1" t="s">
        <v>427</v>
      </c>
      <c r="B420" s="5" t="n">
        <v>28.5137</v>
      </c>
      <c r="C420" s="5" t="n">
        <v>11.8626</v>
      </c>
      <c r="D420" s="1" t="n">
        <f aca="false">LN(B420/B419)</f>
        <v>0.0123294550327218</v>
      </c>
      <c r="E420" s="1" t="n">
        <f aca="false">LN(C420/C419)</f>
        <v>3.37199892128663E-005</v>
      </c>
      <c r="F420" s="1" t="n">
        <f aca="false">B420/B419-1</f>
        <v>0.0124057761066314</v>
      </c>
      <c r="G420" s="1" t="n">
        <f aca="false">C420/C419-1</f>
        <v>3.37205577380928E-005</v>
      </c>
    </row>
    <row r="421" customFormat="false" ht="15" hidden="false" customHeight="false" outlineLevel="0" collapsed="false">
      <c r="A421" s="1" t="s">
        <v>428</v>
      </c>
      <c r="B421" s="5" t="n">
        <v>28.7469</v>
      </c>
      <c r="C421" s="5" t="n">
        <v>11.8634</v>
      </c>
      <c r="D421" s="1" t="n">
        <f aca="false">LN(B421/B420)</f>
        <v>0.00814526181383736</v>
      </c>
      <c r="E421" s="1" t="n">
        <f aca="false">LN(C421/C420)</f>
        <v>6.74365675041584E-005</v>
      </c>
      <c r="F421" s="1" t="n">
        <f aca="false">B421/B420-1</f>
        <v>0.0081785247091748</v>
      </c>
      <c r="G421" s="1" t="n">
        <f aca="false">C421/C420-1</f>
        <v>6.74388414005911E-005</v>
      </c>
    </row>
    <row r="422" customFormat="false" ht="15" hidden="false" customHeight="false" outlineLevel="0" collapsed="false">
      <c r="A422" s="1" t="s">
        <v>429</v>
      </c>
      <c r="B422" s="5" t="n">
        <v>28.3604</v>
      </c>
      <c r="C422" s="5" t="n">
        <v>11.8636</v>
      </c>
      <c r="D422" s="1" t="n">
        <f aca="false">LN(B422/B421)</f>
        <v>-0.0135361294059361</v>
      </c>
      <c r="E422" s="1" t="n">
        <f aca="false">LN(C422/C421)</f>
        <v>1.68584313233288E-005</v>
      </c>
      <c r="F422" s="1" t="n">
        <f aca="false">B422/B421-1</f>
        <v>-0.0134449279748425</v>
      </c>
      <c r="G422" s="1" t="n">
        <f aca="false">C422/C421-1</f>
        <v>1.68585734274807E-005</v>
      </c>
    </row>
    <row r="423" customFormat="false" ht="15" hidden="false" customHeight="false" outlineLevel="0" collapsed="false">
      <c r="A423" s="1" t="s">
        <v>430</v>
      </c>
      <c r="B423" s="5" t="n">
        <v>28.6463</v>
      </c>
      <c r="C423" s="5" t="n">
        <v>11.864</v>
      </c>
      <c r="D423" s="1" t="n">
        <f aca="false">LN(B423/B422)</f>
        <v>0.0100304840323598</v>
      </c>
      <c r="E423" s="1" t="n">
        <f aca="false">LN(C423/C422)</f>
        <v>3.37160100505901E-005</v>
      </c>
      <c r="F423" s="1" t="n">
        <f aca="false">B423/B422-1</f>
        <v>0.010080957955459</v>
      </c>
      <c r="G423" s="1" t="n">
        <f aca="false">C423/C422-1</f>
        <v>3.37165784416449E-005</v>
      </c>
    </row>
    <row r="424" customFormat="false" ht="15" hidden="false" customHeight="false" outlineLevel="0" collapsed="false">
      <c r="A424" s="1" t="s">
        <v>431</v>
      </c>
      <c r="B424" s="5" t="n">
        <v>29.0313</v>
      </c>
      <c r="C424" s="5" t="n">
        <v>11.8642</v>
      </c>
      <c r="D424" s="1" t="n">
        <f aca="false">LN(B424/B423)</f>
        <v>0.0133502683254764</v>
      </c>
      <c r="E424" s="1" t="n">
        <f aca="false">LN(C424/C423)</f>
        <v>1.68575787463708E-005</v>
      </c>
      <c r="F424" s="1" t="n">
        <f aca="false">B424/B423-1</f>
        <v>0.0134397810537488</v>
      </c>
      <c r="G424" s="1" t="n">
        <f aca="false">C424/C423-1</f>
        <v>1.68577208361498E-005</v>
      </c>
    </row>
    <row r="425" customFormat="false" ht="15" hidden="false" customHeight="false" outlineLevel="0" collapsed="false">
      <c r="A425" s="1" t="s">
        <v>432</v>
      </c>
      <c r="B425" s="5" t="n">
        <v>28.7492</v>
      </c>
      <c r="C425" s="5" t="n">
        <v>11.8643</v>
      </c>
      <c r="D425" s="1" t="n">
        <f aca="false">LN(B425/B424)</f>
        <v>-0.00976461752540248</v>
      </c>
      <c r="E425" s="1" t="n">
        <f aca="false">LN(C425/C424)</f>
        <v>8.42868280762093E-006</v>
      </c>
      <c r="F425" s="1" t="n">
        <f aca="false">B425/B424-1</f>
        <v>-0.00971709844202651</v>
      </c>
      <c r="G425" s="1" t="n">
        <f aca="false">C425/C424-1</f>
        <v>8.42871832906766E-006</v>
      </c>
    </row>
    <row r="426" customFormat="false" ht="15" hidden="false" customHeight="false" outlineLevel="0" collapsed="false">
      <c r="A426" s="1" t="s">
        <v>433</v>
      </c>
      <c r="B426" s="5" t="n">
        <v>28.6609</v>
      </c>
      <c r="C426" s="5" t="n">
        <v>11.8652</v>
      </c>
      <c r="D426" s="1" t="n">
        <f aca="false">LN(B426/B425)</f>
        <v>-0.00307611621049769</v>
      </c>
      <c r="E426" s="1" t="n">
        <f aca="false">LN(C426/C425)</f>
        <v>7.58549485181545E-005</v>
      </c>
      <c r="F426" s="1" t="n">
        <f aca="false">B426/B425-1</f>
        <v>-0.00307138981258592</v>
      </c>
      <c r="G426" s="1" t="n">
        <f aca="false">C426/C425-1</f>
        <v>7.58578255775078E-005</v>
      </c>
    </row>
    <row r="427" customFormat="false" ht="15" hidden="false" customHeight="false" outlineLevel="0" collapsed="false">
      <c r="A427" s="1" t="s">
        <v>434</v>
      </c>
      <c r="B427" s="5" t="n">
        <v>28.6228</v>
      </c>
      <c r="C427" s="5" t="n">
        <v>11.8655</v>
      </c>
      <c r="D427" s="1" t="n">
        <f aca="false">LN(B427/B426)</f>
        <v>-0.00133022153311076</v>
      </c>
      <c r="E427" s="1" t="n">
        <f aca="false">LN(C427/C426)</f>
        <v>2.52837042326003E-005</v>
      </c>
      <c r="F427" s="1" t="n">
        <f aca="false">B427/B426-1</f>
        <v>-0.00132933718061889</v>
      </c>
      <c r="G427" s="1" t="n">
        <f aca="false">C427/C426-1</f>
        <v>2.5284023868144E-005</v>
      </c>
    </row>
    <row r="428" customFormat="false" ht="15" hidden="false" customHeight="false" outlineLevel="0" collapsed="false">
      <c r="A428" s="1" t="s">
        <v>435</v>
      </c>
      <c r="B428" s="5" t="n">
        <v>28.4371</v>
      </c>
      <c r="C428" s="5" t="n">
        <v>11.866</v>
      </c>
      <c r="D428" s="1" t="n">
        <f aca="false">LN(B428/B427)</f>
        <v>-0.00650897234746447</v>
      </c>
      <c r="E428" s="1" t="n">
        <f aca="false">LN(C428/C427)</f>
        <v>4.2138086515609E-005</v>
      </c>
      <c r="F428" s="1" t="n">
        <f aca="false">B428/B427-1</f>
        <v>-0.0064878348728985</v>
      </c>
      <c r="G428" s="1" t="n">
        <f aca="false">C428/C427-1</f>
        <v>4.21389743372469E-005</v>
      </c>
    </row>
    <row r="429" customFormat="false" ht="15" hidden="false" customHeight="false" outlineLevel="0" collapsed="false">
      <c r="A429" s="1" t="s">
        <v>436</v>
      </c>
      <c r="B429" s="5" t="n">
        <v>28.696</v>
      </c>
      <c r="C429" s="5" t="n">
        <v>11.8665</v>
      </c>
      <c r="D429" s="1" t="n">
        <f aca="false">LN(B429/B428)</f>
        <v>0.00906310955180446</v>
      </c>
      <c r="E429" s="1" t="n">
        <f aca="false">LN(C429/C428)</f>
        <v>4.213631097233E-005</v>
      </c>
      <c r="F429" s="1" t="n">
        <f aca="false">B429/B428-1</f>
        <v>0.00910430388471406</v>
      </c>
      <c r="G429" s="1" t="n">
        <f aca="false">C429/C428-1</f>
        <v>4.21371987191499E-005</v>
      </c>
    </row>
    <row r="430" customFormat="false" ht="15" hidden="false" customHeight="false" outlineLevel="0" collapsed="false">
      <c r="A430" s="1" t="s">
        <v>437</v>
      </c>
      <c r="B430" s="5" t="n">
        <v>28.5307</v>
      </c>
      <c r="C430" s="5" t="n">
        <v>11.8669</v>
      </c>
      <c r="D430" s="1" t="n">
        <f aca="false">LN(B430/B429)</f>
        <v>-0.00577703972897922</v>
      </c>
      <c r="E430" s="1" t="n">
        <f aca="false">LN(C430/C429)</f>
        <v>3.37077704868902E-005</v>
      </c>
      <c r="F430" s="1" t="n">
        <f aca="false">B430/B429-1</f>
        <v>-0.00576038472260954</v>
      </c>
      <c r="G430" s="1" t="n">
        <f aca="false">C430/C429-1</f>
        <v>3.37083386001691E-005</v>
      </c>
    </row>
    <row r="431" customFormat="false" ht="15" hidden="false" customHeight="false" outlineLevel="0" collapsed="false">
      <c r="A431" s="1" t="s">
        <v>438</v>
      </c>
      <c r="B431" s="5" t="n">
        <v>28.7055</v>
      </c>
      <c r="C431" s="5" t="n">
        <v>11.8677</v>
      </c>
      <c r="D431" s="1" t="n">
        <f aca="false">LN(B431/B430)</f>
        <v>0.00610804153508998</v>
      </c>
      <c r="E431" s="1" t="n">
        <f aca="false">LN(C431/C430)</f>
        <v>6.74121325241163E-005</v>
      </c>
      <c r="F431" s="1" t="n">
        <f aca="false">B431/B430-1</f>
        <v>0.00612673365883065</v>
      </c>
      <c r="G431" s="1" t="n">
        <f aca="false">C431/C430-1</f>
        <v>6.74144047729808E-005</v>
      </c>
    </row>
    <row r="432" customFormat="false" ht="15" hidden="false" customHeight="false" outlineLevel="0" collapsed="false">
      <c r="A432" s="1" t="s">
        <v>439</v>
      </c>
      <c r="B432" s="5" t="n">
        <v>29.1108</v>
      </c>
      <c r="C432" s="5" t="n">
        <v>11.8681</v>
      </c>
      <c r="D432" s="1" t="n">
        <f aca="false">LN(B432/B431)</f>
        <v>0.0140204973087778</v>
      </c>
      <c r="E432" s="1" t="n">
        <f aca="false">LN(C432/C431)</f>
        <v>3.37043621904415E-005</v>
      </c>
      <c r="F432" s="1" t="n">
        <f aca="false">B432/B431-1</f>
        <v>0.0141192454407693</v>
      </c>
      <c r="G432" s="1" t="n">
        <f aca="false">C432/C431-1</f>
        <v>3.37049301888381E-005</v>
      </c>
    </row>
    <row r="433" customFormat="false" ht="15" hidden="false" customHeight="false" outlineLevel="0" collapsed="false">
      <c r="A433" s="1" t="s">
        <v>440</v>
      </c>
      <c r="B433" s="5" t="n">
        <v>29.077</v>
      </c>
      <c r="C433" s="5" t="n">
        <v>11.8687</v>
      </c>
      <c r="D433" s="1" t="n">
        <f aca="false">LN(B433/B432)</f>
        <v>-0.00116175568767295</v>
      </c>
      <c r="E433" s="1" t="n">
        <f aca="false">LN(C433/C432)</f>
        <v>5.05544134111828E-005</v>
      </c>
      <c r="F433" s="1" t="n">
        <f aca="false">B433/B432-1</f>
        <v>-0.0011610811107905</v>
      </c>
      <c r="G433" s="1" t="n">
        <f aca="false">C433/C432-1</f>
        <v>5.05556913070748E-005</v>
      </c>
    </row>
    <row r="434" customFormat="false" ht="15" hidden="false" customHeight="false" outlineLevel="0" collapsed="false">
      <c r="A434" s="1" t="s">
        <v>441</v>
      </c>
      <c r="B434" s="5" t="n">
        <v>29.1042</v>
      </c>
      <c r="C434" s="5" t="n">
        <v>11.869</v>
      </c>
      <c r="D434" s="1" t="n">
        <f aca="false">LN(B434/B433)</f>
        <v>0.000935010002599378</v>
      </c>
      <c r="E434" s="1" t="n">
        <f aca="false">LN(C434/C433)</f>
        <v>2.52762483320082E-005</v>
      </c>
      <c r="F434" s="1" t="n">
        <f aca="false">B434/B433-1</f>
        <v>0.000935447260721478</v>
      </c>
      <c r="G434" s="1" t="n">
        <f aca="false">C434/C433-1</f>
        <v>2.52765677790645E-005</v>
      </c>
    </row>
    <row r="435" customFormat="false" ht="15" hidden="false" customHeight="false" outlineLevel="0" collapsed="false">
      <c r="A435" s="1" t="s">
        <v>442</v>
      </c>
      <c r="B435" s="5" t="n">
        <v>28.9122</v>
      </c>
      <c r="C435" s="5" t="n">
        <v>11.8693</v>
      </c>
      <c r="D435" s="1" t="n">
        <f aca="false">LN(B435/B434)</f>
        <v>-0.00661884229096117</v>
      </c>
      <c r="E435" s="1" t="n">
        <f aca="false">LN(C435/C434)</f>
        <v>2.52756094596588E-005</v>
      </c>
      <c r="F435" s="1" t="n">
        <f aca="false">B435/B434-1</f>
        <v>-0.0065969860020203</v>
      </c>
      <c r="G435" s="1" t="n">
        <f aca="false">C435/C434-1</f>
        <v>2.52759288905668E-005</v>
      </c>
    </row>
    <row r="436" customFormat="false" ht="15" hidden="false" customHeight="false" outlineLevel="0" collapsed="false">
      <c r="A436" s="1" t="s">
        <v>443</v>
      </c>
      <c r="B436" s="5" t="n">
        <v>28.0324</v>
      </c>
      <c r="C436" s="5" t="n">
        <v>11.8705</v>
      </c>
      <c r="D436" s="1" t="n">
        <f aca="false">LN(B436/B435)</f>
        <v>-0.0309026673102688</v>
      </c>
      <c r="E436" s="1" t="n">
        <f aca="false">LN(C436/C435)</f>
        <v>0.00010109604975788</v>
      </c>
      <c r="F436" s="1" t="n">
        <f aca="false">B436/B435-1</f>
        <v>-0.0304300606664315</v>
      </c>
      <c r="G436" s="1" t="n">
        <f aca="false">C436/C435-1</f>
        <v>0.00010110116013573</v>
      </c>
    </row>
    <row r="437" customFormat="false" ht="15" hidden="false" customHeight="false" outlineLevel="0" collapsed="false">
      <c r="A437" s="1" t="s">
        <v>444</v>
      </c>
      <c r="B437" s="5" t="n">
        <v>27.712</v>
      </c>
      <c r="C437" s="5" t="n">
        <v>11.8719</v>
      </c>
      <c r="D437" s="1" t="n">
        <f aca="false">LN(B437/B436)</f>
        <v>-0.011495451678542</v>
      </c>
      <c r="E437" s="1" t="n">
        <f aca="false">LN(C437/C436)</f>
        <v>0.000117932475370887</v>
      </c>
      <c r="F437" s="1" t="n">
        <f aca="false">B437/B436-1</f>
        <v>-0.0114296314264922</v>
      </c>
      <c r="G437" s="1" t="n">
        <f aca="false">C437/C436-1</f>
        <v>0.000117939429678637</v>
      </c>
    </row>
    <row r="438" customFormat="false" ht="15" hidden="false" customHeight="false" outlineLevel="0" collapsed="false">
      <c r="A438" s="1" t="s">
        <v>445</v>
      </c>
      <c r="B438" s="5" t="n">
        <v>27.0911</v>
      </c>
      <c r="C438" s="5" t="n">
        <v>11.8709</v>
      </c>
      <c r="D438" s="1" t="n">
        <f aca="false">LN(B438/B437)</f>
        <v>-0.0226602717179548</v>
      </c>
      <c r="E438" s="1" t="n">
        <f aca="false">LN(C438/C437)</f>
        <v>-8.42360631930991E-005</v>
      </c>
      <c r="F438" s="1" t="n">
        <f aca="false">B438/B437-1</f>
        <v>-0.0224054561200924</v>
      </c>
      <c r="G438" s="1" t="n">
        <f aca="false">C438/C437-1</f>
        <v>-8.4232515435545E-005</v>
      </c>
    </row>
    <row r="439" customFormat="false" ht="15" hidden="false" customHeight="false" outlineLevel="0" collapsed="false">
      <c r="A439" s="1" t="s">
        <v>446</v>
      </c>
      <c r="B439" s="5" t="n">
        <v>27.4038</v>
      </c>
      <c r="C439" s="5" t="n">
        <v>11.8713</v>
      </c>
      <c r="D439" s="1" t="n">
        <f aca="false">LN(B439/B438)</f>
        <v>0.0114764292473091</v>
      </c>
      <c r="E439" s="1" t="n">
        <f aca="false">LN(C439/C438)</f>
        <v>3.36952767677878E-005</v>
      </c>
      <c r="F439" s="1" t="n">
        <f aca="false">B439/B438-1</f>
        <v>0.0115425361096448</v>
      </c>
      <c r="G439" s="1" t="n">
        <f aca="false">C439/C438-1</f>
        <v>3.36958444600022E-005</v>
      </c>
    </row>
    <row r="440" customFormat="false" ht="15" hidden="false" customHeight="false" outlineLevel="0" collapsed="false">
      <c r="A440" s="1" t="s">
        <v>447</v>
      </c>
      <c r="B440" s="5" t="n">
        <v>28.5063</v>
      </c>
      <c r="C440" s="5" t="n">
        <v>11.8715</v>
      </c>
      <c r="D440" s="1" t="n">
        <f aca="false">LN(B440/B439)</f>
        <v>0.0394434255682717</v>
      </c>
      <c r="E440" s="1" t="n">
        <f aca="false">LN(C440/C439)</f>
        <v>1.68472126290192E-005</v>
      </c>
      <c r="F440" s="1" t="n">
        <f aca="false">B440/B439-1</f>
        <v>0.0402316467059312</v>
      </c>
      <c r="G440" s="1" t="n">
        <f aca="false">C440/C439-1</f>
        <v>1.68473545441028E-005</v>
      </c>
    </row>
    <row r="441" customFormat="false" ht="15" hidden="false" customHeight="false" outlineLevel="0" collapsed="false">
      <c r="A441" s="1" t="s">
        <v>448</v>
      </c>
      <c r="B441" s="5" t="n">
        <v>28.3783</v>
      </c>
      <c r="C441" s="5" t="n">
        <v>11.8722</v>
      </c>
      <c r="D441" s="1" t="n">
        <f aca="false">LN(B441/B440)</f>
        <v>-0.00450034687888215</v>
      </c>
      <c r="E441" s="1" t="n">
        <f aca="false">LN(C441/C440)</f>
        <v>5.89630091520518E-005</v>
      </c>
      <c r="F441" s="1" t="n">
        <f aca="false">B441/B440-1</f>
        <v>-0.00449023549180361</v>
      </c>
      <c r="G441" s="1" t="n">
        <f aca="false">C441/C440-1</f>
        <v>5.89647475044419E-005</v>
      </c>
    </row>
    <row r="442" customFormat="false" ht="15" hidden="false" customHeight="false" outlineLevel="0" collapsed="false">
      <c r="A442" s="1" t="s">
        <v>449</v>
      </c>
      <c r="B442" s="5" t="n">
        <v>28.3124</v>
      </c>
      <c r="C442" s="5" t="n">
        <v>11.8725</v>
      </c>
      <c r="D442" s="1" t="n">
        <f aca="false">LN(B442/B441)</f>
        <v>-0.00232489737058343</v>
      </c>
      <c r="E442" s="1" t="n">
        <f aca="false">LN(C442/C441)</f>
        <v>2.52687968277326E-005</v>
      </c>
      <c r="F442" s="1" t="n">
        <f aca="false">B442/B441-1</f>
        <v>-0.00232219688987712</v>
      </c>
      <c r="G442" s="1" t="n">
        <f aca="false">C442/C441-1</f>
        <v>2.52691160864682E-005</v>
      </c>
    </row>
    <row r="443" customFormat="false" ht="15" hidden="false" customHeight="false" outlineLevel="0" collapsed="false">
      <c r="A443" s="1" t="s">
        <v>450</v>
      </c>
      <c r="B443" s="5" t="n">
        <v>28.386</v>
      </c>
      <c r="C443" s="5" t="n">
        <v>11.8727</v>
      </c>
      <c r="D443" s="1" t="n">
        <f aca="false">LN(B443/B442)</f>
        <v>0.00259619464888068</v>
      </c>
      <c r="E443" s="1" t="n">
        <f aca="false">LN(C443/C442)</f>
        <v>1.68455098296046E-005</v>
      </c>
      <c r="F443" s="1" t="n">
        <f aca="false">B443/B442-1</f>
        <v>0.00259956768059211</v>
      </c>
      <c r="G443" s="1" t="n">
        <f aca="false">C443/C442-1</f>
        <v>1.68456517160021E-005</v>
      </c>
    </row>
    <row r="444" customFormat="false" ht="15" hidden="false" customHeight="false" outlineLevel="0" collapsed="false">
      <c r="A444" s="1" t="s">
        <v>451</v>
      </c>
      <c r="B444" s="5" t="n">
        <v>28.5139</v>
      </c>
      <c r="C444" s="5" t="n">
        <v>11.873</v>
      </c>
      <c r="D444" s="1" t="n">
        <f aca="false">LN(B444/B443)</f>
        <v>0.00449562179938469</v>
      </c>
      <c r="E444" s="1" t="n">
        <f aca="false">LN(C444/C443)</f>
        <v>2.52677326854247E-005</v>
      </c>
      <c r="F444" s="1" t="n">
        <f aca="false">B444/B443-1</f>
        <v>0.00450574226731493</v>
      </c>
      <c r="G444" s="1" t="n">
        <f aca="false">C444/C443-1</f>
        <v>2.5268051917271E-005</v>
      </c>
    </row>
    <row r="445" customFormat="false" ht="15" hidden="false" customHeight="false" outlineLevel="0" collapsed="false">
      <c r="A445" s="1" t="s">
        <v>452</v>
      </c>
      <c r="B445" s="5" t="n">
        <v>28.5892</v>
      </c>
      <c r="C445" s="5" t="n">
        <v>11.8731</v>
      </c>
      <c r="D445" s="1" t="n">
        <f aca="false">LN(B445/B444)</f>
        <v>0.00263733645444942</v>
      </c>
      <c r="E445" s="1" t="n">
        <f aca="false">LN(C445/C444)</f>
        <v>8.42243568436895E-006</v>
      </c>
      <c r="F445" s="1" t="n">
        <f aca="false">B445/B444-1</f>
        <v>0.00264081728560472</v>
      </c>
      <c r="G445" s="1" t="n">
        <f aca="false">C445/C444-1</f>
        <v>8.42247115317996E-006</v>
      </c>
    </row>
    <row r="446" customFormat="false" ht="15" hidden="false" customHeight="false" outlineLevel="0" collapsed="false">
      <c r="A446" s="1" t="s">
        <v>453</v>
      </c>
      <c r="B446" s="5" t="n">
        <v>28.6554</v>
      </c>
      <c r="C446" s="5" t="n">
        <v>11.874</v>
      </c>
      <c r="D446" s="1" t="n">
        <f aca="false">LN(B446/B445)</f>
        <v>0.00231288294480191</v>
      </c>
      <c r="E446" s="1" t="n">
        <f aca="false">LN(C446/C445)</f>
        <v>7.57987291441742E-005</v>
      </c>
      <c r="F446" s="1" t="n">
        <f aca="false">B446/B445-1</f>
        <v>0.00231555972185293</v>
      </c>
      <c r="G446" s="1" t="n">
        <f aca="false">C446/C445-1</f>
        <v>7.58016019404284E-005</v>
      </c>
    </row>
    <row r="447" customFormat="false" ht="15" hidden="false" customHeight="false" outlineLevel="0" collapsed="false">
      <c r="A447" s="1" t="s">
        <v>454</v>
      </c>
      <c r="B447" s="5" t="n">
        <v>28.3319</v>
      </c>
      <c r="C447" s="5" t="n">
        <v>11.8744</v>
      </c>
      <c r="D447" s="1" t="n">
        <f aca="false">LN(B447/B446)</f>
        <v>-0.0113535287684172</v>
      </c>
      <c r="E447" s="1" t="n">
        <f aca="false">LN(C447/C446)</f>
        <v>3.36864799344745E-005</v>
      </c>
      <c r="F447" s="1" t="n">
        <f aca="false">B447/B446-1</f>
        <v>-0.0112893206865023</v>
      </c>
      <c r="G447" s="1" t="n">
        <f aca="false">C447/C446-1</f>
        <v>3.36870473303108E-005</v>
      </c>
    </row>
    <row r="448" customFormat="false" ht="15" hidden="false" customHeight="false" outlineLevel="0" collapsed="false">
      <c r="A448" s="1" t="s">
        <v>455</v>
      </c>
      <c r="B448" s="5" t="n">
        <v>28.418</v>
      </c>
      <c r="C448" s="5" t="n">
        <v>11.8746</v>
      </c>
      <c r="D448" s="1" t="n">
        <f aca="false">LN(B448/B447)</f>
        <v>0.00303436890859883</v>
      </c>
      <c r="E448" s="1" t="n">
        <f aca="false">LN(C448/C447)</f>
        <v>1.68428144346913E-005</v>
      </c>
      <c r="F448" s="1" t="n">
        <f aca="false">B448/B447-1</f>
        <v>0.00303897726590874</v>
      </c>
      <c r="G448" s="1" t="n">
        <f aca="false">C448/C447-1</f>
        <v>1.68429562756867E-005</v>
      </c>
    </row>
    <row r="449" customFormat="false" ht="15" hidden="false" customHeight="false" outlineLevel="0" collapsed="false">
      <c r="A449" s="1" t="s">
        <v>456</v>
      </c>
      <c r="B449" s="5" t="n">
        <v>28.3475</v>
      </c>
      <c r="C449" s="5" t="n">
        <v>11.8748</v>
      </c>
      <c r="D449" s="1" t="n">
        <f aca="false">LN(B449/B448)</f>
        <v>-0.00248390435202569</v>
      </c>
      <c r="E449" s="1" t="n">
        <f aca="false">LN(C449/C448)</f>
        <v>1.68425307592787E-005</v>
      </c>
      <c r="F449" s="1" t="n">
        <f aca="false">B449/B448-1</f>
        <v>-0.00248082201421629</v>
      </c>
      <c r="G449" s="1" t="n">
        <f aca="false">C449/C448-1</f>
        <v>1.68426725954962E-005</v>
      </c>
    </row>
    <row r="450" customFormat="false" ht="15" hidden="false" customHeight="false" outlineLevel="0" collapsed="false">
      <c r="A450" s="1" t="s">
        <v>457</v>
      </c>
      <c r="B450" s="5" t="n">
        <v>28.2856</v>
      </c>
      <c r="C450" s="5" t="n">
        <v>11.8755</v>
      </c>
      <c r="D450" s="1" t="n">
        <f aca="false">LN(B450/B449)</f>
        <v>-0.00218600163683877</v>
      </c>
      <c r="E450" s="1" t="n">
        <f aca="false">LN(C450/C449)</f>
        <v>5.89466238492865E-005</v>
      </c>
      <c r="F450" s="1" t="n">
        <f aca="false">B450/B449-1</f>
        <v>-0.00218361407531531</v>
      </c>
      <c r="G450" s="1" t="n">
        <f aca="false">C450/C449-1</f>
        <v>5.89483612356556E-005</v>
      </c>
    </row>
    <row r="451" customFormat="false" ht="15" hidden="false" customHeight="false" outlineLevel="0" collapsed="false">
      <c r="A451" s="1" t="s">
        <v>458</v>
      </c>
      <c r="B451" s="5" t="n">
        <v>28.455</v>
      </c>
      <c r="C451" s="5" t="n">
        <v>11.8762</v>
      </c>
      <c r="D451" s="1" t="n">
        <f aca="false">LN(B451/B450)</f>
        <v>0.00597105082806824</v>
      </c>
      <c r="E451" s="1" t="n">
        <f aca="false">LN(C451/C450)</f>
        <v>5.89431493495724E-005</v>
      </c>
      <c r="F451" s="1" t="n">
        <f aca="false">B451/B450-1</f>
        <v>0.00598891308651761</v>
      </c>
      <c r="G451" s="1" t="n">
        <f aca="false">C451/C450-1</f>
        <v>5.89448865311315E-005</v>
      </c>
    </row>
    <row r="452" customFormat="false" ht="15" hidden="false" customHeight="false" outlineLevel="0" collapsed="false">
      <c r="A452" s="1" t="s">
        <v>459</v>
      </c>
      <c r="B452" s="5" t="n">
        <v>28.3087</v>
      </c>
      <c r="C452" s="5" t="n">
        <v>11.8763</v>
      </c>
      <c r="D452" s="1" t="n">
        <f aca="false">LN(B452/B451)</f>
        <v>-0.00515471415519355</v>
      </c>
      <c r="E452" s="1" t="n">
        <f aca="false">LN(C452/C451)</f>
        <v>8.42016629837193E-006</v>
      </c>
      <c r="F452" s="1" t="n">
        <f aca="false">B452/B451-1</f>
        <v>-0.00514145141451405</v>
      </c>
      <c r="G452" s="1" t="n">
        <f aca="false">C452/C451-1</f>
        <v>8.42020174807168E-006</v>
      </c>
    </row>
    <row r="453" customFormat="false" ht="15" hidden="false" customHeight="false" outlineLevel="0" collapsed="false">
      <c r="A453" s="1" t="s">
        <v>460</v>
      </c>
      <c r="B453" s="5" t="n">
        <v>28.1485</v>
      </c>
      <c r="C453" s="5" t="n">
        <v>11.8767</v>
      </c>
      <c r="D453" s="1" t="n">
        <f aca="false">LN(B453/B452)</f>
        <v>-0.00567511070197038</v>
      </c>
      <c r="E453" s="1" t="n">
        <f aca="false">LN(C453/C452)</f>
        <v>3.367995621927E-005</v>
      </c>
      <c r="F453" s="1" t="n">
        <f aca="false">B453/B452-1</f>
        <v>-0.00565903768099574</v>
      </c>
      <c r="G453" s="1" t="n">
        <f aca="false">C453/C452-1</f>
        <v>3.3680523395363E-005</v>
      </c>
    </row>
    <row r="454" customFormat="false" ht="15" hidden="false" customHeight="false" outlineLevel="0" collapsed="false">
      <c r="A454" s="1" t="s">
        <v>461</v>
      </c>
      <c r="B454" s="5" t="n">
        <v>27.972</v>
      </c>
      <c r="C454" s="5" t="n">
        <v>11.877</v>
      </c>
      <c r="D454" s="1" t="n">
        <f aca="false">LN(B454/B453)</f>
        <v>-0.00629005735630287</v>
      </c>
      <c r="E454" s="1" t="n">
        <f aca="false">LN(C454/C453)</f>
        <v>2.52592227751462E-005</v>
      </c>
      <c r="F454" s="1" t="n">
        <f aca="false">B454/B453-1</f>
        <v>-0.00627031635788755</v>
      </c>
      <c r="G454" s="1" t="n">
        <f aca="false">C454/C453-1</f>
        <v>2.52595417919999E-005</v>
      </c>
    </row>
    <row r="455" customFormat="false" ht="15" hidden="false" customHeight="false" outlineLevel="0" collapsed="false">
      <c r="A455" s="1" t="s">
        <v>462</v>
      </c>
      <c r="B455" s="5" t="n">
        <v>28.3255</v>
      </c>
      <c r="C455" s="5" t="n">
        <v>11.8778</v>
      </c>
      <c r="D455" s="1" t="n">
        <f aca="false">LN(B455/B454)</f>
        <v>0.0125584491673124</v>
      </c>
      <c r="E455" s="1" t="n">
        <f aca="false">LN(C455/C454)</f>
        <v>6.73548083168816E-005</v>
      </c>
      <c r="F455" s="1" t="n">
        <f aca="false">B455/B454-1</f>
        <v>0.0126376376376376</v>
      </c>
      <c r="G455" s="1" t="n">
        <f aca="false">C455/C454-1</f>
        <v>6.73570767029119E-005</v>
      </c>
    </row>
    <row r="456" customFormat="false" ht="15" hidden="false" customHeight="false" outlineLevel="0" collapsed="false">
      <c r="A456" s="1" t="s">
        <v>463</v>
      </c>
      <c r="B456" s="5" t="n">
        <v>28.5343</v>
      </c>
      <c r="C456" s="5" t="n">
        <v>11.8783</v>
      </c>
      <c r="D456" s="1" t="n">
        <f aca="false">LN(B456/B455)</f>
        <v>0.00734441340146313</v>
      </c>
      <c r="E456" s="1" t="n">
        <f aca="false">LN(C456/C455)</f>
        <v>4.20944515365636E-005</v>
      </c>
      <c r="F456" s="1" t="n">
        <f aca="false">B456/B455-1</f>
        <v>0.00737144975375537</v>
      </c>
      <c r="G456" s="1" t="n">
        <f aca="false">C456/C455-1</f>
        <v>4.20953375204203E-005</v>
      </c>
    </row>
    <row r="457" customFormat="false" ht="15" hidden="false" customHeight="false" outlineLevel="0" collapsed="false">
      <c r="A457" s="1" t="s">
        <v>464</v>
      </c>
      <c r="B457" s="5" t="n">
        <v>28.4914</v>
      </c>
      <c r="C457" s="5" t="n">
        <v>11.8786</v>
      </c>
      <c r="D457" s="1" t="n">
        <f aca="false">LN(B457/B456)</f>
        <v>-0.00150458505877179</v>
      </c>
      <c r="E457" s="1" t="n">
        <f aca="false">LN(C457/C456)</f>
        <v>2.5255820415646E-005</v>
      </c>
      <c r="F457" s="1" t="n">
        <f aca="false">B457/B456-1</f>
        <v>-0.00150345373813277</v>
      </c>
      <c r="G457" s="1" t="n">
        <f aca="false">C457/C456-1</f>
        <v>2.52561393465633E-005</v>
      </c>
    </row>
    <row r="458" customFormat="false" ht="15" hidden="false" customHeight="false" outlineLevel="0" collapsed="false">
      <c r="A458" s="1" t="s">
        <v>465</v>
      </c>
      <c r="B458" s="5" t="n">
        <v>28.572</v>
      </c>
      <c r="C458" s="5" t="n">
        <v>11.8789</v>
      </c>
      <c r="D458" s="1" t="n">
        <f aca="false">LN(B458/B457)</f>
        <v>0.00282492994110183</v>
      </c>
      <c r="E458" s="1" t="n">
        <f aca="false">LN(C458/C457)</f>
        <v>2.52551825750988E-005</v>
      </c>
      <c r="F458" s="1" t="n">
        <f aca="false">B458/B457-1</f>
        <v>0.00282892381560762</v>
      </c>
      <c r="G458" s="1" t="n">
        <f aca="false">C458/C457-1</f>
        <v>2.5255501489907E-005</v>
      </c>
    </row>
    <row r="459" customFormat="false" ht="15" hidden="false" customHeight="false" outlineLevel="0" collapsed="false">
      <c r="A459" s="1" t="s">
        <v>466</v>
      </c>
      <c r="B459" s="5" t="n">
        <v>28.1827</v>
      </c>
      <c r="C459" s="5" t="n">
        <v>11.8794</v>
      </c>
      <c r="D459" s="1" t="n">
        <f aca="false">LN(B459/B458)</f>
        <v>-0.0137189027788559</v>
      </c>
      <c r="E459" s="1" t="n">
        <f aca="false">LN(C459/C458)</f>
        <v>4.20905536232235E-005</v>
      </c>
      <c r="F459" s="1" t="n">
        <f aca="false">B459/B458-1</f>
        <v>-0.01362522749545</v>
      </c>
      <c r="G459" s="1" t="n">
        <f aca="false">C459/C458-1</f>
        <v>4.20914394430039E-005</v>
      </c>
    </row>
    <row r="460" customFormat="false" ht="15" hidden="false" customHeight="false" outlineLevel="0" collapsed="false">
      <c r="A460" s="1" t="s">
        <v>467</v>
      </c>
      <c r="B460" s="5" t="n">
        <v>27.6027</v>
      </c>
      <c r="C460" s="5" t="n">
        <v>11.8803</v>
      </c>
      <c r="D460" s="1" t="n">
        <f aca="false">LN(B460/B459)</f>
        <v>-0.0207947204884689</v>
      </c>
      <c r="E460" s="1" t="n">
        <f aca="false">LN(C460/C459)</f>
        <v>7.5758532340899E-005</v>
      </c>
      <c r="F460" s="1" t="n">
        <f aca="false">B460/B459-1</f>
        <v>-0.0205800012064139</v>
      </c>
      <c r="G460" s="1" t="n">
        <f aca="false">C460/C459-1</f>
        <v>7.57614020909792E-005</v>
      </c>
    </row>
    <row r="461" customFormat="false" ht="15" hidden="false" customHeight="false" outlineLevel="0" collapsed="false">
      <c r="A461" s="1" t="s">
        <v>468</v>
      </c>
      <c r="B461" s="5" t="n">
        <v>27.7748</v>
      </c>
      <c r="C461" s="5" t="n">
        <v>11.8809</v>
      </c>
      <c r="D461" s="1" t="n">
        <f aca="false">LN(B461/B460)</f>
        <v>0.00621554075429524</v>
      </c>
      <c r="E461" s="1" t="n">
        <f aca="false">LN(C461/C460)</f>
        <v>5.05024998845359E-005</v>
      </c>
      <c r="F461" s="1" t="n">
        <f aca="false">B461/B460-1</f>
        <v>0.00623489731077043</v>
      </c>
      <c r="G461" s="1" t="n">
        <f aca="false">C461/C460-1</f>
        <v>5.05037751572512E-005</v>
      </c>
    </row>
    <row r="462" customFormat="false" ht="15" hidden="false" customHeight="false" outlineLevel="0" collapsed="false">
      <c r="A462" s="1" t="s">
        <v>469</v>
      </c>
      <c r="B462" s="5" t="n">
        <v>27.687</v>
      </c>
      <c r="C462" s="5" t="n">
        <v>11.8813</v>
      </c>
      <c r="D462" s="1" t="n">
        <f aca="false">LN(B462/B461)</f>
        <v>-0.00316614582814691</v>
      </c>
      <c r="E462" s="1" t="n">
        <f aca="false">LN(C462/C461)</f>
        <v>3.36669163659727E-005</v>
      </c>
      <c r="F462" s="1" t="n">
        <f aca="false">B462/B461-1</f>
        <v>-0.0031611388740872</v>
      </c>
      <c r="G462" s="1" t="n">
        <f aca="false">C462/C461-1</f>
        <v>3.36674831029615E-005</v>
      </c>
    </row>
    <row r="463" customFormat="false" ht="15" hidden="false" customHeight="false" outlineLevel="0" collapsed="false">
      <c r="A463" s="1" t="s">
        <v>470</v>
      </c>
      <c r="B463" s="5" t="n">
        <v>27.7109</v>
      </c>
      <c r="C463" s="5" t="n">
        <v>11.8816</v>
      </c>
      <c r="D463" s="1" t="n">
        <f aca="false">LN(B463/B462)</f>
        <v>0.000862848645266575</v>
      </c>
      <c r="E463" s="1" t="n">
        <f aca="false">LN(C463/C462)</f>
        <v>2.52494434616246E-005</v>
      </c>
      <c r="F463" s="1" t="n">
        <f aca="false">B463/B462-1</f>
        <v>0.000863221006248249</v>
      </c>
      <c r="G463" s="1" t="n">
        <f aca="false">C463/C462-1</f>
        <v>2.52497622315051E-005</v>
      </c>
    </row>
    <row r="464" customFormat="false" ht="15" hidden="false" customHeight="false" outlineLevel="0" collapsed="false">
      <c r="A464" s="1" t="s">
        <v>471</v>
      </c>
      <c r="B464" s="5" t="n">
        <v>27.6865</v>
      </c>
      <c r="C464" s="5" t="n">
        <v>11.882</v>
      </c>
      <c r="D464" s="1" t="n">
        <f aca="false">LN(B464/B463)</f>
        <v>-0.000880907825199886</v>
      </c>
      <c r="E464" s="1" t="n">
        <f aca="false">LN(C464/C463)</f>
        <v>3.36649329256118E-005</v>
      </c>
      <c r="F464" s="1" t="n">
        <f aca="false">B464/B463-1</f>
        <v>-0.00088051993980709</v>
      </c>
      <c r="G464" s="1" t="n">
        <f aca="false">C464/C463-1</f>
        <v>3.36654995958252E-005</v>
      </c>
    </row>
    <row r="465" customFormat="false" ht="15" hidden="false" customHeight="false" outlineLevel="0" collapsed="false">
      <c r="A465" s="1" t="s">
        <v>472</v>
      </c>
      <c r="B465" s="5" t="n">
        <v>27.755</v>
      </c>
      <c r="C465" s="5" t="n">
        <v>11.8829</v>
      </c>
      <c r="D465" s="1" t="n">
        <f aca="false">LN(B465/B464)</f>
        <v>0.00247107437050828</v>
      </c>
      <c r="E465" s="1" t="n">
        <f aca="false">LN(C465/C464)</f>
        <v>7.57419556092108E-005</v>
      </c>
      <c r="F465" s="1" t="n">
        <f aca="false">B465/B464-1</f>
        <v>0.00247412999115082</v>
      </c>
      <c r="G465" s="1" t="n">
        <f aca="false">C465/C464-1</f>
        <v>7.57448241035519E-005</v>
      </c>
    </row>
    <row r="466" customFormat="false" ht="15" hidden="false" customHeight="false" outlineLevel="0" collapsed="false">
      <c r="A466" s="1" t="s">
        <v>473</v>
      </c>
      <c r="B466" s="5" t="n">
        <v>27.933</v>
      </c>
      <c r="C466" s="5" t="n">
        <v>11.8834</v>
      </c>
      <c r="D466" s="1" t="n">
        <f aca="false">LN(B466/B465)</f>
        <v>0.00639278143237795</v>
      </c>
      <c r="E466" s="1" t="n">
        <f aca="false">LN(C466/C465)</f>
        <v>4.20763854764132E-005</v>
      </c>
      <c r="F466" s="1" t="n">
        <f aca="false">B466/B465-1</f>
        <v>0.0064132588722754</v>
      </c>
      <c r="G466" s="1" t="n">
        <f aca="false">C466/C465-1</f>
        <v>4.20772706999362E-005</v>
      </c>
    </row>
    <row r="467" customFormat="false" ht="15" hidden="false" customHeight="false" outlineLevel="0" collapsed="false">
      <c r="A467" s="1" t="s">
        <v>474</v>
      </c>
      <c r="B467" s="5" t="n">
        <v>28.1619</v>
      </c>
      <c r="C467" s="5" t="n">
        <v>11.8837</v>
      </c>
      <c r="D467" s="1" t="n">
        <f aca="false">LN(B467/B466)</f>
        <v>0.00816121503014278</v>
      </c>
      <c r="E467" s="1" t="n">
        <f aca="false">LN(C467/C466)</f>
        <v>2.52449815093381E-005</v>
      </c>
      <c r="F467" s="1" t="n">
        <f aca="false">B467/B466-1</f>
        <v>0.00819460852754794</v>
      </c>
      <c r="G467" s="1" t="n">
        <f aca="false">C467/C466-1</f>
        <v>2.52453001665653E-005</v>
      </c>
    </row>
    <row r="468" customFormat="false" ht="15" hidden="false" customHeight="false" outlineLevel="0" collapsed="false">
      <c r="A468" s="1" t="s">
        <v>475</v>
      </c>
      <c r="B468" s="5" t="n">
        <v>28.0086</v>
      </c>
      <c r="C468" s="5" t="n">
        <v>11.8842</v>
      </c>
      <c r="D468" s="1" t="n">
        <f aca="false">LN(B468/B467)</f>
        <v>-0.00545839473100973</v>
      </c>
      <c r="E468" s="1" t="n">
        <f aca="false">LN(C468/C467)</f>
        <v>4.20735529916632E-005</v>
      </c>
      <c r="F468" s="1" t="n">
        <f aca="false">B468/B467-1</f>
        <v>-0.00544352476217858</v>
      </c>
      <c r="G468" s="1" t="n">
        <f aca="false">C468/C467-1</f>
        <v>4.2074438096007E-005</v>
      </c>
    </row>
    <row r="469" customFormat="false" ht="15" hidden="false" customHeight="false" outlineLevel="0" collapsed="false">
      <c r="A469" s="1" t="s">
        <v>476</v>
      </c>
      <c r="B469" s="5" t="n">
        <v>28.2312</v>
      </c>
      <c r="C469" s="5" t="n">
        <v>11.8849</v>
      </c>
      <c r="D469" s="1" t="n">
        <f aca="false">LN(B469/B468)</f>
        <v>0.00791614345856878</v>
      </c>
      <c r="E469" s="1" t="n">
        <f aca="false">LN(C469/C468)</f>
        <v>5.89000004378615E-005</v>
      </c>
      <c r="F469" s="1" t="n">
        <f aca="false">B469/B468-1</f>
        <v>0.00794755896403254</v>
      </c>
      <c r="G469" s="1" t="n">
        <f aca="false">C469/C468-1</f>
        <v>5.89017350769439E-005</v>
      </c>
    </row>
    <row r="470" customFormat="false" ht="15" hidden="false" customHeight="false" outlineLevel="0" collapsed="false">
      <c r="A470" s="1" t="s">
        <v>477</v>
      </c>
      <c r="B470" s="5" t="n">
        <v>28.2104</v>
      </c>
      <c r="C470" s="5" t="n">
        <v>11.8858</v>
      </c>
      <c r="D470" s="1" t="n">
        <f aca="false">LN(B470/B469)</f>
        <v>-0.000737045049807584</v>
      </c>
      <c r="E470" s="1" t="n">
        <f aca="false">LN(C470/C469)</f>
        <v>7.57234747340489E-005</v>
      </c>
      <c r="F470" s="1" t="n">
        <f aca="false">B470/B469-1</f>
        <v>-0.000736773498824062</v>
      </c>
      <c r="G470" s="1" t="n">
        <f aca="false">C470/C469-1</f>
        <v>7.57263418287302E-005</v>
      </c>
    </row>
    <row r="471" customFormat="false" ht="15" hidden="false" customHeight="false" outlineLevel="0" collapsed="false">
      <c r="A471" s="1" t="s">
        <v>478</v>
      </c>
      <c r="B471" s="5" t="n">
        <v>28.1455</v>
      </c>
      <c r="C471" s="5" t="n">
        <v>11.8863</v>
      </c>
      <c r="D471" s="1" t="n">
        <f aca="false">LN(B471/B470)</f>
        <v>-0.00230322037941927</v>
      </c>
      <c r="E471" s="1" t="n">
        <f aca="false">LN(C471/C470)</f>
        <v>4.20661195330179E-005</v>
      </c>
      <c r="F471" s="1" t="n">
        <f aca="false">B471/B470-1</f>
        <v>-0.00230057000255235</v>
      </c>
      <c r="G471" s="1" t="n">
        <f aca="false">C471/C470-1</f>
        <v>4.20670043246307E-005</v>
      </c>
    </row>
    <row r="472" customFormat="false" ht="15" hidden="false" customHeight="false" outlineLevel="0" collapsed="false">
      <c r="A472" s="1" t="s">
        <v>479</v>
      </c>
      <c r="B472" s="5" t="n">
        <v>28.4784</v>
      </c>
      <c r="C472" s="5" t="n">
        <v>11.8861</v>
      </c>
      <c r="D472" s="1" t="n">
        <f aca="false">LN(B472/B471)</f>
        <v>0.0117584212873741</v>
      </c>
      <c r="E472" s="1" t="n">
        <f aca="false">LN(C472/C471)</f>
        <v>-1.6826235466714E-005</v>
      </c>
      <c r="F472" s="1" t="n">
        <f aca="false">B472/B471-1</f>
        <v>0.0118278232754794</v>
      </c>
      <c r="G472" s="1" t="n">
        <f aca="false">C472/C471-1</f>
        <v>-1.6826093906408E-005</v>
      </c>
    </row>
    <row r="473" customFormat="false" ht="15" hidden="false" customHeight="false" outlineLevel="0" collapsed="false">
      <c r="A473" s="1" t="s">
        <v>480</v>
      </c>
      <c r="B473" s="5" t="n">
        <v>28.6409</v>
      </c>
      <c r="C473" s="5" t="n">
        <v>11.8868</v>
      </c>
      <c r="D473" s="1" t="n">
        <f aca="false">LN(B473/B472)</f>
        <v>0.0056898609893571</v>
      </c>
      <c r="E473" s="1" t="n">
        <f aca="false">LN(C473/C472)</f>
        <v>5.88905855155298E-005</v>
      </c>
      <c r="F473" s="1" t="n">
        <f aca="false">B473/B472-1</f>
        <v>0.00570607899320175</v>
      </c>
      <c r="G473" s="1" t="n">
        <f aca="false">C473/C472-1</f>
        <v>5.88923196001012E-005</v>
      </c>
    </row>
    <row r="474" customFormat="false" ht="15" hidden="false" customHeight="false" outlineLevel="0" collapsed="false">
      <c r="A474" s="1" t="s">
        <v>481</v>
      </c>
      <c r="B474" s="5" t="n">
        <v>28.4278</v>
      </c>
      <c r="C474" s="5" t="n">
        <v>11.8873</v>
      </c>
      <c r="D474" s="1" t="n">
        <f aca="false">LN(B474/B473)</f>
        <v>-0.00746822655710055</v>
      </c>
      <c r="E474" s="1" t="n">
        <f aca="false">LN(C474/C473)</f>
        <v>4.20625807138716E-005</v>
      </c>
      <c r="F474" s="1" t="n">
        <f aca="false">B474/B473-1</f>
        <v>-0.00744040864637618</v>
      </c>
      <c r="G474" s="1" t="n">
        <f aca="false">C474/C473-1</f>
        <v>4.20634653566232E-005</v>
      </c>
    </row>
    <row r="475" customFormat="false" ht="15" hidden="false" customHeight="false" outlineLevel="0" collapsed="false">
      <c r="A475" s="1" t="s">
        <v>482</v>
      </c>
      <c r="B475" s="5" t="n">
        <v>28.7244</v>
      </c>
      <c r="C475" s="5" t="n">
        <v>11.8881</v>
      </c>
      <c r="D475" s="1" t="n">
        <f aca="false">LN(B475/B474)</f>
        <v>0.0103793961656002</v>
      </c>
      <c r="E475" s="1" t="n">
        <f aca="false">LN(C475/C474)</f>
        <v>6.72964492964873E-005</v>
      </c>
      <c r="F475" s="1" t="n">
        <f aca="false">B475/B474-1</f>
        <v>0.0104334489478608</v>
      </c>
      <c r="G475" s="1" t="n">
        <f aca="false">C475/C474-1</f>
        <v>6.72987137533276E-005</v>
      </c>
    </row>
    <row r="476" customFormat="false" ht="15" hidden="false" customHeight="false" outlineLevel="0" collapsed="false">
      <c r="A476" s="1" t="s">
        <v>483</v>
      </c>
      <c r="B476" s="5" t="n">
        <v>28.7715</v>
      </c>
      <c r="C476" s="5" t="n">
        <v>11.8884</v>
      </c>
      <c r="D476" s="1" t="n">
        <f aca="false">LN(B476/B475)</f>
        <v>0.00163837805950723</v>
      </c>
      <c r="E476" s="1" t="n">
        <f aca="false">LN(C476/C475)</f>
        <v>2.52350009477416E-005</v>
      </c>
      <c r="F476" s="1" t="n">
        <f aca="false">B476/B475-1</f>
        <v>0.00163972093411879</v>
      </c>
      <c r="G476" s="1" t="n">
        <f aca="false">C476/C475-1</f>
        <v>2.52353193530563E-005</v>
      </c>
    </row>
    <row r="477" customFormat="false" ht="15" hidden="false" customHeight="false" outlineLevel="0" collapsed="false">
      <c r="A477" s="1" t="s">
        <v>484</v>
      </c>
      <c r="B477" s="5" t="n">
        <v>28.8593</v>
      </c>
      <c r="C477" s="5" t="n">
        <v>11.8887</v>
      </c>
      <c r="D477" s="1" t="n">
        <f aca="false">LN(B477/B476)</f>
        <v>0.00304698417959663</v>
      </c>
      <c r="E477" s="1" t="n">
        <f aca="false">LN(C477/C476)</f>
        <v>2.52343641583138E-005</v>
      </c>
      <c r="F477" s="1" t="n">
        <f aca="false">B477/B476-1</f>
        <v>0.00305163095424299</v>
      </c>
      <c r="G477" s="1" t="n">
        <f aca="false">C477/C476-1</f>
        <v>2.52346825475591E-005</v>
      </c>
    </row>
    <row r="478" customFormat="false" ht="15" hidden="false" customHeight="false" outlineLevel="0" collapsed="false">
      <c r="A478" s="1" t="s">
        <v>485</v>
      </c>
      <c r="B478" s="5" t="n">
        <v>28.8806</v>
      </c>
      <c r="C478" s="5" t="n">
        <v>11.889</v>
      </c>
      <c r="D478" s="1" t="n">
        <f aca="false">LN(B478/B477)</f>
        <v>0.000737791404772089</v>
      </c>
      <c r="E478" s="1" t="n">
        <f aca="false">LN(C478/C477)</f>
        <v>2.52337274013032E-005</v>
      </c>
      <c r="F478" s="1" t="n">
        <f aca="false">B478/B477-1</f>
        <v>0.000738063639797337</v>
      </c>
      <c r="G478" s="1" t="n">
        <f aca="false">C478/C477-1</f>
        <v>2.52340457744804E-005</v>
      </c>
    </row>
    <row r="479" customFormat="false" ht="15" hidden="false" customHeight="false" outlineLevel="0" collapsed="false">
      <c r="A479" s="1" t="s">
        <v>486</v>
      </c>
      <c r="B479" s="5" t="n">
        <v>28.9505</v>
      </c>
      <c r="C479" s="5" t="n">
        <v>11.8902</v>
      </c>
      <c r="D479" s="1" t="n">
        <f aca="false">LN(B479/B478)</f>
        <v>0.00241738559494308</v>
      </c>
      <c r="E479" s="1" t="n">
        <f aca="false">LN(C479/C478)</f>
        <v>0.000100928542677672</v>
      </c>
      <c r="F479" s="1" t="n">
        <f aca="false">B479/B478-1</f>
        <v>0.00242030982735808</v>
      </c>
      <c r="G479" s="1" t="n">
        <f aca="false">C479/C478-1</f>
        <v>0.000100933636134393</v>
      </c>
    </row>
    <row r="480" customFormat="false" ht="15" hidden="false" customHeight="false" outlineLevel="0" collapsed="false">
      <c r="A480" s="1" t="s">
        <v>487</v>
      </c>
      <c r="B480" s="5" t="n">
        <v>28.7475</v>
      </c>
      <c r="C480" s="5" t="n">
        <v>11.8907</v>
      </c>
      <c r="D480" s="1" t="n">
        <f aca="false">LN(B480/B479)</f>
        <v>-0.00703666808634438</v>
      </c>
      <c r="E480" s="1" t="n">
        <f aca="false">LN(C480/C479)</f>
        <v>4.20505531813759E-005</v>
      </c>
      <c r="F480" s="1" t="n">
        <f aca="false">B480/B479-1</f>
        <v>-0.00701196870520382</v>
      </c>
      <c r="G480" s="1" t="n">
        <f aca="false">C480/C479-1</f>
        <v>4.20514373182801E-005</v>
      </c>
    </row>
    <row r="481" customFormat="false" ht="15" hidden="false" customHeight="false" outlineLevel="0" collapsed="false">
      <c r="A481" s="1" t="s">
        <v>488</v>
      </c>
      <c r="B481" s="5" t="n">
        <v>28.653</v>
      </c>
      <c r="C481" s="5" t="n">
        <v>11.8914</v>
      </c>
      <c r="D481" s="1" t="n">
        <f aca="false">LN(B481/B480)</f>
        <v>-0.0032926572199726</v>
      </c>
      <c r="E481" s="1" t="n">
        <f aca="false">LN(C481/C480)</f>
        <v>5.88678039535876E-005</v>
      </c>
      <c r="F481" s="1" t="n">
        <f aca="false">B481/B480-1</f>
        <v>-0.00328724236890166</v>
      </c>
      <c r="G481" s="1" t="n">
        <f aca="false">C481/C480-1</f>
        <v>5.88695366967595E-005</v>
      </c>
    </row>
    <row r="482" customFormat="false" ht="15" hidden="false" customHeight="false" outlineLevel="0" collapsed="false">
      <c r="A482" s="1" t="s">
        <v>489</v>
      </c>
      <c r="B482" s="5" t="n">
        <v>28.642</v>
      </c>
      <c r="C482" s="5" t="n">
        <v>11.8918</v>
      </c>
      <c r="D482" s="1" t="n">
        <f aca="false">LN(B482/B481)</f>
        <v>-0.0003839776641994</v>
      </c>
      <c r="E482" s="1" t="n">
        <f aca="false">LN(C482/C481)</f>
        <v>3.36371892794859E-005</v>
      </c>
      <c r="F482" s="1" t="n">
        <f aca="false">B482/B481-1</f>
        <v>-0.000383903954210729</v>
      </c>
      <c r="G482" s="1" t="n">
        <f aca="false">C482/C481-1</f>
        <v>3.36377550160805E-005</v>
      </c>
    </row>
    <row r="483" customFormat="false" ht="15" hidden="false" customHeight="false" outlineLevel="0" collapsed="false">
      <c r="A483" s="1" t="s">
        <v>490</v>
      </c>
      <c r="B483" s="5" t="n">
        <v>28.6869</v>
      </c>
      <c r="C483" s="5" t="n">
        <v>11.8926</v>
      </c>
      <c r="D483" s="1" t="n">
        <f aca="false">LN(B483/B482)</f>
        <v>0.00156640051285099</v>
      </c>
      <c r="E483" s="1" t="n">
        <f aca="false">LN(C483/C482)</f>
        <v>6.72709843680136E-005</v>
      </c>
      <c r="F483" s="1" t="n">
        <f aca="false">B483/B482-1</f>
        <v>0.00156762795894139</v>
      </c>
      <c r="G483" s="1" t="n">
        <f aca="false">C483/C482-1</f>
        <v>6.72732471114212E-005</v>
      </c>
    </row>
    <row r="484" customFormat="false" ht="15" hidden="false" customHeight="false" outlineLevel="0" collapsed="false">
      <c r="A484" s="1" t="s">
        <v>491</v>
      </c>
      <c r="B484" s="5" t="n">
        <v>28.5692</v>
      </c>
      <c r="C484" s="5" t="n">
        <v>11.8933</v>
      </c>
      <c r="D484" s="1" t="n">
        <f aca="false">LN(B484/B483)</f>
        <v>-0.00411135811879677</v>
      </c>
      <c r="E484" s="1" t="n">
        <f aca="false">LN(C484/C483)</f>
        <v>5.88583993207823E-005</v>
      </c>
      <c r="F484" s="1" t="n">
        <f aca="false">B484/B483-1</f>
        <v>-0.00410291805667407</v>
      </c>
      <c r="G484" s="1" t="n">
        <f aca="false">C484/C483-1</f>
        <v>5.88601315103521E-005</v>
      </c>
    </row>
    <row r="485" customFormat="false" ht="15" hidden="false" customHeight="false" outlineLevel="0" collapsed="false">
      <c r="A485" s="1" t="s">
        <v>492</v>
      </c>
      <c r="B485" s="5" t="n">
        <v>28.4522</v>
      </c>
      <c r="C485" s="5" t="n">
        <v>11.8935</v>
      </c>
      <c r="D485" s="1" t="n">
        <f aca="false">LN(B485/B484)</f>
        <v>-0.00410372822118214</v>
      </c>
      <c r="E485" s="1" t="n">
        <f aca="false">LN(C485/C484)</f>
        <v>1.6816049237662E-005</v>
      </c>
      <c r="F485" s="1" t="n">
        <f aca="false">B485/B484-1</f>
        <v>-0.00409531943491581</v>
      </c>
      <c r="G485" s="1" t="n">
        <f aca="false">C485/C484-1</f>
        <v>1.68161906282105E-005</v>
      </c>
    </row>
    <row r="486" customFormat="false" ht="15" hidden="false" customHeight="false" outlineLevel="0" collapsed="false">
      <c r="A486" s="1" t="s">
        <v>493</v>
      </c>
      <c r="B486" s="5" t="n">
        <v>28.4027</v>
      </c>
      <c r="C486" s="5" t="n">
        <v>11.8938</v>
      </c>
      <c r="D486" s="1" t="n">
        <f aca="false">LN(B486/B485)</f>
        <v>-0.0017412751585936</v>
      </c>
      <c r="E486" s="1" t="n">
        <f aca="false">LN(C486/C485)</f>
        <v>2.52235436570305E-005</v>
      </c>
      <c r="F486" s="1" t="n">
        <f aca="false">B486/B485-1</f>
        <v>-0.00173976001855747</v>
      </c>
      <c r="G486" s="1" t="n">
        <f aca="false">C486/C485-1</f>
        <v>2.52238617732825E-005</v>
      </c>
    </row>
    <row r="487" customFormat="false" ht="15" hidden="false" customHeight="false" outlineLevel="0" collapsed="false">
      <c r="A487" s="1" t="s">
        <v>494</v>
      </c>
      <c r="B487" s="5" t="n">
        <v>28.4706</v>
      </c>
      <c r="C487" s="5" t="n">
        <v>11.8942</v>
      </c>
      <c r="D487" s="1" t="n">
        <f aca="false">LN(B487/B486)</f>
        <v>0.00238776481268138</v>
      </c>
      <c r="E487" s="1" t="n">
        <f aca="false">LN(C487/C486)</f>
        <v>3.36304018864217E-005</v>
      </c>
      <c r="F487" s="1" t="n">
        <f aca="false">B487/B486-1</f>
        <v>0.00239061779337879</v>
      </c>
      <c r="G487" s="1" t="n">
        <f aca="false">C487/C486-1</f>
        <v>3.36309673947266E-005</v>
      </c>
    </row>
    <row r="488" customFormat="false" ht="15" hidden="false" customHeight="false" outlineLevel="0" collapsed="false">
      <c r="A488" s="1" t="s">
        <v>495</v>
      </c>
      <c r="B488" s="5" t="n">
        <v>28.6045</v>
      </c>
      <c r="C488" s="5" t="n">
        <v>11.8947</v>
      </c>
      <c r="D488" s="1" t="n">
        <f aca="false">LN(B488/B487)</f>
        <v>0.00469207222262126</v>
      </c>
      <c r="E488" s="1" t="n">
        <f aca="false">LN(C488/C487)</f>
        <v>4.20364119462279E-005</v>
      </c>
      <c r="F488" s="1" t="n">
        <f aca="false">B488/B487-1</f>
        <v>0.00470309723012519</v>
      </c>
      <c r="G488" s="1" t="n">
        <f aca="false">C488/C487-1</f>
        <v>4.20372954885728E-005</v>
      </c>
    </row>
    <row r="489" customFormat="false" ht="15" hidden="false" customHeight="false" outlineLevel="0" collapsed="false">
      <c r="A489" s="1" t="s">
        <v>496</v>
      </c>
      <c r="B489" s="5" t="n">
        <v>28.6162</v>
      </c>
      <c r="C489" s="5" t="n">
        <v>11.8949</v>
      </c>
      <c r="D489" s="1" t="n">
        <f aca="false">LN(B489/B488)</f>
        <v>0.000408942923209621</v>
      </c>
      <c r="E489" s="1" t="n">
        <f aca="false">LN(C489/C488)</f>
        <v>1.68140700141845E-005</v>
      </c>
      <c r="F489" s="1" t="n">
        <f aca="false">B489/B488-1</f>
        <v>0.000409026551766223</v>
      </c>
      <c r="G489" s="1" t="n">
        <f aca="false">C489/C488-1</f>
        <v>1.6814211371452E-005</v>
      </c>
    </row>
    <row r="490" customFormat="false" ht="15" hidden="false" customHeight="false" outlineLevel="0" collapsed="false">
      <c r="A490" s="1" t="s">
        <v>497</v>
      </c>
      <c r="B490" s="5" t="n">
        <v>28.7845</v>
      </c>
      <c r="C490" s="5" t="n">
        <v>11.8953</v>
      </c>
      <c r="D490" s="1" t="n">
        <f aca="false">LN(B490/B489)</f>
        <v>0.00586405678953996</v>
      </c>
      <c r="E490" s="1" t="n">
        <f aca="false">LN(C490/C489)</f>
        <v>3.36272919132574E-005</v>
      </c>
      <c r="F490" s="1" t="n">
        <f aca="false">B490/B489-1</f>
        <v>0.00588128402792831</v>
      </c>
      <c r="G490" s="1" t="n">
        <f aca="false">C490/C489-1</f>
        <v>3.36278573169757E-005</v>
      </c>
    </row>
    <row r="491" customFormat="false" ht="15" hidden="false" customHeight="false" outlineLevel="0" collapsed="false">
      <c r="A491" s="1" t="s">
        <v>498</v>
      </c>
      <c r="B491" s="5" t="n">
        <v>29.6635</v>
      </c>
      <c r="C491" s="5" t="n">
        <v>11.8975</v>
      </c>
      <c r="D491" s="1" t="n">
        <f aca="false">LN(B491/B490)</f>
        <v>0.0300802859748677</v>
      </c>
      <c r="E491" s="1" t="n">
        <f aca="false">LN(C491/C490)</f>
        <v>0.000184929895285143</v>
      </c>
      <c r="F491" s="1" t="n">
        <f aca="false">B491/B490-1</f>
        <v>0.0305372683214924</v>
      </c>
      <c r="G491" s="1" t="n">
        <f aca="false">C491/C490-1</f>
        <v>0.000184946995872348</v>
      </c>
    </row>
    <row r="492" customFormat="false" ht="15" hidden="false" customHeight="false" outlineLevel="0" collapsed="false">
      <c r="A492" s="1" t="s">
        <v>499</v>
      </c>
      <c r="B492" s="5" t="n">
        <v>29.8011</v>
      </c>
      <c r="C492" s="5" t="n">
        <v>11.8981</v>
      </c>
      <c r="D492" s="1" t="n">
        <f aca="false">LN(B492/B491)</f>
        <v>0.00462797178806863</v>
      </c>
      <c r="E492" s="1" t="n">
        <f aca="false">LN(C492/C491)</f>
        <v>5.04294911769538E-005</v>
      </c>
      <c r="F492" s="1" t="n">
        <f aca="false">B492/B491-1</f>
        <v>0.00463869738904732</v>
      </c>
      <c r="G492" s="1" t="n">
        <f aca="false">C492/C491-1</f>
        <v>5.0430762765119E-005</v>
      </c>
    </row>
    <row r="493" customFormat="false" ht="15" hidden="false" customHeight="false" outlineLevel="0" collapsed="false">
      <c r="A493" s="1" t="s">
        <v>500</v>
      </c>
      <c r="B493" s="5" t="n">
        <v>29.7519</v>
      </c>
      <c r="C493" s="5" t="n">
        <v>11.8983</v>
      </c>
      <c r="D493" s="1" t="n">
        <f aca="false">LN(B493/B492)</f>
        <v>-0.00165231008323776</v>
      </c>
      <c r="E493" s="1" t="n">
        <f aca="false">LN(C493/C492)</f>
        <v>1.68092652675362E-005</v>
      </c>
      <c r="F493" s="1" t="n">
        <f aca="false">B493/B492-1</f>
        <v>-0.00165094577045821</v>
      </c>
      <c r="G493" s="1" t="n">
        <f aca="false">C493/C492-1</f>
        <v>1.68094065440272E-005</v>
      </c>
    </row>
    <row r="494" customFormat="false" ht="15" hidden="false" customHeight="false" outlineLevel="0" collapsed="false">
      <c r="A494" s="1" t="s">
        <v>501</v>
      </c>
      <c r="B494" s="5" t="n">
        <v>29.5898</v>
      </c>
      <c r="C494" s="5" t="n">
        <v>11.8991</v>
      </c>
      <c r="D494" s="1" t="n">
        <f aca="false">LN(B494/B493)</f>
        <v>-0.00546328814948052</v>
      </c>
      <c r="E494" s="1" t="n">
        <f aca="false">LN(C494/C493)</f>
        <v>6.72342356980773E-005</v>
      </c>
      <c r="F494" s="1" t="n">
        <f aca="false">B494/B493-1</f>
        <v>-0.00544839153129717</v>
      </c>
      <c r="G494" s="1" t="n">
        <f aca="false">C494/C493-1</f>
        <v>6.72364959699578E-005</v>
      </c>
    </row>
    <row r="495" customFormat="false" ht="15" hidden="false" customHeight="false" outlineLevel="0" collapsed="false">
      <c r="A495" s="1" t="s">
        <v>502</v>
      </c>
      <c r="B495" s="5" t="n">
        <v>29.7443</v>
      </c>
      <c r="C495" s="5" t="n">
        <v>11.8996</v>
      </c>
      <c r="D495" s="1" t="n">
        <f aca="false">LN(B495/B494)</f>
        <v>0.00520780964694288</v>
      </c>
      <c r="E495" s="1" t="n">
        <f aca="false">LN(C495/C494)</f>
        <v>4.20191018898286E-005</v>
      </c>
      <c r="F495" s="1" t="n">
        <f aca="false">B495/B494-1</f>
        <v>0.00522139385869447</v>
      </c>
      <c r="G495" s="1" t="n">
        <f aca="false">C495/C494-1</f>
        <v>4.20199847046554E-005</v>
      </c>
    </row>
    <row r="496" customFormat="false" ht="15" hidden="false" customHeight="false" outlineLevel="0" collapsed="false">
      <c r="A496" s="1" t="s">
        <v>503</v>
      </c>
      <c r="B496" s="5" t="n">
        <v>29.6887</v>
      </c>
      <c r="C496" s="5" t="n">
        <v>11.9</v>
      </c>
      <c r="D496" s="1" t="n">
        <f aca="false">LN(B496/B495)</f>
        <v>-0.00187101496541967</v>
      </c>
      <c r="E496" s="1" t="n">
        <f aca="false">LN(C496/C495)</f>
        <v>3.36140103227748E-005</v>
      </c>
      <c r="F496" s="1" t="n">
        <f aca="false">B496/B495-1</f>
        <v>-0.00186926570805157</v>
      </c>
      <c r="G496" s="1" t="n">
        <f aca="false">C496/C495-1</f>
        <v>3.36145752799499E-005</v>
      </c>
    </row>
    <row r="497" customFormat="false" ht="15" hidden="false" customHeight="false" outlineLevel="0" collapsed="false">
      <c r="A497" s="1" t="s">
        <v>504</v>
      </c>
      <c r="B497" s="5" t="n">
        <v>29.6096</v>
      </c>
      <c r="C497" s="5" t="n">
        <v>11.9004</v>
      </c>
      <c r="D497" s="1" t="n">
        <f aca="false">LN(B497/B496)</f>
        <v>-0.00266786895800876</v>
      </c>
      <c r="E497" s="1" t="n">
        <f aca="false">LN(C497/C496)</f>
        <v>3.36128804588043E-005</v>
      </c>
      <c r="F497" s="1" t="n">
        <f aca="false">B497/B496-1</f>
        <v>-0.0026643133582811</v>
      </c>
      <c r="G497" s="1" t="n">
        <f aca="false">C497/C496-1</f>
        <v>3.36134453780002E-005</v>
      </c>
    </row>
    <row r="498" customFormat="false" ht="15" hidden="false" customHeight="false" outlineLevel="0" collapsed="false">
      <c r="A498" s="1" t="s">
        <v>505</v>
      </c>
      <c r="B498" s="5" t="n">
        <v>29.7277</v>
      </c>
      <c r="C498" s="5" t="n">
        <v>11.9007</v>
      </c>
      <c r="D498" s="1" t="n">
        <f aca="false">LN(B498/B497)</f>
        <v>0.003980638011702</v>
      </c>
      <c r="E498" s="1" t="n">
        <f aca="false">LN(C498/C497)</f>
        <v>2.52089189169143E-005</v>
      </c>
      <c r="F498" s="1" t="n">
        <f aca="false">B498/B497-1</f>
        <v>0.0039885712741814</v>
      </c>
      <c r="G498" s="1" t="n">
        <f aca="false">C498/C497-1</f>
        <v>2.52092366643808E-005</v>
      </c>
    </row>
    <row r="499" customFormat="false" ht="15" hidden="false" customHeight="false" outlineLevel="0" collapsed="false">
      <c r="A499" s="1" t="s">
        <v>506</v>
      </c>
      <c r="B499" s="5" t="n">
        <v>29.3094</v>
      </c>
      <c r="C499" s="5" t="n">
        <v>11.9027</v>
      </c>
      <c r="D499" s="1" t="n">
        <f aca="false">LN(B499/B498)</f>
        <v>-0.0141709874000738</v>
      </c>
      <c r="E499" s="1" t="n">
        <f aca="false">LN(C499/C498)</f>
        <v>0.000168043221111655</v>
      </c>
      <c r="F499" s="1" t="n">
        <f aca="false">B499/B498-1</f>
        <v>-0.0140710515781577</v>
      </c>
      <c r="G499" s="1" t="n">
        <f aca="false">C499/C498-1</f>
        <v>0.000168057341164651</v>
      </c>
    </row>
    <row r="500" customFormat="false" ht="15" hidden="false" customHeight="false" outlineLevel="0" collapsed="false">
      <c r="A500" s="1" t="s">
        <v>507</v>
      </c>
      <c r="B500" s="5" t="n">
        <v>29.4141</v>
      </c>
      <c r="C500" s="5" t="n">
        <v>11.903</v>
      </c>
      <c r="D500" s="1" t="n">
        <f aca="false">LN(B500/B499)</f>
        <v>0.00356586752976028</v>
      </c>
      <c r="E500" s="1" t="n">
        <f aca="false">LN(C500/C499)</f>
        <v>2.52040477714227E-005</v>
      </c>
      <c r="F500" s="1" t="n">
        <f aca="false">B500/B499-1</f>
        <v>0.00357223279903374</v>
      </c>
      <c r="G500" s="1" t="n">
        <f aca="false">C500/C499-1</f>
        <v>2.52043653961032E-005</v>
      </c>
    </row>
    <row r="501" customFormat="false" ht="15" hidden="false" customHeight="false" outlineLevel="0" collapsed="false">
      <c r="A501" s="1" t="s">
        <v>508</v>
      </c>
      <c r="B501" s="5" t="n">
        <v>29.5117</v>
      </c>
      <c r="C501" s="5" t="n">
        <v>11.9037</v>
      </c>
      <c r="D501" s="1" t="n">
        <f aca="false">LN(B501/B500)</f>
        <v>0.00331264367227935</v>
      </c>
      <c r="E501" s="1" t="n">
        <f aca="false">LN(C501/C500)</f>
        <v>5.88069745241073E-005</v>
      </c>
      <c r="F501" s="1" t="n">
        <f aca="false">B501/B500-1</f>
        <v>0.00331813653995883</v>
      </c>
      <c r="G501" s="1" t="n">
        <f aca="false">C501/C500-1</f>
        <v>5.88087036881291E-005</v>
      </c>
    </row>
    <row r="502" customFormat="false" ht="15" hidden="false" customHeight="false" outlineLevel="0" collapsed="false">
      <c r="A502" s="1" t="s">
        <v>509</v>
      </c>
      <c r="B502" s="5" t="n">
        <v>29.7574</v>
      </c>
      <c r="C502" s="5" t="n">
        <v>11.904</v>
      </c>
      <c r="D502" s="1" t="n">
        <f aca="false">LN(B502/B501)</f>
        <v>0.00829104567065589</v>
      </c>
      <c r="E502" s="1" t="n">
        <f aca="false">LN(C502/C501)</f>
        <v>2.52019304691615E-005</v>
      </c>
      <c r="F502" s="1" t="n">
        <f aca="false">B502/B501-1</f>
        <v>0.00832551157676442</v>
      </c>
      <c r="G502" s="1" t="n">
        <f aca="false">C502/C501-1</f>
        <v>2.5202248040479E-005</v>
      </c>
    </row>
    <row r="503" customFormat="false" ht="15" hidden="false" customHeight="false" outlineLevel="0" collapsed="false">
      <c r="A503" s="1" t="s">
        <v>510</v>
      </c>
      <c r="B503" s="5" t="n">
        <v>29.9456</v>
      </c>
      <c r="C503" s="5" t="n">
        <v>11.9044</v>
      </c>
      <c r="D503" s="1" t="n">
        <f aca="false">LN(B503/B502)</f>
        <v>0.00630456169280757</v>
      </c>
      <c r="E503" s="1" t="n">
        <f aca="false">LN(C503/C502)</f>
        <v>3.36015859979899E-005</v>
      </c>
      <c r="F503" s="1" t="n">
        <f aca="false">B503/B502-1</f>
        <v>0.00632447727287988</v>
      </c>
      <c r="G503" s="1" t="n">
        <f aca="false">C503/C502-1</f>
        <v>3.36021505376039E-005</v>
      </c>
    </row>
    <row r="504" customFormat="false" ht="15" hidden="false" customHeight="false" outlineLevel="0" collapsed="false">
      <c r="A504" s="1" t="s">
        <v>511</v>
      </c>
      <c r="B504" s="5" t="n">
        <v>30.1838</v>
      </c>
      <c r="C504" s="5" t="n">
        <v>11.9047</v>
      </c>
      <c r="D504" s="1" t="n">
        <f aca="false">LN(B504/B503)</f>
        <v>0.00792295436331768</v>
      </c>
      <c r="E504" s="1" t="n">
        <f aca="false">LN(C504/C503)</f>
        <v>2.5200448569268E-005</v>
      </c>
      <c r="F504" s="1" t="n">
        <f aca="false">B504/B503-1</f>
        <v>0.00795442402222713</v>
      </c>
      <c r="G504" s="1" t="n">
        <f aca="false">C504/C503-1</f>
        <v>2.52007661032394E-005</v>
      </c>
    </row>
    <row r="505" customFormat="false" ht="15" hidden="false" customHeight="false" outlineLevel="0" collapsed="false">
      <c r="A505" s="1" t="s">
        <v>512</v>
      </c>
      <c r="B505" s="5" t="n">
        <v>30.1131</v>
      </c>
      <c r="C505" s="5" t="n">
        <v>11.905</v>
      </c>
      <c r="D505" s="1" t="n">
        <f aca="false">LN(B505/B504)</f>
        <v>-0.00234506359033976</v>
      </c>
      <c r="E505" s="1" t="n">
        <f aca="false">LN(C505/C504)</f>
        <v>2.51998135226024E-005</v>
      </c>
      <c r="F505" s="1" t="n">
        <f aca="false">B505/B504-1</f>
        <v>-0.00234231607683599</v>
      </c>
      <c r="G505" s="1" t="n">
        <f aca="false">C505/C504-1</f>
        <v>2.52001310405703E-005</v>
      </c>
    </row>
    <row r="506" customFormat="false" ht="15" hidden="false" customHeight="false" outlineLevel="0" collapsed="false">
      <c r="A506" s="1" t="s">
        <v>513</v>
      </c>
      <c r="B506" s="5" t="n">
        <v>30.0713</v>
      </c>
      <c r="C506" s="5" t="n">
        <v>11.906</v>
      </c>
      <c r="D506" s="1" t="n">
        <f aca="false">LN(B506/B505)</f>
        <v>-0.00138906449914231</v>
      </c>
      <c r="E506" s="1" t="n">
        <f aca="false">LN(C506/C505)</f>
        <v>8.39947923724663E-005</v>
      </c>
      <c r="F506" s="1" t="n">
        <f aca="false">B506/B505-1</f>
        <v>-0.00138810019559588</v>
      </c>
      <c r="G506" s="1" t="n">
        <f aca="false">C506/C505-1</f>
        <v>8.39983200338068E-005</v>
      </c>
    </row>
    <row r="507" customFormat="false" ht="15" hidden="false" customHeight="false" outlineLevel="0" collapsed="false">
      <c r="A507" s="1" t="s">
        <v>514</v>
      </c>
      <c r="B507" s="5" t="n">
        <v>29.7538</v>
      </c>
      <c r="C507" s="5" t="n">
        <v>11.9065</v>
      </c>
      <c r="D507" s="1" t="n">
        <f aca="false">LN(B507/B506)</f>
        <v>-0.0106143735963867</v>
      </c>
      <c r="E507" s="1" t="n">
        <f aca="false">LN(C507/C506)</f>
        <v>4.19947506623319E-005</v>
      </c>
      <c r="F507" s="1" t="n">
        <f aca="false">B507/B506-1</f>
        <v>-0.0105582399164653</v>
      </c>
      <c r="G507" s="1" t="n">
        <f aca="false">C507/C506-1</f>
        <v>4.1995632454217E-005</v>
      </c>
    </row>
    <row r="508" customFormat="false" ht="15" hidden="false" customHeight="false" outlineLevel="0" collapsed="false">
      <c r="A508" s="1" t="s">
        <v>515</v>
      </c>
      <c r="B508" s="5" t="n">
        <v>29.7685</v>
      </c>
      <c r="C508" s="5" t="n">
        <v>11.9068</v>
      </c>
      <c r="D508" s="1" t="n">
        <f aca="false">LN(B508/B507)</f>
        <v>0.000493932536170962</v>
      </c>
      <c r="E508" s="1" t="n">
        <f aca="false">LN(C508/C507)</f>
        <v>2.51960039151561E-005</v>
      </c>
      <c r="F508" s="1" t="n">
        <f aca="false">B508/B507-1</f>
        <v>0.000494054540932654</v>
      </c>
      <c r="G508" s="1" t="n">
        <f aca="false">C508/C507-1</f>
        <v>2.51963213371287E-005</v>
      </c>
    </row>
    <row r="509" customFormat="false" ht="15" hidden="false" customHeight="false" outlineLevel="0" collapsed="false">
      <c r="A509" s="1" t="s">
        <v>516</v>
      </c>
      <c r="B509" s="5" t="n">
        <v>29.6993</v>
      </c>
      <c r="C509" s="5" t="n">
        <v>11.9072</v>
      </c>
      <c r="D509" s="1" t="n">
        <f aca="false">LN(B509/B508)</f>
        <v>-0.00232731095599403</v>
      </c>
      <c r="E509" s="1" t="n">
        <f aca="false">LN(C509/C508)</f>
        <v>3.35936843903139E-005</v>
      </c>
      <c r="F509" s="1" t="n">
        <f aca="false">B509/B508-1</f>
        <v>-0.00232460486756125</v>
      </c>
      <c r="G509" s="1" t="n">
        <f aca="false">C509/C508-1</f>
        <v>3.3594248664448E-005</v>
      </c>
    </row>
    <row r="510" customFormat="false" ht="15" hidden="false" customHeight="false" outlineLevel="0" collapsed="false">
      <c r="A510" s="1" t="s">
        <v>517</v>
      </c>
      <c r="B510" s="5" t="n">
        <v>29.956</v>
      </c>
      <c r="C510" s="5" t="n">
        <v>11.9076</v>
      </c>
      <c r="D510" s="1" t="n">
        <f aca="false">LN(B510/B509)</f>
        <v>0.00860616187978959</v>
      </c>
      <c r="E510" s="1" t="n">
        <f aca="false">LN(C510/C509)</f>
        <v>3.3592555892737E-005</v>
      </c>
      <c r="F510" s="1" t="n">
        <f aca="false">B510/B509-1</f>
        <v>0.00864330135727109</v>
      </c>
      <c r="G510" s="1" t="n">
        <f aca="false">C510/C509-1</f>
        <v>3.35931201289608E-005</v>
      </c>
    </row>
    <row r="511" customFormat="false" ht="15" hidden="false" customHeight="false" outlineLevel="0" collapsed="false">
      <c r="A511" s="1" t="s">
        <v>518</v>
      </c>
      <c r="B511" s="5" t="n">
        <v>29.994</v>
      </c>
      <c r="C511" s="5" t="n">
        <v>11.9089</v>
      </c>
      <c r="D511" s="1" t="n">
        <f aca="false">LN(B511/B510)</f>
        <v>0.00126772327236769</v>
      </c>
      <c r="E511" s="1" t="n">
        <f aca="false">LN(C511/C510)</f>
        <v>0.000109168013880177</v>
      </c>
      <c r="F511" s="1" t="n">
        <f aca="false">B511/B510-1</f>
        <v>0.00126852717318737</v>
      </c>
      <c r="G511" s="1" t="n">
        <f aca="false">C511/C510-1</f>
        <v>0.000109173972924648</v>
      </c>
    </row>
    <row r="512" customFormat="false" ht="15" hidden="false" customHeight="false" outlineLevel="0" collapsed="false">
      <c r="A512" s="1" t="s">
        <v>519</v>
      </c>
      <c r="B512" s="5" t="n">
        <v>29.9641</v>
      </c>
      <c r="C512" s="5" t="n">
        <v>11.9094</v>
      </c>
      <c r="D512" s="1" t="n">
        <f aca="false">LN(B512/B511)</f>
        <v>-0.00099736324128169</v>
      </c>
      <c r="E512" s="1" t="n">
        <f aca="false">LN(C512/C511)</f>
        <v>4.19845245105959E-005</v>
      </c>
      <c r="F512" s="1" t="n">
        <f aca="false">B512/B511-1</f>
        <v>-0.0009968660398747</v>
      </c>
      <c r="G512" s="1" t="n">
        <f aca="false">C512/C511-1</f>
        <v>4.19854058730795E-005</v>
      </c>
    </row>
    <row r="513" customFormat="false" ht="15" hidden="false" customHeight="false" outlineLevel="0" collapsed="false">
      <c r="A513" s="1" t="s">
        <v>520</v>
      </c>
      <c r="B513" s="5" t="n">
        <v>29.789</v>
      </c>
      <c r="C513" s="5" t="n">
        <v>11.9115</v>
      </c>
      <c r="D513" s="1" t="n">
        <f aca="false">LN(B513/B512)</f>
        <v>-0.00586080056795796</v>
      </c>
      <c r="E513" s="1" t="n">
        <f aca="false">LN(C513/C512)</f>
        <v>0.00017631575678838</v>
      </c>
      <c r="F513" s="1" t="n">
        <f aca="false">B513/B512-1</f>
        <v>-0.00584365957929645</v>
      </c>
      <c r="G513" s="1" t="n">
        <f aca="false">C513/C512-1</f>
        <v>0.000176331301324995</v>
      </c>
    </row>
    <row r="514" customFormat="false" ht="15" hidden="false" customHeight="false" outlineLevel="0" collapsed="false">
      <c r="A514" s="1" t="s">
        <v>521</v>
      </c>
      <c r="B514" s="5" t="n">
        <v>29.8621</v>
      </c>
      <c r="C514" s="5" t="n">
        <v>11.9119</v>
      </c>
      <c r="D514" s="1" t="n">
        <f aca="false">LN(B514/B513)</f>
        <v>0.00245091998614249</v>
      </c>
      <c r="E514" s="1" t="n">
        <f aca="false">LN(C514/C513)</f>
        <v>3.35804293288276E-005</v>
      </c>
      <c r="F514" s="1" t="n">
        <f aca="false">B514/B513-1</f>
        <v>0.00245392594581895</v>
      </c>
      <c r="G514" s="1" t="n">
        <f aca="false">C514/C513-1</f>
        <v>3.35809931577558E-005</v>
      </c>
    </row>
    <row r="515" customFormat="false" ht="15" hidden="false" customHeight="false" outlineLevel="0" collapsed="false">
      <c r="A515" s="1" t="s">
        <v>522</v>
      </c>
      <c r="B515" s="5" t="n">
        <v>29.9419</v>
      </c>
      <c r="C515" s="5" t="n">
        <v>11.9131</v>
      </c>
      <c r="D515" s="1" t="n">
        <f aca="false">LN(B515/B514)</f>
        <v>0.00266871939541555</v>
      </c>
      <c r="E515" s="1" t="n">
        <f aca="false">LN(C515/C514)</f>
        <v>0.000100734522645605</v>
      </c>
      <c r="F515" s="1" t="n">
        <f aca="false">B515/B514-1</f>
        <v>0.00267228359693394</v>
      </c>
      <c r="G515" s="1" t="n">
        <f aca="false">C515/C514-1</f>
        <v>0.000100739596538002</v>
      </c>
    </row>
    <row r="516" customFormat="false" ht="15" hidden="false" customHeight="false" outlineLevel="0" collapsed="false">
      <c r="A516" s="1" t="s">
        <v>523</v>
      </c>
      <c r="B516" s="5" t="n">
        <v>29.681</v>
      </c>
      <c r="C516" s="5" t="n">
        <v>11.9134</v>
      </c>
      <c r="D516" s="1" t="n">
        <f aca="false">LN(B516/B515)</f>
        <v>-0.00875172677784194</v>
      </c>
      <c r="E516" s="1" t="n">
        <f aca="false">LN(C516/C515)</f>
        <v>2.51820452030842E-005</v>
      </c>
      <c r="F516" s="1" t="n">
        <f aca="false">B516/B515-1</f>
        <v>-0.00871354189279905</v>
      </c>
      <c r="G516" s="1" t="n">
        <f aca="false">C516/C515-1</f>
        <v>2.51823622734459E-005</v>
      </c>
    </row>
    <row r="517" customFormat="false" ht="15" hidden="false" customHeight="false" outlineLevel="0" collapsed="false">
      <c r="A517" s="1" t="s">
        <v>524</v>
      </c>
      <c r="B517" s="5" t="n">
        <v>29.8645</v>
      </c>
      <c r="C517" s="5" t="n">
        <v>11.9138</v>
      </c>
      <c r="D517" s="1" t="n">
        <f aca="false">LN(B517/B516)</f>
        <v>0.00616337358446343</v>
      </c>
      <c r="E517" s="1" t="n">
        <f aca="false">LN(C517/C516)</f>
        <v>3.35750738682793E-005</v>
      </c>
      <c r="F517" s="1" t="n">
        <f aca="false">B517/B516-1</f>
        <v>0.00618240625315858</v>
      </c>
      <c r="G517" s="1" t="n">
        <f aca="false">C517/C516-1</f>
        <v>3.35756375173801E-005</v>
      </c>
    </row>
    <row r="518" customFormat="false" ht="15" hidden="false" customHeight="false" outlineLevel="0" collapsed="false">
      <c r="A518" s="1" t="s">
        <v>525</v>
      </c>
      <c r="B518" s="5" t="n">
        <v>29.7325</v>
      </c>
      <c r="C518" s="5" t="n">
        <v>11.914</v>
      </c>
      <c r="D518" s="1" t="n">
        <f aca="false">LN(B518/B517)</f>
        <v>-0.00442976041916471</v>
      </c>
      <c r="E518" s="1" t="n">
        <f aca="false">LN(C518/C517)</f>
        <v>1.67871142113897E-005</v>
      </c>
      <c r="F518" s="1" t="n">
        <f aca="false">B518/B517-1</f>
        <v>-0.0044199635018165</v>
      </c>
      <c r="G518" s="1" t="n">
        <f aca="false">C518/C517-1</f>
        <v>1.67872551157799E-005</v>
      </c>
    </row>
    <row r="519" customFormat="false" ht="15" hidden="false" customHeight="false" outlineLevel="0" collapsed="false">
      <c r="A519" s="1" t="s">
        <v>526</v>
      </c>
      <c r="B519" s="5" t="n">
        <v>29.7098</v>
      </c>
      <c r="C519" s="5" t="n">
        <v>11.9143</v>
      </c>
      <c r="D519" s="1" t="n">
        <f aca="false">LN(B519/B518)</f>
        <v>-0.000763765907560208</v>
      </c>
      <c r="E519" s="1" t="n">
        <f aca="false">LN(C519/C518)</f>
        <v>2.51801429406765E-005</v>
      </c>
      <c r="F519" s="1" t="n">
        <f aca="false">B519/B518-1</f>
        <v>-0.000763474312620915</v>
      </c>
      <c r="G519" s="1" t="n">
        <f aca="false">C519/C518-1</f>
        <v>2.51804599631367E-005</v>
      </c>
    </row>
    <row r="520" customFormat="false" ht="15" hidden="false" customHeight="false" outlineLevel="0" collapsed="false">
      <c r="A520" s="1" t="s">
        <v>527</v>
      </c>
      <c r="B520" s="5" t="n">
        <v>29.6496</v>
      </c>
      <c r="C520" s="5" t="n">
        <v>11.9156</v>
      </c>
      <c r="D520" s="1" t="n">
        <f aca="false">LN(B520/B519)</f>
        <v>-0.00202832308409591</v>
      </c>
      <c r="E520" s="1" t="n">
        <f aca="false">LN(C520/C519)</f>
        <v>0.000109106626657123</v>
      </c>
      <c r="F520" s="1" t="n">
        <f aca="false">B520/B519-1</f>
        <v>-0.0020262674269097</v>
      </c>
      <c r="G520" s="1" t="n">
        <f aca="false">C520/C519-1</f>
        <v>0.000109112579001591</v>
      </c>
    </row>
    <row r="521" customFormat="false" ht="15" hidden="false" customHeight="false" outlineLevel="0" collapsed="false">
      <c r="A521" s="1" t="s">
        <v>528</v>
      </c>
      <c r="B521" s="5" t="n">
        <v>29.879</v>
      </c>
      <c r="C521" s="5" t="n">
        <v>11.9159</v>
      </c>
      <c r="D521" s="1" t="n">
        <f aca="false">LN(B521/B520)</f>
        <v>0.00770725787482813</v>
      </c>
      <c r="E521" s="1" t="n">
        <f aca="false">LN(C521/C520)</f>
        <v>2.51767618502465E-005</v>
      </c>
      <c r="F521" s="1" t="n">
        <f aca="false">B521/B520-1</f>
        <v>0.00773703523824953</v>
      </c>
      <c r="G521" s="1" t="n">
        <f aca="false">C521/C520-1</f>
        <v>2.51770787875749E-005</v>
      </c>
    </row>
    <row r="522" customFormat="false" ht="15" hidden="false" customHeight="false" outlineLevel="0" collapsed="false">
      <c r="A522" s="1" t="s">
        <v>529</v>
      </c>
      <c r="B522" s="5" t="n">
        <v>29.9078</v>
      </c>
      <c r="C522" s="5" t="n">
        <v>11.9163</v>
      </c>
      <c r="D522" s="1" t="n">
        <f aca="false">LN(B522/B521)</f>
        <v>0.000963423438874295</v>
      </c>
      <c r="E522" s="1" t="n">
        <f aca="false">LN(C522/C521)</f>
        <v>3.35680298113924E-005</v>
      </c>
      <c r="F522" s="1" t="n">
        <f aca="false">B522/B521-1</f>
        <v>0.000963887680310638</v>
      </c>
      <c r="G522" s="1" t="n">
        <f aca="false">C522/C521-1</f>
        <v>3.35685932240093E-005</v>
      </c>
    </row>
    <row r="523" customFormat="false" ht="15" hidden="false" customHeight="false" outlineLevel="0" collapsed="false">
      <c r="A523" s="1" t="s">
        <v>530</v>
      </c>
      <c r="B523" s="5" t="n">
        <v>29.8315</v>
      </c>
      <c r="C523" s="5" t="n">
        <v>11.9166</v>
      </c>
      <c r="D523" s="1" t="n">
        <f aca="false">LN(B523/B522)</f>
        <v>-0.00255443373085923</v>
      </c>
      <c r="E523" s="1" t="n">
        <f aca="false">LN(C523/C522)</f>
        <v>2.51752829087635E-005</v>
      </c>
      <c r="F523" s="1" t="n">
        <f aca="false">B523/B522-1</f>
        <v>-0.00255117394124615</v>
      </c>
      <c r="G523" s="1" t="n">
        <f aca="false">C523/C522-1</f>
        <v>2.51755998088576E-005</v>
      </c>
    </row>
    <row r="524" customFormat="false" ht="15" hidden="false" customHeight="false" outlineLevel="0" collapsed="false">
      <c r="A524" s="1" t="s">
        <v>531</v>
      </c>
      <c r="B524" s="5" t="n">
        <v>29.5747</v>
      </c>
      <c r="C524" s="5" t="n">
        <v>11.9178</v>
      </c>
      <c r="D524" s="1" t="n">
        <f aca="false">LN(B524/B523)</f>
        <v>-0.00864561609989902</v>
      </c>
      <c r="E524" s="1" t="n">
        <f aca="false">LN(C524/C523)</f>
        <v>0.000100694794164188</v>
      </c>
      <c r="F524" s="1" t="n">
        <f aca="false">B524/B523-1</f>
        <v>-0.00860835023381323</v>
      </c>
      <c r="G524" s="1" t="n">
        <f aca="false">C524/C523-1</f>
        <v>0.000100699864055143</v>
      </c>
    </row>
    <row r="525" customFormat="false" ht="15" hidden="false" customHeight="false" outlineLevel="0" collapsed="false">
      <c r="A525" s="1" t="s">
        <v>532</v>
      </c>
      <c r="B525" s="5" t="n">
        <v>29.7431</v>
      </c>
      <c r="C525" s="5" t="n">
        <v>11.9181</v>
      </c>
      <c r="D525" s="1" t="n">
        <f aca="false">LN(B525/B524)</f>
        <v>0.00567790620741289</v>
      </c>
      <c r="E525" s="1" t="n">
        <f aca="false">LN(C525/C524)</f>
        <v>2.51721143331912E-005</v>
      </c>
      <c r="F525" s="1" t="n">
        <f aca="false">B525/B524-1</f>
        <v>0.00569405606819329</v>
      </c>
      <c r="G525" s="1" t="n">
        <f aca="false">C525/C524-1</f>
        <v>2.51724311535195E-005</v>
      </c>
    </row>
    <row r="526" customFormat="false" ht="15" hidden="false" customHeight="false" outlineLevel="0" collapsed="false">
      <c r="A526" s="1" t="s">
        <v>533</v>
      </c>
      <c r="B526" s="5" t="n">
        <v>29.6637</v>
      </c>
      <c r="C526" s="5" t="n">
        <v>11.9185</v>
      </c>
      <c r="D526" s="1" t="n">
        <f aca="false">LN(B526/B525)</f>
        <v>-0.00267309625426766</v>
      </c>
      <c r="E526" s="1" t="n">
        <f aca="false">LN(C526/C525)</f>
        <v>3.35618334860886E-005</v>
      </c>
      <c r="F526" s="1" t="n">
        <f aca="false">B526/B525-1</f>
        <v>-0.00266952671375886</v>
      </c>
      <c r="G526" s="1" t="n">
        <f aca="false">C526/C525-1</f>
        <v>3.35623966907228E-005</v>
      </c>
    </row>
    <row r="527" customFormat="false" ht="15" hidden="false" customHeight="false" outlineLevel="0" collapsed="false">
      <c r="A527" s="1" t="s">
        <v>534</v>
      </c>
      <c r="B527" s="5" t="n">
        <v>29.5356</v>
      </c>
      <c r="C527" s="5" t="n">
        <v>11.9189</v>
      </c>
      <c r="D527" s="1" t="n">
        <f aca="false">LN(B527/B526)</f>
        <v>-0.00432776063019259</v>
      </c>
      <c r="E527" s="1" t="n">
        <f aca="false">LN(C527/C526)</f>
        <v>3.35607071273597E-005</v>
      </c>
      <c r="F527" s="1" t="n">
        <f aca="false">B527/B526-1</f>
        <v>-0.00431840936902683</v>
      </c>
      <c r="G527" s="1" t="n">
        <f aca="false">C527/C526-1</f>
        <v>3.35612702941912E-005</v>
      </c>
    </row>
    <row r="528" customFormat="false" ht="15" hidden="false" customHeight="false" outlineLevel="0" collapsed="false">
      <c r="A528" s="1" t="s">
        <v>535</v>
      </c>
      <c r="B528" s="5" t="n">
        <v>29.622</v>
      </c>
      <c r="C528" s="5" t="n">
        <v>11.92</v>
      </c>
      <c r="D528" s="1" t="n">
        <f aca="false">LN(B528/B527)</f>
        <v>0.00292101307127657</v>
      </c>
      <c r="E528" s="1" t="n">
        <f aca="false">LN(C528/C527)</f>
        <v>9.22861374291517E-005</v>
      </c>
      <c r="F528" s="1" t="n">
        <f aca="false">B528/B527-1</f>
        <v>0.00292528338682807</v>
      </c>
      <c r="G528" s="1" t="n">
        <f aca="false">C528/C527-1</f>
        <v>9.22903959257315E-005</v>
      </c>
    </row>
    <row r="529" customFormat="false" ht="15" hidden="false" customHeight="false" outlineLevel="0" collapsed="false">
      <c r="A529" s="1" t="s">
        <v>536</v>
      </c>
      <c r="B529" s="5" t="n">
        <v>29.6776</v>
      </c>
      <c r="C529" s="5" t="n">
        <v>11.9204</v>
      </c>
      <c r="D529" s="1" t="n">
        <f aca="false">LN(B529/B528)</f>
        <v>0.00187522399115522</v>
      </c>
      <c r="E529" s="1" t="n">
        <f aca="false">LN(C529/C528)</f>
        <v>3.35564839547209E-005</v>
      </c>
      <c r="F529" s="1" t="n">
        <f aca="false">B529/B528-1</f>
        <v>0.00187698332320574</v>
      </c>
      <c r="G529" s="1" t="n">
        <f aca="false">C529/C528-1</f>
        <v>3.35570469798263E-005</v>
      </c>
    </row>
    <row r="530" customFormat="false" ht="15" hidden="false" customHeight="false" outlineLevel="0" collapsed="false">
      <c r="A530" s="1" t="s">
        <v>537</v>
      </c>
      <c r="B530" s="5" t="n">
        <v>29.6308</v>
      </c>
      <c r="C530" s="5" t="n">
        <v>11.9207</v>
      </c>
      <c r="D530" s="1" t="n">
        <f aca="false">LN(B530/B529)</f>
        <v>-0.00157819161244226</v>
      </c>
      <c r="E530" s="1" t="n">
        <f aca="false">LN(C530/C529)</f>
        <v>2.51666240243946E-005</v>
      </c>
      <c r="F530" s="1" t="n">
        <f aca="false">B530/B529-1</f>
        <v>-0.00157694692293175</v>
      </c>
      <c r="G530" s="1" t="n">
        <f aca="false">C530/C529-1</f>
        <v>2.51669407065336E-005</v>
      </c>
    </row>
    <row r="531" customFormat="false" ht="15" hidden="false" customHeight="false" outlineLevel="0" collapsed="false">
      <c r="A531" s="1" t="s">
        <v>538</v>
      </c>
      <c r="B531" s="5" t="n">
        <v>29.9625</v>
      </c>
      <c r="C531" s="5" t="n">
        <v>11.9209</v>
      </c>
      <c r="D531" s="1" t="n">
        <f aca="false">LN(B531/B530)</f>
        <v>0.011132238877009</v>
      </c>
      <c r="E531" s="1" t="n">
        <f aca="false">LN(C531/C530)</f>
        <v>1.67773974904955E-005</v>
      </c>
      <c r="F531" s="1" t="n">
        <f aca="false">B531/B530-1</f>
        <v>0.0111944328199036</v>
      </c>
      <c r="G531" s="1" t="n">
        <f aca="false">C531/C530-1</f>
        <v>1.67775382318158E-005</v>
      </c>
    </row>
    <row r="532" customFormat="false" ht="15" hidden="false" customHeight="false" outlineLevel="0" collapsed="false">
      <c r="A532" s="1" t="s">
        <v>539</v>
      </c>
      <c r="B532" s="5" t="n">
        <v>30.0148</v>
      </c>
      <c r="C532" s="5" t="n">
        <v>11.9213</v>
      </c>
      <c r="D532" s="1" t="n">
        <f aca="false">LN(B532/B531)</f>
        <v>0.0017439935861044</v>
      </c>
      <c r="E532" s="1" t="n">
        <f aca="false">LN(C532/C531)</f>
        <v>3.35539505614149E-005</v>
      </c>
      <c r="F532" s="1" t="n">
        <f aca="false">B532/B531-1</f>
        <v>0.00174551522736754</v>
      </c>
      <c r="G532" s="1" t="n">
        <f aca="false">C532/C531-1</f>
        <v>3.35545135015103E-005</v>
      </c>
    </row>
    <row r="533" customFormat="false" ht="15" hidden="false" customHeight="false" outlineLevel="0" collapsed="false">
      <c r="A533" s="1" t="s">
        <v>540</v>
      </c>
      <c r="B533" s="5" t="n">
        <v>30.0463</v>
      </c>
      <c r="C533" s="5" t="n">
        <v>11.9224</v>
      </c>
      <c r="D533" s="1" t="n">
        <f aca="false">LN(B533/B532)</f>
        <v>0.00104893193391979</v>
      </c>
      <c r="E533" s="1" t="n">
        <f aca="false">LN(C533/C532)</f>
        <v>9.22675592110887E-005</v>
      </c>
      <c r="F533" s="1" t="n">
        <f aca="false">B533/B532-1</f>
        <v>0.00104948225542056</v>
      </c>
      <c r="G533" s="1" t="n">
        <f aca="false">C533/C532-1</f>
        <v>9.22718159932501E-005</v>
      </c>
    </row>
    <row r="534" customFormat="false" ht="15" hidden="false" customHeight="false" outlineLevel="0" collapsed="false">
      <c r="A534" s="1" t="s">
        <v>541</v>
      </c>
      <c r="B534" s="5" t="n">
        <v>30.1789</v>
      </c>
      <c r="C534" s="5" t="n">
        <v>11.9227</v>
      </c>
      <c r="D534" s="1" t="n">
        <f aca="false">LN(B534/B533)</f>
        <v>0.00440347941613819</v>
      </c>
      <c r="E534" s="1" t="n">
        <f aca="false">LN(C534/C533)</f>
        <v>2.51624023399377E-005</v>
      </c>
      <c r="F534" s="1" t="n">
        <f aca="false">B534/B533-1</f>
        <v>0.00441318897834342</v>
      </c>
      <c r="G534" s="1" t="n">
        <f aca="false">C534/C533-1</f>
        <v>2.51627189158388E-005</v>
      </c>
    </row>
    <row r="535" customFormat="false" ht="15" hidden="false" customHeight="false" outlineLevel="0" collapsed="false">
      <c r="A535" s="1" t="s">
        <v>542</v>
      </c>
      <c r="B535" s="5" t="n">
        <v>30.1218</v>
      </c>
      <c r="C535" s="5" t="n">
        <v>11.9229</v>
      </c>
      <c r="D535" s="1" t="n">
        <f aca="false">LN(B535/B534)</f>
        <v>-0.00189384259441179</v>
      </c>
      <c r="E535" s="1" t="n">
        <f aca="false">LN(C535/C534)</f>
        <v>1.67745831518737E-005</v>
      </c>
      <c r="F535" s="1" t="n">
        <f aca="false">B535/B534-1</f>
        <v>-0.00189205040607832</v>
      </c>
      <c r="G535" s="1" t="n">
        <f aca="false">C535/C534-1</f>
        <v>1.67747238459803E-005</v>
      </c>
    </row>
    <row r="536" customFormat="false" ht="15" hidden="false" customHeight="false" outlineLevel="0" collapsed="false">
      <c r="A536" s="1" t="s">
        <v>543</v>
      </c>
      <c r="B536" s="5" t="n">
        <v>30.1571</v>
      </c>
      <c r="C536" s="5" t="n">
        <v>11.9231</v>
      </c>
      <c r="D536" s="1" t="n">
        <f aca="false">LN(B536/B535)</f>
        <v>0.00117122256827077</v>
      </c>
      <c r="E536" s="1" t="n">
        <f aca="false">LN(C536/C535)</f>
        <v>1.67743017701241E-005</v>
      </c>
      <c r="F536" s="1" t="n">
        <f aca="false">B536/B535-1</f>
        <v>0.00117190871727457</v>
      </c>
      <c r="G536" s="1" t="n">
        <f aca="false">C536/C535-1</f>
        <v>1.67744424595107E-005</v>
      </c>
    </row>
    <row r="537" customFormat="false" ht="15" hidden="false" customHeight="false" outlineLevel="0" collapsed="false">
      <c r="A537" s="1" t="s">
        <v>544</v>
      </c>
      <c r="B537" s="5" t="n">
        <v>30.3085</v>
      </c>
      <c r="C537" s="5" t="n">
        <v>11.9232</v>
      </c>
      <c r="D537" s="1" t="n">
        <f aca="false">LN(B537/B536)</f>
        <v>0.00500781655696774</v>
      </c>
      <c r="E537" s="1" t="n">
        <f aca="false">LN(C537/C536)</f>
        <v>8.38704536982008E-006</v>
      </c>
      <c r="F537" s="1" t="n">
        <f aca="false">B537/B536-1</f>
        <v>0.00502037662772614</v>
      </c>
      <c r="G537" s="1" t="n">
        <f aca="false">C537/C536-1</f>
        <v>8.38708054118342E-006</v>
      </c>
    </row>
    <row r="538" customFormat="false" ht="15" hidden="false" customHeight="false" outlineLevel="0" collapsed="false">
      <c r="A538" s="1" t="s">
        <v>545</v>
      </c>
      <c r="B538" s="5" t="n">
        <v>30.2221</v>
      </c>
      <c r="C538" s="5" t="n">
        <v>11.9241</v>
      </c>
      <c r="D538" s="1" t="n">
        <f aca="false">LN(B538/B537)</f>
        <v>-0.00285475639353832</v>
      </c>
      <c r="E538" s="1" t="n">
        <f aca="false">LN(C538/C537)</f>
        <v>7.54802430822883E-005</v>
      </c>
      <c r="F538" s="1" t="n">
        <f aca="false">B538/B537-1</f>
        <v>-0.00285068545127598</v>
      </c>
      <c r="G538" s="1" t="n">
        <f aca="false">C538/C537-1</f>
        <v>7.54830917875093E-005</v>
      </c>
    </row>
    <row r="539" customFormat="false" ht="15" hidden="false" customHeight="false" outlineLevel="0" collapsed="false">
      <c r="A539" s="1" t="s">
        <v>546</v>
      </c>
      <c r="B539" s="5" t="n">
        <v>30.371</v>
      </c>
      <c r="C539" s="5" t="n">
        <v>11.9246</v>
      </c>
      <c r="D539" s="1" t="n">
        <f aca="false">LN(B539/B538)</f>
        <v>0.00491476091243445</v>
      </c>
      <c r="E539" s="1" t="n">
        <f aca="false">LN(C539/C538)</f>
        <v>4.19310067277205E-005</v>
      </c>
      <c r="F539" s="1" t="n">
        <f aca="false">B539/B538-1</f>
        <v>0.00492685816008809</v>
      </c>
      <c r="G539" s="1" t="n">
        <f aca="false">C539/C538-1</f>
        <v>4.19318858446705E-005</v>
      </c>
    </row>
    <row r="540" customFormat="false" ht="15" hidden="false" customHeight="false" outlineLevel="0" collapsed="false">
      <c r="A540" s="1" t="s">
        <v>547</v>
      </c>
      <c r="B540" s="5" t="n">
        <v>30.3737</v>
      </c>
      <c r="C540" s="5" t="n">
        <v>11.9253</v>
      </c>
      <c r="D540" s="1" t="n">
        <f aca="false">LN(B540/B539)</f>
        <v>8.88966445394323E-005</v>
      </c>
      <c r="E540" s="1" t="n">
        <f aca="false">LN(C540/C539)</f>
        <v>5.8700455784063E-005</v>
      </c>
      <c r="F540" s="1" t="n">
        <f aca="false">B540/B539-1</f>
        <v>8.89005959632261E-005</v>
      </c>
      <c r="G540" s="1" t="n">
        <f aca="false">C540/C539-1</f>
        <v>5.87021786895292E-005</v>
      </c>
    </row>
    <row r="541" customFormat="false" ht="15" hidden="false" customHeight="false" outlineLevel="0" collapsed="false">
      <c r="A541" s="1" t="s">
        <v>548</v>
      </c>
      <c r="B541" s="5" t="n">
        <v>30.4902</v>
      </c>
      <c r="C541" s="5" t="n">
        <v>11.9255</v>
      </c>
      <c r="D541" s="1" t="n">
        <f aca="false">LN(B541/B540)</f>
        <v>0.00382821811543656</v>
      </c>
      <c r="E541" s="1" t="n">
        <f aca="false">LN(C541/C540)</f>
        <v>1.67709259231896E-005</v>
      </c>
      <c r="F541" s="1" t="n">
        <f aca="false">B541/B540-1</f>
        <v>0.00383555510194689</v>
      </c>
      <c r="G541" s="1" t="n">
        <f aca="false">C541/C540-1</f>
        <v>1.6771066555954E-005</v>
      </c>
    </row>
    <row r="542" customFormat="false" ht="15" hidden="false" customHeight="false" outlineLevel="0" collapsed="false">
      <c r="A542" s="1" t="s">
        <v>549</v>
      </c>
      <c r="B542" s="5" t="n">
        <v>30.3365</v>
      </c>
      <c r="C542" s="5" t="n">
        <v>11.9258</v>
      </c>
      <c r="D542" s="1" t="n">
        <f aca="false">LN(B542/B541)</f>
        <v>-0.00505371250206976</v>
      </c>
      <c r="E542" s="1" t="n">
        <f aca="false">LN(C542/C541)</f>
        <v>2.51558615267416E-005</v>
      </c>
      <c r="F542" s="1" t="n">
        <f aca="false">B542/B541-1</f>
        <v>-0.0050409639818696</v>
      </c>
      <c r="G542" s="1" t="n">
        <f aca="false">C542/C541-1</f>
        <v>2.51561779380793E-005</v>
      </c>
    </row>
    <row r="543" customFormat="false" ht="15" hidden="false" customHeight="false" outlineLevel="0" collapsed="false">
      <c r="A543" s="1" t="s">
        <v>550</v>
      </c>
      <c r="B543" s="5" t="n">
        <v>30.4235</v>
      </c>
      <c r="C543" s="5" t="n">
        <v>11.9268</v>
      </c>
      <c r="D543" s="1" t="n">
        <f aca="false">LN(B543/B542)</f>
        <v>0.00286372809271887</v>
      </c>
      <c r="E543" s="1" t="n">
        <f aca="false">LN(C543/C542)</f>
        <v>8.38483017018352E-005</v>
      </c>
      <c r="F543" s="1" t="n">
        <f aca="false">B543/B542-1</f>
        <v>0.002867832479027</v>
      </c>
      <c r="G543" s="1" t="n">
        <f aca="false">C543/C542-1</f>
        <v>8.38518170689362E-005</v>
      </c>
    </row>
    <row r="544" customFormat="false" ht="15" hidden="false" customHeight="false" outlineLevel="0" collapsed="false">
      <c r="A544" s="1" t="s">
        <v>551</v>
      </c>
      <c r="B544" s="5" t="n">
        <v>30.5088</v>
      </c>
      <c r="C544" s="5" t="n">
        <v>11.9273</v>
      </c>
      <c r="D544" s="1" t="n">
        <f aca="false">LN(B544/B543)</f>
        <v>0.00279983049130192</v>
      </c>
      <c r="E544" s="1" t="n">
        <f aca="false">LN(C544/C543)</f>
        <v>4.19215145467554E-005</v>
      </c>
      <c r="F544" s="1" t="n">
        <f aca="false">B544/B543-1</f>
        <v>0.00280375367725605</v>
      </c>
      <c r="G544" s="1" t="n">
        <f aca="false">C544/C543-1</f>
        <v>4.19223932657253E-005</v>
      </c>
    </row>
    <row r="545" customFormat="false" ht="15" hidden="false" customHeight="false" outlineLevel="0" collapsed="false">
      <c r="A545" s="1" t="s">
        <v>552</v>
      </c>
      <c r="B545" s="5" t="n">
        <v>30.5213</v>
      </c>
      <c r="C545" s="5" t="n">
        <v>11.9278</v>
      </c>
      <c r="D545" s="1" t="n">
        <f aca="false">LN(B545/B544)</f>
        <v>0.000409633940458618</v>
      </c>
      <c r="E545" s="1" t="n">
        <f aca="false">LN(C545/C544)</f>
        <v>4.19197572068777E-005</v>
      </c>
      <c r="F545" s="1" t="n">
        <f aca="false">B545/B544-1</f>
        <v>0.000409717851898472</v>
      </c>
      <c r="G545" s="1" t="n">
        <f aca="false">C545/C544-1</f>
        <v>4.19206358521773E-005</v>
      </c>
    </row>
    <row r="546" customFormat="false" ht="15" hidden="false" customHeight="false" outlineLevel="0" collapsed="false">
      <c r="A546" s="1" t="s">
        <v>553</v>
      </c>
      <c r="B546" s="5" t="n">
        <v>30.6556</v>
      </c>
      <c r="C546" s="5" t="n">
        <v>11.929</v>
      </c>
      <c r="D546" s="1" t="n">
        <f aca="false">LN(B546/B545)</f>
        <v>0.00439055315784895</v>
      </c>
      <c r="E546" s="1" t="n">
        <f aca="false">LN(C546/C545)</f>
        <v>0.00010060024823212</v>
      </c>
      <c r="F546" s="1" t="n">
        <f aca="false">B546/B545-1</f>
        <v>0.00440020575794597</v>
      </c>
      <c r="G546" s="1" t="n">
        <f aca="false">C546/C545-1</f>
        <v>0.000100605308606783</v>
      </c>
    </row>
    <row r="547" customFormat="false" ht="15" hidden="false" customHeight="false" outlineLevel="0" collapsed="false">
      <c r="A547" s="1" t="s">
        <v>554</v>
      </c>
      <c r="B547" s="5" t="n">
        <v>30.64</v>
      </c>
      <c r="C547" s="5" t="n">
        <v>11.9295</v>
      </c>
      <c r="D547" s="1" t="n">
        <f aca="false">LN(B547/B546)</f>
        <v>-0.000509008814231886</v>
      </c>
      <c r="E547" s="1" t="n">
        <f aca="false">LN(C547/C546)</f>
        <v>4.19137833538534E-005</v>
      </c>
      <c r="F547" s="1" t="n">
        <f aca="false">B547/B546-1</f>
        <v>-0.000508879291222453</v>
      </c>
      <c r="G547" s="1" t="n">
        <f aca="false">C547/C546-1</f>
        <v>4.19146617487431E-005</v>
      </c>
    </row>
    <row r="548" customFormat="false" ht="15" hidden="false" customHeight="false" outlineLevel="0" collapsed="false">
      <c r="A548" s="1" t="s">
        <v>555</v>
      </c>
      <c r="B548" s="5" t="n">
        <v>30.661</v>
      </c>
      <c r="C548" s="5" t="n">
        <v>11.9297</v>
      </c>
      <c r="D548" s="1" t="n">
        <f aca="false">LN(B548/B547)</f>
        <v>0.000685143825434892</v>
      </c>
      <c r="E548" s="1" t="n">
        <f aca="false">LN(C548/C547)</f>
        <v>1.67650214595797E-005</v>
      </c>
      <c r="F548" s="1" t="n">
        <f aca="false">B548/B547-1</f>
        <v>0.000685378590078445</v>
      </c>
      <c r="G548" s="1" t="n">
        <f aca="false">C548/C547-1</f>
        <v>1.67651619933373E-005</v>
      </c>
    </row>
    <row r="549" customFormat="false" ht="15" hidden="false" customHeight="false" outlineLevel="0" collapsed="false">
      <c r="A549" s="1" t="s">
        <v>556</v>
      </c>
      <c r="B549" s="5" t="n">
        <v>30.8458</v>
      </c>
      <c r="C549" s="5" t="n">
        <v>11.9296</v>
      </c>
      <c r="D549" s="1" t="n">
        <f aca="false">LN(B549/B548)</f>
        <v>0.00600910975971516</v>
      </c>
      <c r="E549" s="1" t="n">
        <f aca="false">LN(C549/C548)</f>
        <v>-8.38247559660043E-006</v>
      </c>
      <c r="F549" s="1" t="n">
        <f aca="false">B549/B548-1</f>
        <v>0.00602720067838614</v>
      </c>
      <c r="G549" s="1" t="n">
        <f aca="false">C549/C548-1</f>
        <v>-8.38244046375003E-006</v>
      </c>
    </row>
    <row r="550" customFormat="false" ht="15" hidden="false" customHeight="false" outlineLevel="0" collapsed="false">
      <c r="A550" s="1" t="s">
        <v>557</v>
      </c>
      <c r="B550" s="5" t="n">
        <v>30.5824</v>
      </c>
      <c r="C550" s="5" t="n">
        <v>11.9296</v>
      </c>
      <c r="D550" s="1" t="n">
        <f aca="false">LN(B550/B549)</f>
        <v>-0.00857591836781707</v>
      </c>
      <c r="E550" s="1" t="n">
        <f aca="false">LN(C550/C549)</f>
        <v>0</v>
      </c>
      <c r="F550" s="1" t="n">
        <f aca="false">B550/B549-1</f>
        <v>-0.00853925007618539</v>
      </c>
      <c r="G550" s="1" t="n">
        <f aca="false">C550/C549-1</f>
        <v>0</v>
      </c>
    </row>
    <row r="551" customFormat="false" ht="15" hidden="false" customHeight="false" outlineLevel="0" collapsed="false">
      <c r="A551" s="1" t="s">
        <v>558</v>
      </c>
      <c r="B551" s="5" t="n">
        <v>30.5195</v>
      </c>
      <c r="C551" s="5" t="n">
        <v>11.9334</v>
      </c>
      <c r="D551" s="1" t="n">
        <f aca="false">LN(B551/B550)</f>
        <v>-0.00205885650753401</v>
      </c>
      <c r="E551" s="1" t="n">
        <f aca="false">LN(C551/C550)</f>
        <v>0.000318484686093124</v>
      </c>
      <c r="F551" s="1" t="n">
        <f aca="false">B551/B550-1</f>
        <v>-0.00205673851627075</v>
      </c>
      <c r="G551" s="1" t="n">
        <f aca="false">C551/C550-1</f>
        <v>0.000318535407725307</v>
      </c>
    </row>
    <row r="552" customFormat="false" ht="15" hidden="false" customHeight="false" outlineLevel="0" collapsed="false">
      <c r="A552" s="1" t="s">
        <v>559</v>
      </c>
      <c r="B552" s="5" t="n">
        <v>30.3786</v>
      </c>
      <c r="C552" s="5" t="n">
        <v>11.932</v>
      </c>
      <c r="D552" s="1" t="n">
        <f aca="false">LN(B552/B551)</f>
        <v>-0.00462741042572321</v>
      </c>
      <c r="E552" s="1" t="n">
        <f aca="false">LN(C552/C551)</f>
        <v>-0.000117324662616699</v>
      </c>
      <c r="F552" s="1" t="n">
        <f aca="false">B552/B551-1</f>
        <v>-0.00461672045741257</v>
      </c>
      <c r="G552" s="1" t="n">
        <f aca="false">C552/C551-1</f>
        <v>-0.000117317780347626</v>
      </c>
    </row>
    <row r="553" customFormat="false" ht="15" hidden="false" customHeight="false" outlineLevel="0" collapsed="false">
      <c r="A553" s="1" t="s">
        <v>560</v>
      </c>
      <c r="B553" s="5" t="n">
        <v>30.4334</v>
      </c>
      <c r="C553" s="5" t="n">
        <v>11.9332</v>
      </c>
      <c r="D553" s="1" t="n">
        <f aca="false">LN(B553/B552)</f>
        <v>0.00180227635445133</v>
      </c>
      <c r="E553" s="1" t="n">
        <f aca="false">LN(C553/C552)</f>
        <v>0.000100564839264692</v>
      </c>
      <c r="F553" s="1" t="n">
        <f aca="false">B553/B552-1</f>
        <v>0.00180390143061238</v>
      </c>
      <c r="G553" s="1" t="n">
        <f aca="false">C553/C552-1</f>
        <v>0.000100569896077651</v>
      </c>
    </row>
    <row r="554" customFormat="false" ht="15" hidden="false" customHeight="false" outlineLevel="0" collapsed="false">
      <c r="A554" s="1" t="s">
        <v>561</v>
      </c>
      <c r="B554" s="5" t="n">
        <v>30.4918</v>
      </c>
      <c r="C554" s="5" t="n">
        <v>11.9339</v>
      </c>
      <c r="D554" s="1" t="n">
        <f aca="false">LN(B554/B553)</f>
        <v>0.00191710549613072</v>
      </c>
      <c r="E554" s="1" t="n">
        <f aca="false">LN(C554/C553)</f>
        <v>5.86581528716983E-005</v>
      </c>
      <c r="F554" s="1" t="n">
        <f aca="false">B554/B553-1</f>
        <v>0.0019189443177563</v>
      </c>
      <c r="G554" s="1" t="n">
        <f aca="false">C554/C553-1</f>
        <v>5.86598732947863E-005</v>
      </c>
    </row>
    <row r="555" customFormat="false" ht="15" hidden="false" customHeight="false" outlineLevel="0" collapsed="false">
      <c r="A555" s="1" t="s">
        <v>562</v>
      </c>
      <c r="B555" s="5" t="n">
        <v>30.4322</v>
      </c>
      <c r="C555" s="5" t="n">
        <v>11.9367</v>
      </c>
      <c r="D555" s="1" t="n">
        <f aca="false">LN(B555/B554)</f>
        <v>-0.00195653663622137</v>
      </c>
      <c r="E555" s="1" t="n">
        <f aca="false">LN(C555/C554)</f>
        <v>0.000234598209751126</v>
      </c>
      <c r="F555" s="1" t="n">
        <f aca="false">B555/B554-1</f>
        <v>-0.00195462386608858</v>
      </c>
      <c r="G555" s="1" t="n">
        <f aca="false">C555/C554-1</f>
        <v>0.000234625730063165</v>
      </c>
    </row>
    <row r="556" customFormat="false" ht="15" hidden="false" customHeight="false" outlineLevel="0" collapsed="false">
      <c r="A556" s="1" t="s">
        <v>563</v>
      </c>
      <c r="B556" s="5" t="n">
        <v>30.4584</v>
      </c>
      <c r="C556" s="5" t="n">
        <v>11.9359</v>
      </c>
      <c r="D556" s="1" t="n">
        <f aca="false">LN(B556/B555)</f>
        <v>0.00086055981110038</v>
      </c>
      <c r="E556" s="1" t="n">
        <f aca="false">LN(C556/C555)</f>
        <v>-6.70224441660874E-005</v>
      </c>
      <c r="F556" s="1" t="n">
        <f aca="false">B556/B555-1</f>
        <v>0.000860930198933962</v>
      </c>
      <c r="G556" s="1" t="n">
        <f aca="false">C556/C555-1</f>
        <v>-6.70201982122531E-005</v>
      </c>
    </row>
    <row r="557" customFormat="false" ht="15" hidden="false" customHeight="false" outlineLevel="0" collapsed="false">
      <c r="A557" s="1" t="s">
        <v>564</v>
      </c>
      <c r="B557" s="5" t="n">
        <v>30.5645</v>
      </c>
      <c r="C557" s="5" t="n">
        <v>11.9369</v>
      </c>
      <c r="D557" s="1" t="n">
        <f aca="false">LN(B557/B556)</f>
        <v>0.00347738658488322</v>
      </c>
      <c r="E557" s="1" t="n">
        <f aca="false">LN(C557/C556)</f>
        <v>8.37773533549142E-005</v>
      </c>
      <c r="F557" s="1" t="n">
        <f aca="false">B557/B556-1</f>
        <v>0.00348343970792953</v>
      </c>
      <c r="G557" s="1" t="n">
        <f aca="false">C557/C556-1</f>
        <v>8.37808627753844E-005</v>
      </c>
    </row>
    <row r="558" customFormat="false" ht="15" hidden="false" customHeight="false" outlineLevel="0" collapsed="false">
      <c r="A558" s="1" t="s">
        <v>565</v>
      </c>
      <c r="B558" s="5" t="n">
        <v>30.5388</v>
      </c>
      <c r="C558" s="5" t="n">
        <v>11.9391</v>
      </c>
      <c r="D558" s="1" t="n">
        <f aca="false">LN(B558/B557)</f>
        <v>-0.000841198479148394</v>
      </c>
      <c r="E558" s="1" t="n">
        <f aca="false">LN(C558/C557)</f>
        <v>0.000184285475475519</v>
      </c>
      <c r="F558" s="1" t="n">
        <f aca="false">B558/B557-1</f>
        <v>-0.0008408447708943</v>
      </c>
      <c r="G558" s="1" t="n">
        <f aca="false">C558/C557-1</f>
        <v>0.000184302457086893</v>
      </c>
    </row>
    <row r="559" customFormat="false" ht="15" hidden="false" customHeight="false" outlineLevel="0" collapsed="false">
      <c r="A559" s="1" t="s">
        <v>566</v>
      </c>
      <c r="B559" s="5" t="n">
        <v>30.5124</v>
      </c>
      <c r="C559" s="5" t="n">
        <v>11.9365</v>
      </c>
      <c r="D559" s="1" t="n">
        <f aca="false">LN(B559/B558)</f>
        <v>-0.000864847919304286</v>
      </c>
      <c r="E559" s="1" t="n">
        <f aca="false">LN(C559/C558)</f>
        <v>-0.000217795574584698</v>
      </c>
      <c r="F559" s="1" t="n">
        <f aca="false">B559/B558-1</f>
        <v>-0.000864474046131436</v>
      </c>
      <c r="G559" s="1" t="n">
        <f aca="false">C559/C558-1</f>
        <v>-0.000217771858850302</v>
      </c>
    </row>
    <row r="560" customFormat="false" ht="15" hidden="false" customHeight="false" outlineLevel="0" collapsed="false">
      <c r="A560" s="1" t="s">
        <v>567</v>
      </c>
      <c r="B560" s="5" t="n">
        <v>30.4944</v>
      </c>
      <c r="C560" s="5" t="n">
        <v>11.934</v>
      </c>
      <c r="D560" s="1" t="n">
        <f aca="false">LN(B560/B559)</f>
        <v>-0.000590098170116309</v>
      </c>
      <c r="E560" s="1" t="n">
        <f aca="false">LN(C560/C559)</f>
        <v>-0.000209463564579067</v>
      </c>
      <c r="F560" s="1" t="n">
        <f aca="false">B560/B559-1</f>
        <v>-0.000589924096432992</v>
      </c>
      <c r="G560" s="1" t="n">
        <f aca="false">C560/C559-1</f>
        <v>-0.000209441628618245</v>
      </c>
    </row>
    <row r="561" customFormat="false" ht="15" hidden="false" customHeight="false" outlineLevel="0" collapsed="false">
      <c r="A561" s="1" t="s">
        <v>568</v>
      </c>
      <c r="B561" s="5" t="n">
        <v>30.5166</v>
      </c>
      <c r="C561" s="5" t="n">
        <v>11.9375</v>
      </c>
      <c r="D561" s="1" t="n">
        <f aca="false">LN(B561/B560)</f>
        <v>0.000727737653202389</v>
      </c>
      <c r="E561" s="1" t="n">
        <f aca="false">LN(C561/C560)</f>
        <v>0.000293236706958634</v>
      </c>
      <c r="F561" s="1" t="n">
        <f aca="false">B561/B560-1</f>
        <v>0.000728002518495252</v>
      </c>
      <c r="G561" s="1" t="n">
        <f aca="false">C561/C560-1</f>
        <v>0.000293279705044558</v>
      </c>
    </row>
    <row r="562" customFormat="false" ht="15" hidden="false" customHeight="false" outlineLevel="0" collapsed="false">
      <c r="A562" s="1" t="s">
        <v>569</v>
      </c>
      <c r="B562" s="5" t="n">
        <v>30.6966</v>
      </c>
      <c r="C562" s="5" t="n">
        <v>11.9418</v>
      </c>
      <c r="D562" s="1" t="n">
        <f aca="false">LN(B562/B561)</f>
        <v>0.00588110142289604</v>
      </c>
      <c r="E562" s="1" t="n">
        <f aca="false">LN(C562/C561)</f>
        <v>0.000360144564244119</v>
      </c>
      <c r="F562" s="1" t="n">
        <f aca="false">B562/B561-1</f>
        <v>0.00589842905172922</v>
      </c>
      <c r="G562" s="1" t="n">
        <f aca="false">C562/C561-1</f>
        <v>0.000360209424083768</v>
      </c>
    </row>
    <row r="563" customFormat="false" ht="15" hidden="false" customHeight="false" outlineLevel="0" collapsed="false">
      <c r="A563" s="1" t="s">
        <v>570</v>
      </c>
      <c r="B563" s="5" t="n">
        <v>30.6616</v>
      </c>
      <c r="C563" s="5" t="n">
        <v>11.9391</v>
      </c>
      <c r="D563" s="1" t="n">
        <f aca="false">LN(B563/B562)</f>
        <v>-0.00114084193461024</v>
      </c>
      <c r="E563" s="1" t="n">
        <f aca="false">LN(C563/C562)</f>
        <v>-0.000226122132039017</v>
      </c>
      <c r="F563" s="1" t="n">
        <f aca="false">B563/B562-1</f>
        <v>-0.00114019142185129</v>
      </c>
      <c r="G563" s="1" t="n">
        <f aca="false">C563/C562-1</f>
        <v>-0.000226096568356593</v>
      </c>
    </row>
    <row r="564" customFormat="false" ht="15" hidden="false" customHeight="false" outlineLevel="0" collapsed="false">
      <c r="A564" s="1" t="s">
        <v>571</v>
      </c>
      <c r="B564" s="5" t="n">
        <v>30.6856</v>
      </c>
      <c r="C564" s="5" t="n">
        <v>11.9381</v>
      </c>
      <c r="D564" s="1" t="n">
        <f aca="false">LN(B564/B563)</f>
        <v>0.000782431837945341</v>
      </c>
      <c r="E564" s="1" t="n">
        <f aca="false">LN(C564/C563)</f>
        <v>-8.37619151813294E-005</v>
      </c>
      <c r="F564" s="1" t="n">
        <f aca="false">B564/B563-1</f>
        <v>0.000782738017585549</v>
      </c>
      <c r="G564" s="1" t="n">
        <f aca="false">C564/C563-1</f>
        <v>-8.37584072500563E-005</v>
      </c>
    </row>
    <row r="565" customFormat="false" ht="15" hidden="false" customHeight="false" outlineLevel="0" collapsed="false">
      <c r="A565" s="1" t="s">
        <v>572</v>
      </c>
      <c r="B565" s="5" t="n">
        <v>30.5911</v>
      </c>
      <c r="C565" s="5" t="n">
        <v>11.9408</v>
      </c>
      <c r="D565" s="1" t="n">
        <f aca="false">LN(B565/B564)</f>
        <v>-0.00308437219751177</v>
      </c>
      <c r="E565" s="1" t="n">
        <f aca="false">LN(C565/C564)</f>
        <v>0.000226141071113469</v>
      </c>
      <c r="F565" s="1" t="n">
        <f aca="false">B565/B564-1</f>
        <v>-0.0030796204082697</v>
      </c>
      <c r="G565" s="1" t="n">
        <f aca="false">C565/C564-1</f>
        <v>0.000226166642933068</v>
      </c>
    </row>
    <row r="566" customFormat="false" ht="15" hidden="false" customHeight="false" outlineLevel="0" collapsed="false">
      <c r="A566" s="1" t="s">
        <v>573</v>
      </c>
      <c r="B566" s="5" t="n">
        <v>30.4669</v>
      </c>
      <c r="C566" s="5" t="n">
        <v>11.9399</v>
      </c>
      <c r="D566" s="1" t="n">
        <f aca="false">LN(B566/B565)</f>
        <v>-0.00406826857416977</v>
      </c>
      <c r="E566" s="1" t="n">
        <f aca="false">LN(C566/C565)</f>
        <v>-7.5374674982331E-005</v>
      </c>
      <c r="F566" s="1" t="n">
        <f aca="false">B566/B565-1</f>
        <v>-0.00406000438035903</v>
      </c>
      <c r="G566" s="1" t="n">
        <f aca="false">C566/C565-1</f>
        <v>-7.53718343828869E-005</v>
      </c>
    </row>
    <row r="567" customFormat="false" ht="15" hidden="false" customHeight="false" outlineLevel="0" collapsed="false">
      <c r="A567" s="1" t="s">
        <v>574</v>
      </c>
      <c r="B567" s="5" t="n">
        <v>30.2834</v>
      </c>
      <c r="C567" s="5" t="n">
        <v>11.9389</v>
      </c>
      <c r="D567" s="1" t="n">
        <f aca="false">LN(B567/B566)</f>
        <v>-0.00604114080341593</v>
      </c>
      <c r="E567" s="1" t="n">
        <f aca="false">LN(C567/C566)</f>
        <v>-8.37563027107226E-005</v>
      </c>
      <c r="F567" s="1" t="n">
        <f aca="false">B567/B566-1</f>
        <v>-0.00602292980250696</v>
      </c>
      <c r="G567" s="1" t="n">
        <f aca="false">C567/C566-1</f>
        <v>-8.37527952495254E-005</v>
      </c>
    </row>
    <row r="568" customFormat="false" ht="15" hidden="false" customHeight="false" outlineLevel="0" collapsed="false">
      <c r="A568" s="1" t="s">
        <v>575</v>
      </c>
      <c r="B568" s="5" t="n">
        <v>30.2027</v>
      </c>
      <c r="C568" s="5" t="n">
        <v>11.939</v>
      </c>
      <c r="D568" s="1" t="n">
        <f aca="false">LN(B568/B567)</f>
        <v>-0.00266838324454066</v>
      </c>
      <c r="E568" s="1" t="n">
        <f aca="false">LN(C568/C567)</f>
        <v>8.37594595842345E-006</v>
      </c>
      <c r="F568" s="1" t="n">
        <f aca="false">B568/B567-1</f>
        <v>-0.00266482627446063</v>
      </c>
      <c r="G568" s="1" t="n">
        <f aca="false">C568/C567-1</f>
        <v>8.37598103675674E-006</v>
      </c>
    </row>
    <row r="569" customFormat="false" ht="15" hidden="false" customHeight="false" outlineLevel="0" collapsed="false">
      <c r="A569" s="1" t="s">
        <v>576</v>
      </c>
      <c r="B569" s="5" t="n">
        <v>30.3203</v>
      </c>
      <c r="C569" s="5" t="n">
        <v>11.941</v>
      </c>
      <c r="D569" s="1" t="n">
        <f aca="false">LN(B569/B568)</f>
        <v>0.00388613082628711</v>
      </c>
      <c r="E569" s="1" t="n">
        <f aca="false">LN(C569/C568)</f>
        <v>0.000167504187996362</v>
      </c>
      <c r="F569" s="1" t="n">
        <f aca="false">B569/B568-1</f>
        <v>0.00389369162359654</v>
      </c>
      <c r="G569" s="1" t="n">
        <f aca="false">C569/C568-1</f>
        <v>0.000167518217606188</v>
      </c>
    </row>
    <row r="570" customFormat="false" ht="15" hidden="false" customHeight="false" outlineLevel="0" collapsed="false">
      <c r="A570" s="1" t="s">
        <v>577</v>
      </c>
      <c r="B570" s="5" t="n">
        <v>30.299</v>
      </c>
      <c r="C570" s="5" t="n">
        <v>11.9427</v>
      </c>
      <c r="D570" s="1" t="n">
        <f aca="false">LN(B570/B569)</f>
        <v>-0.000702746513951494</v>
      </c>
      <c r="E570" s="1" t="n">
        <f aca="false">LN(C570/C569)</f>
        <v>0.000142356502792344</v>
      </c>
      <c r="F570" s="1" t="n">
        <f aca="false">B570/B569-1</f>
        <v>-0.000702499645452104</v>
      </c>
      <c r="G570" s="1" t="n">
        <f aca="false">C570/C569-1</f>
        <v>0.000142366635960123</v>
      </c>
    </row>
    <row r="571" customFormat="false" ht="15" hidden="false" customHeight="false" outlineLevel="0" collapsed="false">
      <c r="A571" s="1" t="s">
        <v>578</v>
      </c>
      <c r="B571" s="5" t="n">
        <v>30.203</v>
      </c>
      <c r="C571" s="5" t="n">
        <v>11.9401</v>
      </c>
      <c r="D571" s="1" t="n">
        <f aca="false">LN(B571/B570)</f>
        <v>-0.00317345147487164</v>
      </c>
      <c r="E571" s="1" t="n">
        <f aca="false">LN(C571/C570)</f>
        <v>-0.000217729915275677</v>
      </c>
      <c r="F571" s="1" t="n">
        <f aca="false">B571/B570-1</f>
        <v>-0.00316842140004625</v>
      </c>
      <c r="G571" s="1" t="n">
        <f aca="false">C571/C570-1</f>
        <v>-0.000217706213837876</v>
      </c>
    </row>
    <row r="572" customFormat="false" ht="15" hidden="false" customHeight="false" outlineLevel="0" collapsed="false">
      <c r="A572" s="1" t="s">
        <v>579</v>
      </c>
      <c r="B572" s="5" t="n">
        <v>30.2457</v>
      </c>
      <c r="C572" s="5" t="n">
        <v>11.9416</v>
      </c>
      <c r="D572" s="1" t="n">
        <f aca="false">LN(B572/B571)</f>
        <v>0.00141276841692642</v>
      </c>
      <c r="E572" s="1" t="n">
        <f aca="false">LN(C572/C571)</f>
        <v>0.000125619198128489</v>
      </c>
      <c r="F572" s="1" t="n">
        <f aca="false">B572/B571-1</f>
        <v>0.00141376684435324</v>
      </c>
      <c r="G572" s="1" t="n">
        <f aca="false">C572/C571-1</f>
        <v>0.000125627088550351</v>
      </c>
    </row>
    <row r="573" customFormat="false" ht="15" hidden="false" customHeight="false" outlineLevel="0" collapsed="false">
      <c r="A573" s="1" t="s">
        <v>580</v>
      </c>
      <c r="B573" s="5" t="n">
        <v>30.4006</v>
      </c>
      <c r="C573" s="5" t="n">
        <v>11.9404</v>
      </c>
      <c r="D573" s="1" t="n">
        <f aca="false">LN(B573/B572)</f>
        <v>0.00510831944708511</v>
      </c>
      <c r="E573" s="1" t="n">
        <f aca="false">LN(C573/C572)</f>
        <v>-0.000100494096056323</v>
      </c>
      <c r="F573" s="1" t="n">
        <f aca="false">B573/B572-1</f>
        <v>0.00512138915614457</v>
      </c>
      <c r="G573" s="1" t="n">
        <f aca="false">C573/C572-1</f>
        <v>-0.000100489046693797</v>
      </c>
    </row>
    <row r="574" customFormat="false" ht="15" hidden="false" customHeight="false" outlineLevel="0" collapsed="false">
      <c r="A574" s="1" t="s">
        <v>581</v>
      </c>
      <c r="B574" s="5" t="n">
        <v>30.5006</v>
      </c>
      <c r="C574" s="5" t="n">
        <v>11.9445</v>
      </c>
      <c r="D574" s="1" t="n">
        <f aca="false">LN(B574/B573)</f>
        <v>0.00328401049150715</v>
      </c>
      <c r="E574" s="1" t="n">
        <f aca="false">LN(C574/C573)</f>
        <v>0.000343313142635708</v>
      </c>
      <c r="F574" s="1" t="n">
        <f aca="false">B574/B573-1</f>
        <v>0.00328940876166906</v>
      </c>
      <c r="G574" s="1" t="n">
        <f aca="false">C574/C573-1</f>
        <v>0.000343372081337279</v>
      </c>
    </row>
    <row r="575" customFormat="false" ht="15" hidden="false" customHeight="false" outlineLevel="0" collapsed="false">
      <c r="A575" s="1" t="s">
        <v>582</v>
      </c>
      <c r="B575" s="5" t="n">
        <v>30.5339</v>
      </c>
      <c r="C575" s="5" t="n">
        <v>11.9419</v>
      </c>
      <c r="D575" s="1" t="n">
        <f aca="false">LN(B575/B574)</f>
        <v>0.001091186240705</v>
      </c>
      <c r="E575" s="1" t="n">
        <f aca="false">LN(C575/C574)</f>
        <v>-0.000217697100464533</v>
      </c>
      <c r="F575" s="1" t="n">
        <f aca="false">B575/B574-1</f>
        <v>0.00109178180101366</v>
      </c>
      <c r="G575" s="1" t="n">
        <f aca="false">C575/C574-1</f>
        <v>-0.000217673406170182</v>
      </c>
    </row>
    <row r="576" customFormat="false" ht="15" hidden="false" customHeight="false" outlineLevel="0" collapsed="false">
      <c r="A576" s="1" t="s">
        <v>583</v>
      </c>
      <c r="B576" s="5" t="n">
        <v>30.5585</v>
      </c>
      <c r="C576" s="5" t="n">
        <v>11.94</v>
      </c>
      <c r="D576" s="1" t="n">
        <f aca="false">LN(B576/B575)</f>
        <v>0.000805337532313949</v>
      </c>
      <c r="E576" s="1" t="n">
        <f aca="false">LN(C576/C575)</f>
        <v>-0.000159116318551672</v>
      </c>
      <c r="F576" s="1" t="n">
        <f aca="false">B576/B575-1</f>
        <v>0.00080566190365472</v>
      </c>
      <c r="G576" s="1" t="n">
        <f aca="false">C576/C575-1</f>
        <v>-0.000159103660221649</v>
      </c>
    </row>
    <row r="577" customFormat="false" ht="15" hidden="false" customHeight="false" outlineLevel="0" collapsed="false">
      <c r="A577" s="1" t="s">
        <v>584</v>
      </c>
      <c r="B577" s="5" t="n">
        <v>30.5442</v>
      </c>
      <c r="C577" s="5" t="n">
        <v>11.9442</v>
      </c>
      <c r="D577" s="1" t="n">
        <f aca="false">LN(B577/B576)</f>
        <v>-0.000468064431230544</v>
      </c>
      <c r="E577" s="1" t="n">
        <f aca="false">LN(C577/C576)</f>
        <v>0.000351696941349679</v>
      </c>
      <c r="F577" s="1" t="n">
        <f aca="false">B577/B576-1</f>
        <v>-0.000467954906163581</v>
      </c>
      <c r="G577" s="1" t="n">
        <f aca="false">C577/C576-1</f>
        <v>0.00035175879396987</v>
      </c>
    </row>
    <row r="578" customFormat="false" ht="15" hidden="false" customHeight="false" outlineLevel="0" collapsed="false">
      <c r="A578" s="1" t="s">
        <v>585</v>
      </c>
      <c r="B578" s="5" t="n">
        <v>30.5397</v>
      </c>
      <c r="C578" s="5" t="n">
        <v>11.9452</v>
      </c>
      <c r="D578" s="1" t="n">
        <f aca="false">LN(B578/B577)</f>
        <v>-0.000147338333280671</v>
      </c>
      <c r="E578" s="1" t="n">
        <f aca="false">LN(C578/C577)</f>
        <v>8.37191390811824E-005</v>
      </c>
      <c r="F578" s="1" t="n">
        <f aca="false">B578/B577-1</f>
        <v>-0.000147327479521509</v>
      </c>
      <c r="G578" s="1" t="n">
        <f aca="false">C578/C577-1</f>
        <v>8.37226436261052E-005</v>
      </c>
    </row>
    <row r="579" customFormat="false" ht="15" hidden="false" customHeight="false" outlineLevel="0" collapsed="false">
      <c r="A579" s="1" t="s">
        <v>586</v>
      </c>
      <c r="B579" s="5" t="n">
        <v>30.5275</v>
      </c>
      <c r="C579" s="5" t="n">
        <v>11.9455</v>
      </c>
      <c r="D579" s="1" t="n">
        <f aca="false">LN(B579/B578)</f>
        <v>-0.000399559834487488</v>
      </c>
      <c r="E579" s="1" t="n">
        <f aca="false">LN(C579/C578)</f>
        <v>2.51143750509904E-005</v>
      </c>
      <c r="F579" s="1" t="n">
        <f aca="false">B579/B578-1</f>
        <v>-0.000399480021087251</v>
      </c>
      <c r="G579" s="1" t="n">
        <f aca="false">C579/C578-1</f>
        <v>2.51146904195476E-005</v>
      </c>
    </row>
    <row r="580" customFormat="false" ht="15" hidden="false" customHeight="false" outlineLevel="0" collapsed="false">
      <c r="A580" s="1" t="s">
        <v>587</v>
      </c>
      <c r="B580" s="5" t="n">
        <v>30.3613</v>
      </c>
      <c r="C580" s="5" t="n">
        <v>11.9459</v>
      </c>
      <c r="D580" s="1" t="n">
        <f aca="false">LN(B580/B579)</f>
        <v>-0.00545914561499808</v>
      </c>
      <c r="E580" s="1" t="n">
        <f aca="false">LN(C580/C579)</f>
        <v>3.34848522932207E-005</v>
      </c>
      <c r="F580" s="1" t="n">
        <f aca="false">B580/B579-1</f>
        <v>-0.00544427155843097</v>
      </c>
      <c r="G580" s="1" t="n">
        <f aca="false">C580/C579-1</f>
        <v>3.34854129171447E-005</v>
      </c>
    </row>
    <row r="581" customFormat="false" ht="15" hidden="false" customHeight="false" outlineLevel="0" collapsed="false">
      <c r="A581" s="1" t="s">
        <v>588</v>
      </c>
      <c r="B581" s="5" t="n">
        <v>30.4135</v>
      </c>
      <c r="C581" s="5" t="n">
        <v>11.9463</v>
      </c>
      <c r="D581" s="1" t="n">
        <f aca="false">LN(B581/B580)</f>
        <v>0.00171781767562881</v>
      </c>
      <c r="E581" s="1" t="n">
        <f aca="false">LN(C581/C580)</f>
        <v>3.3483731095437E-005</v>
      </c>
      <c r="F581" s="1" t="n">
        <f aca="false">B581/B580-1</f>
        <v>0.00171929396962578</v>
      </c>
      <c r="G581" s="1" t="n">
        <f aca="false">C581/C580-1</f>
        <v>3.34842916818179E-005</v>
      </c>
    </row>
    <row r="582" customFormat="false" ht="15" hidden="false" customHeight="false" outlineLevel="0" collapsed="false">
      <c r="A582" s="1" t="s">
        <v>589</v>
      </c>
      <c r="B582" s="5" t="n">
        <v>30.4878</v>
      </c>
      <c r="C582" s="5" t="n">
        <v>11.9467</v>
      </c>
      <c r="D582" s="1" t="n">
        <f aca="false">LN(B582/B581)</f>
        <v>0.00244001480635559</v>
      </c>
      <c r="E582" s="1" t="n">
        <f aca="false">LN(C582/C581)</f>
        <v>3.34826099724786E-005</v>
      </c>
      <c r="F582" s="1" t="n">
        <f aca="false">B582/B581-1</f>
        <v>0.0024429940651356</v>
      </c>
      <c r="G582" s="1" t="n">
        <f aca="false">C582/C581-1</f>
        <v>3.34831705213201E-005</v>
      </c>
    </row>
    <row r="583" customFormat="false" ht="15" hidden="false" customHeight="false" outlineLevel="0" collapsed="false">
      <c r="A583" s="1" t="s">
        <v>590</v>
      </c>
      <c r="B583" s="5" t="n">
        <v>30.429</v>
      </c>
      <c r="C583" s="5" t="n">
        <v>11.9477</v>
      </c>
      <c r="D583" s="1" t="n">
        <f aca="false">LN(B583/B582)</f>
        <v>-0.00193050253005796</v>
      </c>
      <c r="E583" s="1" t="n">
        <f aca="false">LN(C583/C582)</f>
        <v>8.37016205120854E-005</v>
      </c>
      <c r="F583" s="1" t="n">
        <f aca="false">B583/B582-1</f>
        <v>-0.00192864030858253</v>
      </c>
      <c r="G583" s="1" t="n">
        <f aca="false">C583/C582-1</f>
        <v>8.37051235904607E-005</v>
      </c>
    </row>
    <row r="584" customFormat="false" ht="15" hidden="false" customHeight="false" outlineLevel="0" collapsed="false">
      <c r="A584" s="1" t="s">
        <v>591</v>
      </c>
      <c r="B584" s="5" t="n">
        <v>30.4799</v>
      </c>
      <c r="C584" s="5" t="n">
        <v>11.9487</v>
      </c>
      <c r="D584" s="1" t="n">
        <f aca="false">LN(B584/B583)</f>
        <v>0.00167134891120026</v>
      </c>
      <c r="E584" s="1" t="n">
        <f aca="false">LN(C584/C583)</f>
        <v>8.36946151375241E-005</v>
      </c>
      <c r="F584" s="1" t="n">
        <f aca="false">B584/B583-1</f>
        <v>0.00167274639324333</v>
      </c>
      <c r="G584" s="1" t="n">
        <f aca="false">C584/C583-1</f>
        <v>8.36981176295382E-005</v>
      </c>
    </row>
    <row r="585" customFormat="false" ht="15" hidden="false" customHeight="false" outlineLevel="0" collapsed="false">
      <c r="A585" s="1" t="s">
        <v>592</v>
      </c>
      <c r="B585" s="5" t="n">
        <v>30.4151</v>
      </c>
      <c r="C585" s="5" t="n">
        <v>11.9493</v>
      </c>
      <c r="D585" s="1" t="n">
        <f aca="false">LN(B585/B584)</f>
        <v>-0.0021282543545158</v>
      </c>
      <c r="E585" s="1" t="n">
        <f aca="false">LN(C585/C584)</f>
        <v>5.02134069901624E-005</v>
      </c>
      <c r="F585" s="1" t="n">
        <f aca="false">B585/B584-1</f>
        <v>-0.00212599122700541</v>
      </c>
      <c r="G585" s="1" t="n">
        <f aca="false">C585/C584-1</f>
        <v>5.02146677043847E-005</v>
      </c>
    </row>
    <row r="586" customFormat="false" ht="15" hidden="false" customHeight="false" outlineLevel="0" collapsed="false">
      <c r="A586" s="1" t="s">
        <v>593</v>
      </c>
      <c r="B586" s="5" t="n">
        <v>30.5005</v>
      </c>
      <c r="C586" s="5" t="n">
        <v>11.9499</v>
      </c>
      <c r="D586" s="1" t="n">
        <f aca="false">LN(B586/B585)</f>
        <v>0.00280388130296498</v>
      </c>
      <c r="E586" s="1" t="n">
        <f aca="false">LN(C586/C585)</f>
        <v>5.02108857305525E-005</v>
      </c>
      <c r="F586" s="1" t="n">
        <f aca="false">B586/B585-1</f>
        <v>0.00280781585462475</v>
      </c>
      <c r="G586" s="1" t="n">
        <f aca="false">C586/C585-1</f>
        <v>5.02121463181737E-005</v>
      </c>
    </row>
    <row r="587" customFormat="false" ht="15" hidden="false" customHeight="false" outlineLevel="0" collapsed="false">
      <c r="A587" s="1" t="s">
        <v>594</v>
      </c>
      <c r="B587" s="5" t="n">
        <v>30.4016</v>
      </c>
      <c r="C587" s="5" t="n">
        <v>11.9502</v>
      </c>
      <c r="D587" s="1" t="n">
        <f aca="false">LN(B587/B586)</f>
        <v>-0.00324783831548742</v>
      </c>
      <c r="E587" s="1" t="n">
        <f aca="false">LN(C587/C586)</f>
        <v>2.51044974722352E-005</v>
      </c>
      <c r="F587" s="1" t="n">
        <f aca="false">B587/B586-1</f>
        <v>-0.00324256979393778</v>
      </c>
      <c r="G587" s="1" t="n">
        <f aca="false">C587/C586-1</f>
        <v>2.51048125927689E-005</v>
      </c>
    </row>
    <row r="588" customFormat="false" ht="15" hidden="false" customHeight="false" outlineLevel="0" collapsed="false">
      <c r="A588" s="1" t="s">
        <v>595</v>
      </c>
      <c r="B588" s="5" t="n">
        <v>30.5135</v>
      </c>
      <c r="C588" s="5" t="n">
        <v>11.9514</v>
      </c>
      <c r="D588" s="1" t="n">
        <f aca="false">LN(B588/B587)</f>
        <v>0.00367397002941297</v>
      </c>
      <c r="E588" s="1" t="n">
        <f aca="false">LN(C588/C587)</f>
        <v>0.000100411688004674</v>
      </c>
      <c r="F588" s="1" t="n">
        <f aca="false">B588/B587-1</f>
        <v>0.00368072733014069</v>
      </c>
      <c r="G588" s="1" t="n">
        <f aca="false">C588/C587-1</f>
        <v>0.000100416729426955</v>
      </c>
    </row>
    <row r="589" customFormat="false" ht="15" hidden="false" customHeight="false" outlineLevel="0" collapsed="false">
      <c r="A589" s="1" t="s">
        <v>596</v>
      </c>
      <c r="B589" s="5" t="n">
        <v>30.5712</v>
      </c>
      <c r="C589" s="5" t="n">
        <v>11.9517</v>
      </c>
      <c r="D589" s="1" t="n">
        <f aca="false">LN(B589/B588)</f>
        <v>0.00188918066753075</v>
      </c>
      <c r="E589" s="1" t="n">
        <f aca="false">LN(C589/C588)</f>
        <v>2.51013466886482E-005</v>
      </c>
      <c r="F589" s="1" t="n">
        <f aca="false">B589/B588-1</f>
        <v>0.00189096629360774</v>
      </c>
      <c r="G589" s="1" t="n">
        <f aca="false">C589/C588-1</f>
        <v>2.5101661730087E-005</v>
      </c>
    </row>
    <row r="590" customFormat="false" ht="15" hidden="false" customHeight="false" outlineLevel="0" collapsed="false">
      <c r="A590" s="1" t="s">
        <v>597</v>
      </c>
      <c r="B590" s="5" t="n">
        <v>30.4613</v>
      </c>
      <c r="C590" s="5" t="n">
        <v>11.9516</v>
      </c>
      <c r="D590" s="1" t="n">
        <f aca="false">LN(B590/B589)</f>
        <v>-0.0036013638235996</v>
      </c>
      <c r="E590" s="1" t="n">
        <f aca="false">LN(C590/C589)</f>
        <v>-8.36704555458615E-006</v>
      </c>
      <c r="F590" s="1" t="n">
        <f aca="false">B590/B589-1</f>
        <v>-0.00359488669074159</v>
      </c>
      <c r="G590" s="1" t="n">
        <f aca="false">C590/C589-1</f>
        <v>-8.36701055095812E-006</v>
      </c>
    </row>
    <row r="591" customFormat="false" ht="15" hidden="false" customHeight="false" outlineLevel="0" collapsed="false">
      <c r="A591" s="1" t="s">
        <v>598</v>
      </c>
      <c r="B591" s="5" t="n">
        <v>30.5382</v>
      </c>
      <c r="C591" s="5" t="n">
        <v>11.9524</v>
      </c>
      <c r="D591" s="1" t="n">
        <f aca="false">LN(B591/B590)</f>
        <v>0.00252133347776793</v>
      </c>
      <c r="E591" s="1" t="n">
        <f aca="false">LN(C591/C590)</f>
        <v>6.6934404308888E-005</v>
      </c>
      <c r="F591" s="1" t="n">
        <f aca="false">B591/B590-1</f>
        <v>0.00252451471211002</v>
      </c>
      <c r="G591" s="1" t="n">
        <f aca="false">C591/C590-1</f>
        <v>6.6936644466109E-005</v>
      </c>
    </row>
    <row r="592" customFormat="false" ht="15" hidden="false" customHeight="false" outlineLevel="0" collapsed="false">
      <c r="A592" s="1" t="s">
        <v>599</v>
      </c>
      <c r="B592" s="5" t="n">
        <v>30.6527</v>
      </c>
      <c r="C592" s="5" t="n">
        <v>11.9531</v>
      </c>
      <c r="D592" s="1" t="n">
        <f aca="false">LN(B592/B591)</f>
        <v>0.00374239089915931</v>
      </c>
      <c r="E592" s="1" t="n">
        <f aca="false">LN(C592/C591)</f>
        <v>5.85639288196203E-005</v>
      </c>
      <c r="F592" s="1" t="n">
        <f aca="false">B592/B591-1</f>
        <v>0.00374940238782906</v>
      </c>
      <c r="G592" s="1" t="n">
        <f aca="false">C592/C591-1</f>
        <v>5.85656437199766E-005</v>
      </c>
    </row>
    <row r="593" customFormat="false" ht="15" hidden="false" customHeight="false" outlineLevel="0" collapsed="false">
      <c r="A593" s="1" t="s">
        <v>600</v>
      </c>
      <c r="B593" s="5" t="n">
        <v>30.6101</v>
      </c>
      <c r="C593" s="5" t="n">
        <v>11.9533</v>
      </c>
      <c r="D593" s="1" t="n">
        <f aca="false">LN(B593/B592)</f>
        <v>-0.00139072999817708</v>
      </c>
      <c r="E593" s="1" t="n">
        <f aca="false">LN(C593/C592)</f>
        <v>1.6731921159684E-005</v>
      </c>
      <c r="F593" s="1" t="n">
        <f aca="false">B593/B592-1</f>
        <v>-0.00138976338136609</v>
      </c>
      <c r="G593" s="1" t="n">
        <f aca="false">C593/C592-1</f>
        <v>1.67320611390576E-005</v>
      </c>
    </row>
    <row r="594" customFormat="false" ht="15" hidden="false" customHeight="false" outlineLevel="0" collapsed="false">
      <c r="A594" s="1" t="s">
        <v>601</v>
      </c>
      <c r="B594" s="5" t="n">
        <v>30.5544</v>
      </c>
      <c r="C594" s="5" t="n">
        <v>11.9535</v>
      </c>
      <c r="D594" s="1" t="n">
        <f aca="false">LN(B594/B593)</f>
        <v>-0.00182131842481625</v>
      </c>
      <c r="E594" s="1" t="n">
        <f aca="false">LN(C594/C593)</f>
        <v>1.67316412069776E-005</v>
      </c>
      <c r="F594" s="1" t="n">
        <f aca="false">B594/B593-1</f>
        <v>-0.00181966083090213</v>
      </c>
      <c r="G594" s="1" t="n">
        <f aca="false">C594/C593-1</f>
        <v>1.6731781181667E-005</v>
      </c>
    </row>
    <row r="595" customFormat="false" ht="15" hidden="false" customHeight="false" outlineLevel="0" collapsed="false">
      <c r="A595" s="1" t="s">
        <v>602</v>
      </c>
      <c r="B595" s="5" t="n">
        <v>30.6228</v>
      </c>
      <c r="C595" s="5" t="n">
        <v>11.9541</v>
      </c>
      <c r="D595" s="1" t="n">
        <f aca="false">LN(B595/B594)</f>
        <v>0.00223612811640714</v>
      </c>
      <c r="E595" s="1" t="n">
        <f aca="false">LN(C595/C594)</f>
        <v>5.01932439999692E-005</v>
      </c>
      <c r="F595" s="1" t="n">
        <f aca="false">B595/B594-1</f>
        <v>0.00223863011546621</v>
      </c>
      <c r="G595" s="1" t="n">
        <f aca="false">C595/C594-1</f>
        <v>5.01945037019169E-005</v>
      </c>
    </row>
    <row r="596" customFormat="false" ht="15" hidden="false" customHeight="false" outlineLevel="0" collapsed="false">
      <c r="A596" s="1" t="s">
        <v>603</v>
      </c>
      <c r="B596" s="5" t="n">
        <v>30.6624</v>
      </c>
      <c r="C596" s="5" t="n">
        <v>11.955</v>
      </c>
      <c r="D596" s="1" t="n">
        <f aca="false">LN(B596/B595)</f>
        <v>0.00129231871679588</v>
      </c>
      <c r="E596" s="1" t="n">
        <f aca="false">LN(C596/C595)</f>
        <v>7.52851425125585E-005</v>
      </c>
      <c r="F596" s="1" t="n">
        <f aca="false">B596/B595-1</f>
        <v>0.00129315412045927</v>
      </c>
      <c r="G596" s="1" t="n">
        <f aca="false">C596/C595-1</f>
        <v>7.5287976510019E-005</v>
      </c>
    </row>
    <row r="597" customFormat="false" ht="15" hidden="false" customHeight="false" outlineLevel="0" collapsed="false">
      <c r="A597" s="1" t="s">
        <v>604</v>
      </c>
      <c r="B597" s="5" t="n">
        <v>30.6962</v>
      </c>
      <c r="C597" s="5" t="n">
        <v>11.9555</v>
      </c>
      <c r="D597" s="1" t="n">
        <f aca="false">LN(B597/B596)</f>
        <v>0.00110172016372059</v>
      </c>
      <c r="E597" s="1" t="n">
        <f aca="false">LN(C597/C596)</f>
        <v>4.18226302314649E-005</v>
      </c>
      <c r="F597" s="1" t="n">
        <f aca="false">B597/B596-1</f>
        <v>0.00110232728031723</v>
      </c>
      <c r="G597" s="1" t="n">
        <f aca="false">C597/C596-1</f>
        <v>4.1823504809857E-005</v>
      </c>
    </row>
    <row r="598" customFormat="false" ht="15" hidden="false" customHeight="false" outlineLevel="0" collapsed="false">
      <c r="A598" s="1" t="s">
        <v>605</v>
      </c>
      <c r="B598" s="5" t="n">
        <v>30.7621</v>
      </c>
      <c r="C598" s="5" t="n">
        <v>11.9564</v>
      </c>
      <c r="D598" s="1" t="n">
        <f aca="false">LN(B598/B597)</f>
        <v>0.00214454435793243</v>
      </c>
      <c r="E598" s="1" t="n">
        <f aca="false">LN(C598/C597)</f>
        <v>7.52763268854219E-005</v>
      </c>
      <c r="F598" s="1" t="n">
        <f aca="false">B598/B597-1</f>
        <v>0.00214684553788413</v>
      </c>
      <c r="G598" s="1" t="n">
        <f aca="false">C598/C597-1</f>
        <v>7.52791602192104E-005</v>
      </c>
    </row>
    <row r="599" customFormat="false" ht="15" hidden="false" customHeight="false" outlineLevel="0" collapsed="false">
      <c r="A599" s="1" t="s">
        <v>606</v>
      </c>
      <c r="B599" s="5" t="n">
        <v>30.6921</v>
      </c>
      <c r="C599" s="5" t="n">
        <v>11.9564</v>
      </c>
      <c r="D599" s="1" t="n">
        <f aca="false">LN(B599/B598)</f>
        <v>-0.00227812030012651</v>
      </c>
      <c r="E599" s="1" t="n">
        <f aca="false">LN(C599/C598)</f>
        <v>0</v>
      </c>
      <c r="F599" s="1" t="n">
        <f aca="false">B599/B598-1</f>
        <v>-0.00227552735346415</v>
      </c>
      <c r="G599" s="1" t="n">
        <f aca="false">C599/C598-1</f>
        <v>0</v>
      </c>
    </row>
    <row r="600" customFormat="false" ht="15" hidden="false" customHeight="false" outlineLevel="0" collapsed="false">
      <c r="A600" s="1" t="s">
        <v>607</v>
      </c>
      <c r="B600" s="5" t="n">
        <v>30.6238</v>
      </c>
      <c r="C600" s="5" t="n">
        <v>11.9564</v>
      </c>
      <c r="D600" s="1" t="n">
        <f aca="false">LN(B600/B599)</f>
        <v>-0.00222780806441633</v>
      </c>
      <c r="E600" s="1" t="n">
        <f aca="false">LN(C600/C599)</f>
        <v>0</v>
      </c>
      <c r="F600" s="1" t="n">
        <f aca="false">B600/B599-1</f>
        <v>-0.00222532834182088</v>
      </c>
      <c r="G600" s="1" t="n">
        <f aca="false">C600/C599-1</f>
        <v>0</v>
      </c>
    </row>
    <row r="601" customFormat="false" ht="15" hidden="false" customHeight="false" outlineLevel="0" collapsed="false">
      <c r="A601" s="1" t="s">
        <v>608</v>
      </c>
      <c r="B601" s="5" t="n">
        <v>30.5927</v>
      </c>
      <c r="C601" s="5" t="n">
        <v>11.957</v>
      </c>
      <c r="D601" s="1" t="n">
        <f aca="false">LN(B601/B600)</f>
        <v>-0.00101606601735189</v>
      </c>
      <c r="E601" s="1" t="n">
        <f aca="false">LN(C601/C600)</f>
        <v>5.01810700382777E-005</v>
      </c>
      <c r="F601" s="1" t="n">
        <f aca="false">B601/B600-1</f>
        <v>-0.0010155499970611</v>
      </c>
      <c r="G601" s="1" t="n">
        <f aca="false">C601/C600-1</f>
        <v>5.01823291292336E-005</v>
      </c>
    </row>
    <row r="602" customFormat="false" ht="15" hidden="false" customHeight="false" outlineLevel="0" collapsed="false">
      <c r="A602" s="1" t="s">
        <v>609</v>
      </c>
      <c r="B602" s="5" t="n">
        <v>30.739</v>
      </c>
      <c r="C602" s="5" t="n">
        <v>11.9585</v>
      </c>
      <c r="D602" s="1" t="n">
        <f aca="false">LN(B602/B601)</f>
        <v>0.00477078827057971</v>
      </c>
      <c r="E602" s="1" t="n">
        <f aca="false">LN(C602/C601)</f>
        <v>0.000125441659339455</v>
      </c>
      <c r="F602" s="1" t="n">
        <f aca="false">B602/B601-1</f>
        <v>0.00478218660007124</v>
      </c>
      <c r="G602" s="1" t="n">
        <f aca="false">C602/C601-1</f>
        <v>0.000125449527473398</v>
      </c>
    </row>
    <row r="603" customFormat="false" ht="15" hidden="false" customHeight="false" outlineLevel="0" collapsed="false">
      <c r="A603" s="1" t="s">
        <v>610</v>
      </c>
      <c r="B603" s="5" t="n">
        <v>30.6229</v>
      </c>
      <c r="C603" s="5" t="n">
        <v>11.9589</v>
      </c>
      <c r="D603" s="1" t="n">
        <f aca="false">LN(B603/B602)</f>
        <v>-0.00378411159175753</v>
      </c>
      <c r="E603" s="1" t="n">
        <f aca="false">LN(C603/C602)</f>
        <v>3.34484517578337E-005</v>
      </c>
      <c r="F603" s="1" t="n">
        <f aca="false">B603/B602-1</f>
        <v>-0.00377696086404888</v>
      </c>
      <c r="G603" s="1" t="n">
        <f aca="false">C603/C602-1</f>
        <v>3.34490111635333E-005</v>
      </c>
    </row>
    <row r="604" customFormat="false" ht="15" hidden="false" customHeight="false" outlineLevel="0" collapsed="false">
      <c r="A604" s="1" t="s">
        <v>611</v>
      </c>
      <c r="B604" s="5" t="n">
        <v>30.6419</v>
      </c>
      <c r="C604" s="5" t="n">
        <v>11.9591</v>
      </c>
      <c r="D604" s="1" t="n">
        <f aca="false">LN(B604/B603)</f>
        <v>0.000620258308494824</v>
      </c>
      <c r="E604" s="1" t="n">
        <f aca="false">LN(C604/C603)</f>
        <v>1.67238063387222E-005</v>
      </c>
      <c r="F604" s="1" t="n">
        <f aca="false">B604/B603-1</f>
        <v>0.000620450708456621</v>
      </c>
      <c r="G604" s="1" t="n">
        <f aca="false">C604/C603-1</f>
        <v>1.6723946182351E-005</v>
      </c>
    </row>
    <row r="605" customFormat="false" ht="15" hidden="false" customHeight="false" outlineLevel="0" collapsed="false">
      <c r="A605" s="1" t="s">
        <v>612</v>
      </c>
      <c r="B605" s="5" t="n">
        <v>30.5682</v>
      </c>
      <c r="C605" s="5" t="n">
        <v>11.9592</v>
      </c>
      <c r="D605" s="1" t="n">
        <f aca="false">LN(B605/B604)</f>
        <v>-0.00240810048064617</v>
      </c>
      <c r="E605" s="1" t="n">
        <f aca="false">LN(C605/C604)</f>
        <v>8.3617982883277E-006</v>
      </c>
      <c r="F605" s="1" t="n">
        <f aca="false">B605/B604-1</f>
        <v>-0.00240520333269145</v>
      </c>
      <c r="G605" s="1" t="n">
        <f aca="false">C605/C604-1</f>
        <v>8.36183324826045E-006</v>
      </c>
    </row>
    <row r="606" customFormat="false" ht="15" hidden="false" customHeight="false" outlineLevel="0" collapsed="false">
      <c r="A606" s="1" t="s">
        <v>613</v>
      </c>
      <c r="B606" s="5" t="n">
        <v>30.5429</v>
      </c>
      <c r="C606" s="5" t="n">
        <v>11.9596</v>
      </c>
      <c r="D606" s="1" t="n">
        <f aca="false">LN(B606/B605)</f>
        <v>-0.000828000197850876</v>
      </c>
      <c r="E606" s="1" t="n">
        <f aca="false">LN(C606/C605)</f>
        <v>3.34464939745457E-005</v>
      </c>
      <c r="F606" s="1" t="n">
        <f aca="false">B606/B605-1</f>
        <v>-0.000827657500278134</v>
      </c>
      <c r="G606" s="1" t="n">
        <f aca="false">C606/C605-1</f>
        <v>3.34470533147613E-005</v>
      </c>
    </row>
    <row r="607" customFormat="false" ht="15" hidden="false" customHeight="false" outlineLevel="0" collapsed="false">
      <c r="A607" s="1" t="s">
        <v>614</v>
      </c>
      <c r="B607" s="5" t="n">
        <v>30.5087</v>
      </c>
      <c r="C607" s="5" t="n">
        <v>11.9612</v>
      </c>
      <c r="D607" s="1" t="n">
        <f aca="false">LN(B607/B606)</f>
        <v>-0.00112036387506183</v>
      </c>
      <c r="E607" s="1" t="n">
        <f aca="false">LN(C607/C606)</f>
        <v>0.000133774790340357</v>
      </c>
      <c r="F607" s="1" t="n">
        <f aca="false">B607/B606-1</f>
        <v>-0.00111973650177288</v>
      </c>
      <c r="G607" s="1" t="n">
        <f aca="false">C607/C606-1</f>
        <v>0.000133783738586635</v>
      </c>
    </row>
    <row r="608" customFormat="false" ht="15" hidden="false" customHeight="false" outlineLevel="0" collapsed="false">
      <c r="A608" s="1" t="s">
        <v>615</v>
      </c>
      <c r="B608" s="5" t="n">
        <v>30.6321</v>
      </c>
      <c r="C608" s="5" t="n">
        <v>11.9615</v>
      </c>
      <c r="D608" s="1" t="n">
        <f aca="false">LN(B608/B607)</f>
        <v>0.00403658988947427</v>
      </c>
      <c r="E608" s="1" t="n">
        <f aca="false">LN(C608/C607)</f>
        <v>2.50807810168054E-005</v>
      </c>
      <c r="F608" s="1" t="n">
        <f aca="false">B608/B607-1</f>
        <v>0.00404474789158504</v>
      </c>
      <c r="G608" s="1" t="n">
        <f aca="false">C608/C607-1</f>
        <v>2.50810955422232E-005</v>
      </c>
    </row>
    <row r="609" customFormat="false" ht="15" hidden="false" customHeight="false" outlineLevel="0" collapsed="false">
      <c r="A609" s="1" t="s">
        <v>616</v>
      </c>
      <c r="B609" s="5" t="n">
        <v>30.7353</v>
      </c>
      <c r="C609" s="5" t="n">
        <v>11.9619</v>
      </c>
      <c r="D609" s="1" t="n">
        <f aca="false">LN(B609/B608)</f>
        <v>0.00336335244068928</v>
      </c>
      <c r="E609" s="1" t="n">
        <f aca="false">LN(C609/C608)</f>
        <v>3.34400628705936E-005</v>
      </c>
      <c r="F609" s="1" t="n">
        <f aca="false">B609/B608-1</f>
        <v>0.00336901485696361</v>
      </c>
      <c r="G609" s="1" t="n">
        <f aca="false">C609/C608-1</f>
        <v>3.34406219957284E-005</v>
      </c>
    </row>
    <row r="610" customFormat="false" ht="15" hidden="false" customHeight="false" outlineLevel="0" collapsed="false">
      <c r="A610" s="1" t="s">
        <v>617</v>
      </c>
      <c r="B610" s="5" t="n">
        <v>30.6593</v>
      </c>
      <c r="C610" s="5" t="n">
        <v>11.9631</v>
      </c>
      <c r="D610" s="1" t="n">
        <f aca="false">LN(B610/B609)</f>
        <v>-0.00247578903748407</v>
      </c>
      <c r="E610" s="1" t="n">
        <f aca="false">LN(C610/C609)</f>
        <v>0.000100313479707996</v>
      </c>
      <c r="F610" s="1" t="n">
        <f aca="false">B610/B609-1</f>
        <v>-0.00247272679947808</v>
      </c>
      <c r="G610" s="1" t="n">
        <f aca="false">C610/C609-1</f>
        <v>0.000100318511273345</v>
      </c>
    </row>
    <row r="611" customFormat="false" ht="15" hidden="false" customHeight="false" outlineLevel="0" collapsed="false">
      <c r="A611" s="1" t="s">
        <v>618</v>
      </c>
      <c r="B611" s="5" t="n">
        <v>30.6445</v>
      </c>
      <c r="C611" s="5" t="n">
        <v>11.9634</v>
      </c>
      <c r="D611" s="1" t="n">
        <f aca="false">LN(B611/B610)</f>
        <v>-0.000482841203564327</v>
      </c>
      <c r="E611" s="1" t="n">
        <f aca="false">LN(C611/C610)</f>
        <v>2.50767976942228E-005</v>
      </c>
      <c r="F611" s="1" t="n">
        <f aca="false">B611/B610-1</f>
        <v>-0.000482724654509381</v>
      </c>
      <c r="G611" s="1" t="n">
        <f aca="false">C611/C610-1</f>
        <v>2.50771121197424E-005</v>
      </c>
    </row>
    <row r="612" customFormat="false" ht="15" hidden="false" customHeight="false" outlineLevel="0" collapsed="false">
      <c r="A612" s="1" t="s">
        <v>619</v>
      </c>
      <c r="B612" s="5" t="n">
        <v>30.7642</v>
      </c>
      <c r="C612" s="5" t="n">
        <v>11.9635</v>
      </c>
      <c r="D612" s="1" t="n">
        <f aca="false">LN(B612/B611)</f>
        <v>0.00389847534962001</v>
      </c>
      <c r="E612" s="1" t="n">
        <f aca="false">LN(C612/C611)</f>
        <v>8.35879282315331E-006</v>
      </c>
      <c r="F612" s="1" t="n">
        <f aca="false">B612/B611-1</f>
        <v>0.00390608428918715</v>
      </c>
      <c r="G612" s="1" t="n">
        <f aca="false">C612/C611-1</f>
        <v>8.35882775795938E-006</v>
      </c>
    </row>
    <row r="613" customFormat="false" ht="15" hidden="false" customHeight="false" outlineLevel="0" collapsed="false">
      <c r="A613" s="1" t="s">
        <v>620</v>
      </c>
      <c r="B613" s="5" t="n">
        <v>30.7139</v>
      </c>
      <c r="C613" s="5" t="n">
        <v>11.9638</v>
      </c>
      <c r="D613" s="1" t="n">
        <f aca="false">LN(B613/B612)</f>
        <v>-0.00163635542490262</v>
      </c>
      <c r="E613" s="1" t="n">
        <f aca="false">LN(C613/C612)</f>
        <v>2.5075959261275E-005</v>
      </c>
      <c r="F613" s="1" t="n">
        <f aca="false">B613/B612-1</f>
        <v>-0.00163501732533267</v>
      </c>
      <c r="G613" s="1" t="n">
        <f aca="false">C613/C612-1</f>
        <v>2.50762736657695E-005</v>
      </c>
    </row>
    <row r="614" customFormat="false" ht="15" hidden="false" customHeight="false" outlineLevel="0" collapsed="false">
      <c r="A614" s="1" t="s">
        <v>621</v>
      </c>
      <c r="B614" s="5" t="n">
        <v>30.7019</v>
      </c>
      <c r="C614" s="5" t="n">
        <v>11.9642</v>
      </c>
      <c r="D614" s="1" t="n">
        <f aca="false">LN(B614/B613)</f>
        <v>-0.000390778925055363</v>
      </c>
      <c r="E614" s="1" t="n">
        <f aca="false">LN(C614/C613)</f>
        <v>3.34336342389842E-005</v>
      </c>
      <c r="F614" s="1" t="n">
        <f aca="false">B614/B613-1</f>
        <v>-0.000390702580916114</v>
      </c>
      <c r="G614" s="1" t="n">
        <f aca="false">C614/C613-1</f>
        <v>3.34341931491622E-005</v>
      </c>
    </row>
    <row r="615" customFormat="false" ht="15" hidden="false" customHeight="false" outlineLevel="0" collapsed="false">
      <c r="A615" s="1" t="s">
        <v>622</v>
      </c>
      <c r="B615" s="5" t="n">
        <v>30.7826</v>
      </c>
      <c r="C615" s="5" t="n">
        <v>11.9649</v>
      </c>
      <c r="D615" s="1" t="n">
        <f aca="false">LN(B615/B614)</f>
        <v>0.00262505334974935</v>
      </c>
      <c r="E615" s="1" t="n">
        <f aca="false">LN(C615/C614)</f>
        <v>5.85061703282192E-005</v>
      </c>
      <c r="F615" s="1" t="n">
        <f aca="false">B615/B614-1</f>
        <v>0.00262850181910568</v>
      </c>
      <c r="G615" s="1" t="n">
        <f aca="false">C615/C614-1</f>
        <v>5.85078818475804E-005</v>
      </c>
    </row>
    <row r="616" customFormat="false" ht="15" hidden="false" customHeight="false" outlineLevel="0" collapsed="false">
      <c r="A616" s="1" t="s">
        <v>623</v>
      </c>
      <c r="B616" s="5" t="n">
        <v>30.9234</v>
      </c>
      <c r="C616" s="5" t="n">
        <v>11.9649</v>
      </c>
      <c r="D616" s="1" t="n">
        <f aca="false">LN(B616/B615)</f>
        <v>0.00456358358544644</v>
      </c>
      <c r="E616" s="1" t="n">
        <f aca="false">LN(C616/C615)</f>
        <v>0</v>
      </c>
      <c r="F616" s="1" t="n">
        <f aca="false">B616/B615-1</f>
        <v>0.00457401259152901</v>
      </c>
      <c r="G616" s="1" t="n">
        <f aca="false">C616/C615-1</f>
        <v>0</v>
      </c>
    </row>
    <row r="617" customFormat="false" ht="15" hidden="false" customHeight="false" outlineLevel="0" collapsed="false">
      <c r="A617" s="1" t="s">
        <v>624</v>
      </c>
      <c r="B617" s="5" t="n">
        <v>30.9764</v>
      </c>
      <c r="C617" s="5" t="n">
        <v>11.9654</v>
      </c>
      <c r="D617" s="1" t="n">
        <f aca="false">LN(B617/B616)</f>
        <v>0.0017124453698313</v>
      </c>
      <c r="E617" s="1" t="n">
        <f aca="false">LN(C617/C616)</f>
        <v>4.17880260650919E-005</v>
      </c>
      <c r="F617" s="1" t="n">
        <f aca="false">B617/B616-1</f>
        <v>0.00171391244171093</v>
      </c>
      <c r="G617" s="1" t="n">
        <f aca="false">C617/C616-1</f>
        <v>4.17888991968152E-005</v>
      </c>
    </row>
    <row r="618" customFormat="false" ht="15" hidden="false" customHeight="false" outlineLevel="0" collapsed="false">
      <c r="A618" s="1" t="s">
        <v>625</v>
      </c>
      <c r="B618" s="5" t="n">
        <v>30.9698</v>
      </c>
      <c r="C618" s="5" t="n">
        <v>11.9662</v>
      </c>
      <c r="D618" s="1" t="n">
        <f aca="false">LN(B618/B617)</f>
        <v>-0.000213088132120361</v>
      </c>
      <c r="E618" s="1" t="n">
        <f aca="false">LN(C618/C617)</f>
        <v>6.6857209739337E-005</v>
      </c>
      <c r="F618" s="1" t="n">
        <f aca="false">B618/B617-1</f>
        <v>-0.000213065430456849</v>
      </c>
      <c r="G618" s="1" t="n">
        <f aca="false">C618/C617-1</f>
        <v>6.68594447323923E-005</v>
      </c>
    </row>
    <row r="619" customFormat="false" ht="15" hidden="false" customHeight="false" outlineLevel="0" collapsed="false">
      <c r="A619" s="1" t="s">
        <v>626</v>
      </c>
      <c r="B619" s="5" t="n">
        <v>30.8725</v>
      </c>
      <c r="C619" s="5" t="n">
        <v>11.9679</v>
      </c>
      <c r="D619" s="1" t="n">
        <f aca="false">LN(B619/B618)</f>
        <v>-0.00314671609197143</v>
      </c>
      <c r="E619" s="1" t="n">
        <f aca="false">LN(C619/C618)</f>
        <v>0.000142056731012054</v>
      </c>
      <c r="F619" s="1" t="n">
        <f aca="false">B619/B618-1</f>
        <v>-0.0031417703698442</v>
      </c>
      <c r="G619" s="1" t="n">
        <f aca="false">C619/C618-1</f>
        <v>0.000142066821547271</v>
      </c>
    </row>
    <row r="620" customFormat="false" ht="15" hidden="false" customHeight="false" outlineLevel="0" collapsed="false">
      <c r="A620" s="1" t="s">
        <v>627</v>
      </c>
      <c r="B620" s="5" t="n">
        <v>30.8423</v>
      </c>
      <c r="C620" s="5" t="n">
        <v>11.9683</v>
      </c>
      <c r="D620" s="1" t="n">
        <f aca="false">LN(B620/B619)</f>
        <v>-0.000978695626027321</v>
      </c>
      <c r="E620" s="1" t="n">
        <f aca="false">LN(C620/C619)</f>
        <v>3.34221806332142E-005</v>
      </c>
      <c r="F620" s="1" t="n">
        <f aca="false">B620/B619-1</f>
        <v>-0.000978216859664705</v>
      </c>
      <c r="G620" s="1" t="n">
        <f aca="false">C620/C619-1</f>
        <v>3.34227391605157E-005</v>
      </c>
    </row>
    <row r="621" customFormat="false" ht="15" hidden="false" customHeight="false" outlineLevel="0" collapsed="false">
      <c r="A621" s="1" t="s">
        <v>628</v>
      </c>
      <c r="B621" s="5" t="n">
        <v>30.9064</v>
      </c>
      <c r="C621" s="5" t="n">
        <v>11.9687</v>
      </c>
      <c r="D621" s="1" t="n">
        <f aca="false">LN(B621/B620)</f>
        <v>0.0020761578146548</v>
      </c>
      <c r="E621" s="1" t="n">
        <f aca="false">LN(C621/C620)</f>
        <v>3.34210636285325E-005</v>
      </c>
      <c r="F621" s="1" t="n">
        <f aca="false">B621/B620-1</f>
        <v>0.00207831452258755</v>
      </c>
      <c r="G621" s="1" t="n">
        <f aca="false">C621/C620-1</f>
        <v>3.34216221185013E-005</v>
      </c>
    </row>
    <row r="622" customFormat="false" ht="15" hidden="false" customHeight="false" outlineLevel="0" collapsed="false">
      <c r="A622" s="1" t="s">
        <v>629</v>
      </c>
      <c r="B622" s="5" t="n">
        <v>30.8377</v>
      </c>
      <c r="C622" s="5" t="n">
        <v>11.9692</v>
      </c>
      <c r="D622" s="1" t="n">
        <f aca="false">LN(B622/B621)</f>
        <v>-0.00222531475397152</v>
      </c>
      <c r="E622" s="1" t="n">
        <f aca="false">LN(C622/C621)</f>
        <v>4.17747588614223E-005</v>
      </c>
      <c r="F622" s="1" t="n">
        <f aca="false">B622/B621-1</f>
        <v>-0.00222284057670907</v>
      </c>
      <c r="G622" s="1" t="n">
        <f aca="false">C622/C621-1</f>
        <v>4.17756314388118E-005</v>
      </c>
    </row>
    <row r="623" customFormat="false" ht="15" hidden="false" customHeight="false" outlineLevel="0" collapsed="false">
      <c r="A623" s="1" t="s">
        <v>630</v>
      </c>
      <c r="B623" s="5" t="n">
        <v>30.8223</v>
      </c>
      <c r="C623" s="5" t="n">
        <v>11.9696</v>
      </c>
      <c r="D623" s="1" t="n">
        <f aca="false">LN(B623/B622)</f>
        <v>-0.000499513471301067</v>
      </c>
      <c r="E623" s="1" t="n">
        <f aca="false">LN(C623/C622)</f>
        <v>3.34185506405448E-005</v>
      </c>
      <c r="F623" s="1" t="n">
        <f aca="false">B623/B622-1</f>
        <v>-0.000499388735217043</v>
      </c>
      <c r="G623" s="1" t="n">
        <f aca="false">C623/C622-1</f>
        <v>3.34191090465286E-005</v>
      </c>
    </row>
    <row r="624" customFormat="false" ht="15" hidden="false" customHeight="false" outlineLevel="0" collapsed="false">
      <c r="A624" s="1" t="s">
        <v>631</v>
      </c>
      <c r="B624" s="5" t="n">
        <v>30.8097</v>
      </c>
      <c r="C624" s="5" t="n">
        <v>11.9707</v>
      </c>
      <c r="D624" s="1" t="n">
        <f aca="false">LN(B624/B623)</f>
        <v>-0.000408878510369269</v>
      </c>
      <c r="E624" s="1" t="n">
        <f aca="false">LN(C624/C623)</f>
        <v>9.18952561809845E-005</v>
      </c>
      <c r="F624" s="1" t="n">
        <f aca="false">B624/B623-1</f>
        <v>-0.000408794930942813</v>
      </c>
      <c r="G624" s="1" t="n">
        <f aca="false">C624/C623-1</f>
        <v>9.18994786793803E-005</v>
      </c>
    </row>
    <row r="625" customFormat="false" ht="15" hidden="false" customHeight="false" outlineLevel="0" collapsed="false">
      <c r="A625" s="1" t="s">
        <v>632</v>
      </c>
      <c r="B625" s="5" t="n">
        <v>30.9075</v>
      </c>
      <c r="C625" s="5" t="n">
        <v>11.9714</v>
      </c>
      <c r="D625" s="1" t="n">
        <f aca="false">LN(B625/B624)</f>
        <v>0.00316929743611895</v>
      </c>
      <c r="E625" s="1" t="n">
        <f aca="false">LN(C625/C624)</f>
        <v>5.84744028467591E-005</v>
      </c>
      <c r="F625" s="1" t="n">
        <f aca="false">B625/B624-1</f>
        <v>0.00317432496908432</v>
      </c>
      <c r="G625" s="1" t="n">
        <f aca="false">C625/C624-1</f>
        <v>5.84761125079769E-005</v>
      </c>
    </row>
    <row r="626" customFormat="false" ht="15" hidden="false" customHeight="false" outlineLevel="0" collapsed="false">
      <c r="A626" s="1" t="s">
        <v>633</v>
      </c>
      <c r="B626" s="5" t="n">
        <v>30.8173</v>
      </c>
      <c r="C626" s="5" t="n">
        <v>11.9722</v>
      </c>
      <c r="D626" s="1" t="n">
        <f aca="false">LN(B626/B625)</f>
        <v>-0.0029226522955628</v>
      </c>
      <c r="E626" s="1" t="n">
        <f aca="false">LN(C626/C625)</f>
        <v>6.68237023921751E-005</v>
      </c>
      <c r="F626" s="1" t="n">
        <f aca="false">B626/B625-1</f>
        <v>-0.00291838550513623</v>
      </c>
      <c r="G626" s="1" t="n">
        <f aca="false">C626/C625-1</f>
        <v>6.68259351455092E-005</v>
      </c>
    </row>
    <row r="627" customFormat="false" ht="15" hidden="false" customHeight="false" outlineLevel="0" collapsed="false">
      <c r="A627" s="1" t="s">
        <v>634</v>
      </c>
      <c r="B627" s="5" t="n">
        <v>30.8437</v>
      </c>
      <c r="C627" s="5" t="n">
        <v>11.9723</v>
      </c>
      <c r="D627" s="1" t="n">
        <f aca="false">LN(B627/B626)</f>
        <v>0.000856294955097291</v>
      </c>
      <c r="E627" s="1" t="n">
        <f aca="false">LN(C627/C626)</f>
        <v>8.35264883388137E-006</v>
      </c>
      <c r="F627" s="1" t="n">
        <f aca="false">B627/B626-1</f>
        <v>0.000856661680289861</v>
      </c>
      <c r="G627" s="1" t="n">
        <f aca="false">C627/C626-1</f>
        <v>8.35268371734976E-006</v>
      </c>
    </row>
    <row r="628" customFormat="false" ht="15" hidden="false" customHeight="false" outlineLevel="0" collapsed="false">
      <c r="A628" s="1" t="s">
        <v>635</v>
      </c>
      <c r="B628" s="5" t="n">
        <v>30.682</v>
      </c>
      <c r="C628" s="5" t="n">
        <v>11.9718</v>
      </c>
      <c r="D628" s="1" t="n">
        <f aca="false">LN(B628/B627)</f>
        <v>-0.00525635213589797</v>
      </c>
      <c r="E628" s="1" t="n">
        <f aca="false">LN(C628/C627)</f>
        <v>-4.17639418539548E-005</v>
      </c>
      <c r="F628" s="1" t="n">
        <f aca="false">B628/B627-1</f>
        <v>-0.00524256169006965</v>
      </c>
      <c r="G628" s="1" t="n">
        <f aca="false">C628/C627-1</f>
        <v>-4.17630697526761E-005</v>
      </c>
    </row>
    <row r="629" customFormat="false" ht="15" hidden="false" customHeight="false" outlineLevel="0" collapsed="false">
      <c r="A629" s="1" t="s">
        <v>636</v>
      </c>
      <c r="B629" s="5" t="n">
        <v>30.8054</v>
      </c>
      <c r="C629" s="5" t="n">
        <v>11.9725</v>
      </c>
      <c r="D629" s="1" t="n">
        <f aca="false">LN(B629/B628)</f>
        <v>0.00401383586469718</v>
      </c>
      <c r="E629" s="1" t="n">
        <f aca="false">LN(C629/C628)</f>
        <v>5.84690302243746E-005</v>
      </c>
      <c r="F629" s="1" t="n">
        <f aca="false">B629/B628-1</f>
        <v>0.00402190209243214</v>
      </c>
      <c r="G629" s="1" t="n">
        <f aca="false">C629/C628-1</f>
        <v>5.84707395714368E-005</v>
      </c>
    </row>
    <row r="630" customFormat="false" ht="15" hidden="false" customHeight="false" outlineLevel="0" collapsed="false">
      <c r="A630" s="1" t="s">
        <v>637</v>
      </c>
      <c r="B630" s="5" t="n">
        <v>30.7962</v>
      </c>
      <c r="C630" s="5" t="n">
        <v>11.9725</v>
      </c>
      <c r="D630" s="1" t="n">
        <f aca="false">LN(B630/B629)</f>
        <v>-0.000298693542648295</v>
      </c>
      <c r="E630" s="1" t="n">
        <f aca="false">LN(C630/C629)</f>
        <v>0</v>
      </c>
      <c r="F630" s="1" t="n">
        <f aca="false">B630/B629-1</f>
        <v>-0.000298648938173218</v>
      </c>
      <c r="G630" s="1" t="n">
        <f aca="false">C630/C629-1</f>
        <v>0</v>
      </c>
    </row>
    <row r="631" customFormat="false" ht="15" hidden="false" customHeight="false" outlineLevel="0" collapsed="false">
      <c r="A631" s="1" t="s">
        <v>638</v>
      </c>
      <c r="B631" s="5" t="n">
        <v>30.7781</v>
      </c>
      <c r="C631" s="5" t="n">
        <v>11.9726</v>
      </c>
      <c r="D631" s="1" t="n">
        <f aca="false">LN(B631/B630)</f>
        <v>-0.000587907634234869</v>
      </c>
      <c r="E631" s="1" t="n">
        <f aca="false">LN(C631/C630)</f>
        <v>8.35243953882741E-006</v>
      </c>
      <c r="F631" s="1" t="n">
        <f aca="false">B631/B630-1</f>
        <v>-0.000587734850403643</v>
      </c>
      <c r="G631" s="1" t="n">
        <f aca="false">C631/C630-1</f>
        <v>8.35247442054765E-006</v>
      </c>
    </row>
    <row r="632" customFormat="false" ht="15" hidden="false" customHeight="false" outlineLevel="0" collapsed="false">
      <c r="A632" s="1" t="s">
        <v>639</v>
      </c>
      <c r="B632" s="5" t="n">
        <v>30.7518</v>
      </c>
      <c r="C632" s="5" t="n">
        <v>11.9731</v>
      </c>
      <c r="D632" s="1" t="n">
        <f aca="false">LN(B632/B631)</f>
        <v>-0.000854868985701927</v>
      </c>
      <c r="E632" s="1" t="n">
        <f aca="false">LN(C632/C631)</f>
        <v>4.17611512776345E-005</v>
      </c>
      <c r="F632" s="1" t="n">
        <f aca="false">B632/B631-1</f>
        <v>-0.000854503689311503</v>
      </c>
      <c r="G632" s="1" t="n">
        <f aca="false">C632/C631-1</f>
        <v>4.17620232866511E-005</v>
      </c>
    </row>
    <row r="633" customFormat="false" ht="15" hidden="false" customHeight="false" outlineLevel="0" collapsed="false">
      <c r="A633" s="1" t="s">
        <v>640</v>
      </c>
      <c r="B633" s="5" t="n">
        <v>30.8361</v>
      </c>
      <c r="C633" s="5" t="n">
        <v>11.9744</v>
      </c>
      <c r="D633" s="1" t="n">
        <f aca="false">LN(B633/B632)</f>
        <v>0.0027375524298344</v>
      </c>
      <c r="E633" s="1" t="n">
        <f aca="false">LN(C633/C632)</f>
        <v>0.000108570832134947</v>
      </c>
      <c r="F633" s="1" t="n">
        <f aca="false">B633/B632-1</f>
        <v>0.00274130294812003</v>
      </c>
      <c r="G633" s="1" t="n">
        <f aca="false">C633/C632-1</f>
        <v>0.000108576726161047</v>
      </c>
    </row>
    <row r="634" customFormat="false" ht="15" hidden="false" customHeight="false" outlineLevel="0" collapsed="false">
      <c r="A634" s="1" t="s">
        <v>641</v>
      </c>
      <c r="B634" s="5" t="n">
        <v>30.9166</v>
      </c>
      <c r="C634" s="5" t="n">
        <v>11.9744</v>
      </c>
      <c r="D634" s="1" t="n">
        <f aca="false">LN(B634/B633)</f>
        <v>0.00260717492835001</v>
      </c>
      <c r="E634" s="1" t="n">
        <f aca="false">LN(C634/C633)</f>
        <v>0</v>
      </c>
      <c r="F634" s="1" t="n">
        <f aca="false">B634/B633-1</f>
        <v>0.00261057656448127</v>
      </c>
      <c r="G634" s="1" t="n">
        <f aca="false">C634/C633-1</f>
        <v>0</v>
      </c>
    </row>
    <row r="635" customFormat="false" ht="15" hidden="false" customHeight="false" outlineLevel="0" collapsed="false">
      <c r="A635" s="1" t="s">
        <v>642</v>
      </c>
      <c r="B635" s="5" t="n">
        <v>30.9364</v>
      </c>
      <c r="C635" s="5" t="n">
        <v>11.9745</v>
      </c>
      <c r="D635" s="1" t="n">
        <f aca="false">LN(B635/B634)</f>
        <v>0.000640227658361736</v>
      </c>
      <c r="E635" s="1" t="n">
        <f aca="false">LN(C635/C634)</f>
        <v>8.35111424758366E-006</v>
      </c>
      <c r="F635" s="1" t="n">
        <f aca="false">B635/B634-1</f>
        <v>0.000640432647833311</v>
      </c>
      <c r="G635" s="1" t="n">
        <f aca="false">C635/C634-1</f>
        <v>8.35114911823531E-006</v>
      </c>
    </row>
    <row r="636" customFormat="false" ht="15" hidden="false" customHeight="false" outlineLevel="0" collapsed="false">
      <c r="A636" s="1" t="s">
        <v>643</v>
      </c>
      <c r="B636" s="5" t="n">
        <v>31.0001</v>
      </c>
      <c r="C636" s="5" t="n">
        <v>11.9746</v>
      </c>
      <c r="D636" s="1" t="n">
        <f aca="false">LN(B636/B635)</f>
        <v>0.00205694614515521</v>
      </c>
      <c r="E636" s="1" t="n">
        <f aca="false">LN(C636/C635)</f>
        <v>8.35104450684224E-006</v>
      </c>
      <c r="F636" s="1" t="n">
        <f aca="false">B636/B635-1</f>
        <v>0.00205906311012272</v>
      </c>
      <c r="G636" s="1" t="n">
        <f aca="false">C636/C635-1</f>
        <v>8.35107937691149E-006</v>
      </c>
    </row>
    <row r="637" customFormat="false" ht="15" hidden="false" customHeight="false" outlineLevel="0" collapsed="false">
      <c r="A637" s="1" t="s">
        <v>644</v>
      </c>
      <c r="B637" s="5" t="n">
        <v>31.0037</v>
      </c>
      <c r="C637" s="5" t="n">
        <v>11.9748</v>
      </c>
      <c r="D637" s="1" t="n">
        <f aca="false">LN(B637/B636)</f>
        <v>0.000116121915238851</v>
      </c>
      <c r="E637" s="1" t="n">
        <f aca="false">LN(C637/C636)</f>
        <v>1.6701879796891E-005</v>
      </c>
      <c r="F637" s="1" t="n">
        <f aca="false">B637/B636-1</f>
        <v>0.000116128657649428</v>
      </c>
      <c r="G637" s="1" t="n">
        <f aca="false">C637/C636-1</f>
        <v>1.67020192740619E-005</v>
      </c>
    </row>
    <row r="638" customFormat="false" ht="15" hidden="false" customHeight="false" outlineLevel="0" collapsed="false">
      <c r="A638" s="1" t="s">
        <v>645</v>
      </c>
      <c r="B638" s="5" t="n">
        <v>31.2295</v>
      </c>
      <c r="C638" s="5" t="n">
        <v>11.9758</v>
      </c>
      <c r="D638" s="1" t="n">
        <f aca="false">LN(B638/B637)</f>
        <v>0.00725660871863017</v>
      </c>
      <c r="E638" s="1" t="n">
        <f aca="false">LN(C638/C637)</f>
        <v>8.3505214949159E-005</v>
      </c>
      <c r="F638" s="1" t="n">
        <f aca="false">B638/B637-1</f>
        <v>0.00728300170624796</v>
      </c>
      <c r="G638" s="1" t="n">
        <f aca="false">C638/C637-1</f>
        <v>8.35087016066716E-005</v>
      </c>
    </row>
    <row r="639" customFormat="false" ht="15" hidden="false" customHeight="false" outlineLevel="0" collapsed="false">
      <c r="A639" s="1" t="s">
        <v>646</v>
      </c>
      <c r="B639" s="5" t="n">
        <v>31.9686</v>
      </c>
      <c r="C639" s="5" t="n">
        <v>11.9759</v>
      </c>
      <c r="D639" s="1" t="n">
        <f aca="false">LN(B639/B638)</f>
        <v>0.0233910101385166</v>
      </c>
      <c r="E639" s="1" t="n">
        <f aca="false">LN(C639/C638)</f>
        <v>8.35013798600436E-006</v>
      </c>
      <c r="F639" s="1" t="n">
        <f aca="false">B639/B638-1</f>
        <v>0.0236667253718439</v>
      </c>
      <c r="G639" s="1" t="n">
        <f aca="false">C639/C638-1</f>
        <v>8.35017284850359E-006</v>
      </c>
    </row>
    <row r="640" customFormat="false" ht="15" hidden="false" customHeight="false" outlineLevel="0" collapsed="false">
      <c r="A640" s="1" t="s">
        <v>647</v>
      </c>
      <c r="B640" s="5" t="n">
        <v>31.9649</v>
      </c>
      <c r="C640" s="5" t="n">
        <v>11.9762</v>
      </c>
      <c r="D640" s="1" t="n">
        <f aca="false">LN(B640/B639)</f>
        <v>-0.000115745266695197</v>
      </c>
      <c r="E640" s="1" t="n">
        <f aca="false">LN(C640/C639)</f>
        <v>2.50499956177393E-005</v>
      </c>
      <c r="F640" s="1" t="n">
        <f aca="false">B640/B639-1</f>
        <v>-0.000115738568470247</v>
      </c>
      <c r="G640" s="1" t="n">
        <f aca="false">C640/C639-1</f>
        <v>2.50503093714993E-005</v>
      </c>
    </row>
    <row r="641" customFormat="false" ht="15" hidden="false" customHeight="false" outlineLevel="0" collapsed="false">
      <c r="A641" s="1" t="s">
        <v>648</v>
      </c>
      <c r="B641" s="5" t="n">
        <v>32.0496</v>
      </c>
      <c r="C641" s="5" t="n">
        <v>11.9766</v>
      </c>
      <c r="D641" s="1" t="n">
        <f aca="false">LN(B641/B640)</f>
        <v>0.00264627699749158</v>
      </c>
      <c r="E641" s="1" t="n">
        <f aca="false">LN(C641/C640)</f>
        <v>3.33990180718523E-005</v>
      </c>
      <c r="F641" s="1" t="n">
        <f aca="false">B641/B640-1</f>
        <v>0.00264978147905981</v>
      </c>
      <c r="G641" s="1" t="n">
        <f aca="false">C641/C640-1</f>
        <v>3.33995758252659E-005</v>
      </c>
    </row>
    <row r="642" customFormat="false" ht="15" hidden="false" customHeight="false" outlineLevel="0" collapsed="false">
      <c r="A642" s="1" t="s">
        <v>649</v>
      </c>
      <c r="B642" s="5" t="n">
        <v>32.0414</v>
      </c>
      <c r="C642" s="5" t="n">
        <v>11.9772</v>
      </c>
      <c r="D642" s="1" t="n">
        <f aca="false">LN(B642/B641)</f>
        <v>-0.000255886163259681</v>
      </c>
      <c r="E642" s="1" t="n">
        <f aca="false">LN(C642/C641)</f>
        <v>5.00964356490778E-005</v>
      </c>
      <c r="F642" s="1" t="n">
        <f aca="false">B642/B641-1</f>
        <v>-0.000255853427187702</v>
      </c>
      <c r="G642" s="1" t="n">
        <f aca="false">C642/C641-1</f>
        <v>5.00976904964645E-005</v>
      </c>
    </row>
    <row r="643" customFormat="false" ht="15" hidden="false" customHeight="false" outlineLevel="0" collapsed="false">
      <c r="A643" s="1" t="s">
        <v>650</v>
      </c>
      <c r="B643" s="5" t="n">
        <v>32.0567</v>
      </c>
      <c r="C643" s="5" t="n">
        <v>11.978</v>
      </c>
      <c r="D643" s="1" t="n">
        <f aca="false">LN(B643/B642)</f>
        <v>0.000477393254732269</v>
      </c>
      <c r="E643" s="1" t="n">
        <f aca="false">LN(C643/C642)</f>
        <v>6.67913438665773E-005</v>
      </c>
      <c r="F643" s="1" t="n">
        <f aca="false">B643/B642-1</f>
        <v>0.000477507225027596</v>
      </c>
      <c r="G643" s="1" t="n">
        <f aca="false">C643/C642-1</f>
        <v>6.67935744580461E-005</v>
      </c>
    </row>
    <row r="644" customFormat="false" ht="15" hidden="false" customHeight="false" outlineLevel="0" collapsed="false">
      <c r="A644" s="1" t="s">
        <v>651</v>
      </c>
      <c r="B644" s="5" t="n">
        <v>32.072</v>
      </c>
      <c r="C644" s="5" t="n">
        <v>11.979</v>
      </c>
      <c r="D644" s="1" t="n">
        <f aca="false">LN(B644/B643)</f>
        <v>0.000477165459156487</v>
      </c>
      <c r="E644" s="1" t="n">
        <f aca="false">LN(C644/C643)</f>
        <v>8.34829069232213E-005</v>
      </c>
      <c r="F644" s="1" t="n">
        <f aca="false">B644/B643-1</f>
        <v>0.000477279320703738</v>
      </c>
      <c r="G644" s="1" t="n">
        <f aca="false">C644/C643-1</f>
        <v>8.34863917180684E-005</v>
      </c>
    </row>
    <row r="645" customFormat="false" ht="15" hidden="false" customHeight="false" outlineLevel="0" collapsed="false">
      <c r="A645" s="1" t="s">
        <v>652</v>
      </c>
      <c r="B645" s="5" t="n">
        <v>32.0753</v>
      </c>
      <c r="C645" s="5" t="n">
        <v>11.9788</v>
      </c>
      <c r="D645" s="1" t="n">
        <f aca="false">LN(B645/B644)</f>
        <v>0.000102888196476072</v>
      </c>
      <c r="E645" s="1" t="n">
        <f aca="false">LN(C645/C644)</f>
        <v>-1.6696023842232E-005</v>
      </c>
      <c r="F645" s="1" t="n">
        <f aca="false">B645/B644-1</f>
        <v>0.000102893489648093</v>
      </c>
      <c r="G645" s="1" t="n">
        <f aca="false">C645/C644-1</f>
        <v>-1.66958844644016E-005</v>
      </c>
    </row>
    <row r="646" customFormat="false" ht="15" hidden="false" customHeight="false" outlineLevel="0" collapsed="false">
      <c r="A646" s="1" t="s">
        <v>653</v>
      </c>
      <c r="B646" s="5" t="n">
        <v>32.3263</v>
      </c>
      <c r="C646" s="5" t="n">
        <v>11.9793</v>
      </c>
      <c r="D646" s="1" t="n">
        <f aca="false">LN(B646/B645)</f>
        <v>0.00779487686323288</v>
      </c>
      <c r="E646" s="1" t="n">
        <f aca="false">LN(C646/C645)</f>
        <v>4.17395369477883E-005</v>
      </c>
      <c r="F646" s="1" t="n">
        <f aca="false">B646/B645-1</f>
        <v>0.0078253360062106</v>
      </c>
      <c r="G646" s="1" t="n">
        <f aca="false">C646/C645-1</f>
        <v>4.17404080543804E-005</v>
      </c>
    </row>
    <row r="647" customFormat="false" ht="15" hidden="false" customHeight="false" outlineLevel="0" collapsed="false">
      <c r="A647" s="1" t="s">
        <v>654</v>
      </c>
      <c r="B647" s="5" t="n">
        <v>32.4683</v>
      </c>
      <c r="C647" s="5" t="n">
        <v>11.98</v>
      </c>
      <c r="D647" s="1" t="n">
        <f aca="false">LN(B647/B646)</f>
        <v>0.00438308832327293</v>
      </c>
      <c r="E647" s="1" t="n">
        <f aca="false">LN(C647/C646)</f>
        <v>5.84324250040067E-005</v>
      </c>
      <c r="F647" s="1" t="n">
        <f aca="false">B647/B646-1</f>
        <v>0.00439270810454628</v>
      </c>
      <c r="G647" s="1" t="n">
        <f aca="false">C647/C646-1</f>
        <v>5.84341322114046E-005</v>
      </c>
    </row>
    <row r="648" customFormat="false" ht="15" hidden="false" customHeight="false" outlineLevel="0" collapsed="false">
      <c r="A648" s="1" t="s">
        <v>655</v>
      </c>
      <c r="B648" s="5" t="n">
        <v>32.4982</v>
      </c>
      <c r="C648" s="5" t="n">
        <v>11.9812</v>
      </c>
      <c r="D648" s="1" t="n">
        <f aca="false">LN(B648/B647)</f>
        <v>0.0009204744633348</v>
      </c>
      <c r="E648" s="1" t="n">
        <f aca="false">LN(C648/C647)</f>
        <v>0.000100161928534663</v>
      </c>
      <c r="F648" s="1" t="n">
        <f aca="false">B648/B647-1</f>
        <v>0.000920898229965772</v>
      </c>
      <c r="G648" s="1" t="n">
        <f aca="false">C648/C647-1</f>
        <v>0.000100166944908109</v>
      </c>
    </row>
    <row r="649" customFormat="false" ht="15" hidden="false" customHeight="false" outlineLevel="0" collapsed="false">
      <c r="A649" s="1" t="s">
        <v>656</v>
      </c>
      <c r="B649" s="5" t="n">
        <v>32.6053</v>
      </c>
      <c r="C649" s="5" t="n">
        <v>11.9815</v>
      </c>
      <c r="D649" s="1" t="n">
        <f aca="false">LN(B649/B648)</f>
        <v>0.00329014865909835</v>
      </c>
      <c r="E649" s="1" t="n">
        <f aca="false">LN(C649/C648)</f>
        <v>2.50389146480065E-005</v>
      </c>
      <c r="F649" s="1" t="n">
        <f aca="false">B649/B648-1</f>
        <v>0.00329556713910306</v>
      </c>
      <c r="G649" s="1" t="n">
        <f aca="false">C649/C648-1</f>
        <v>2.50392281242462E-005</v>
      </c>
    </row>
    <row r="650" customFormat="false" ht="15" hidden="false" customHeight="false" outlineLevel="0" collapsed="false">
      <c r="A650" s="1" t="s">
        <v>657</v>
      </c>
      <c r="B650" s="5" t="n">
        <v>32.5712</v>
      </c>
      <c r="C650" s="5" t="n">
        <v>11.9816</v>
      </c>
      <c r="D650" s="1" t="n">
        <f aca="false">LN(B650/B649)</f>
        <v>-0.00104638951497649</v>
      </c>
      <c r="E650" s="1" t="n">
        <f aca="false">LN(C650/C649)</f>
        <v>8.34616556302508E-006</v>
      </c>
      <c r="F650" s="1" t="n">
        <f aca="false">B650/B649-1</f>
        <v>-0.00104584224037207</v>
      </c>
      <c r="G650" s="1" t="n">
        <f aca="false">C650/C649-1</f>
        <v>8.34620039236178E-006</v>
      </c>
    </row>
    <row r="651" customFormat="false" ht="15" hidden="false" customHeight="false" outlineLevel="0" collapsed="false">
      <c r="A651" s="1" t="s">
        <v>658</v>
      </c>
      <c r="B651" s="5" t="n">
        <v>32.9736</v>
      </c>
      <c r="C651" s="5" t="n">
        <v>11.9816</v>
      </c>
      <c r="D651" s="1" t="n">
        <f aca="false">LN(B651/B650)</f>
        <v>0.0122787789650664</v>
      </c>
      <c r="E651" s="1" t="n">
        <f aca="false">LN(C651/C650)</f>
        <v>0</v>
      </c>
      <c r="F651" s="1" t="n">
        <f aca="false">B651/B650-1</f>
        <v>0.0123544726629661</v>
      </c>
      <c r="G651" s="1" t="n">
        <f aca="false">C651/C650-1</f>
        <v>0</v>
      </c>
    </row>
    <row r="652" customFormat="false" ht="15" hidden="false" customHeight="false" outlineLevel="0" collapsed="false">
      <c r="A652" s="1" t="s">
        <v>659</v>
      </c>
      <c r="B652" s="5" t="n">
        <v>33.0344</v>
      </c>
      <c r="C652" s="5" t="n">
        <v>11.9816</v>
      </c>
      <c r="D652" s="1" t="n">
        <f aca="false">LN(B652/B651)</f>
        <v>0.00184220146633076</v>
      </c>
      <c r="E652" s="1" t="n">
        <f aca="false">LN(C652/C651)</f>
        <v>0</v>
      </c>
      <c r="F652" s="1" t="n">
        <f aca="false">B652/B651-1</f>
        <v>0.00184389936191387</v>
      </c>
      <c r="G652" s="1" t="n">
        <f aca="false">C652/C651-1</f>
        <v>0</v>
      </c>
    </row>
    <row r="653" customFormat="false" ht="15" hidden="false" customHeight="false" outlineLevel="0" collapsed="false">
      <c r="A653" s="1" t="s">
        <v>660</v>
      </c>
      <c r="B653" s="5" t="n">
        <v>33.3374</v>
      </c>
      <c r="C653" s="5" t="n">
        <v>11.9826</v>
      </c>
      <c r="D653" s="1" t="n">
        <f aca="false">LN(B653/B652)</f>
        <v>0.00913044711654532</v>
      </c>
      <c r="E653" s="1" t="n">
        <f aca="false">LN(C653/C652)</f>
        <v>8.34578246368077E-005</v>
      </c>
      <c r="F653" s="1" t="n">
        <f aca="false">B653/B652-1</f>
        <v>0.00917225679897338</v>
      </c>
      <c r="G653" s="1" t="n">
        <f aca="false">C653/C652-1</f>
        <v>8.34613073379398E-005</v>
      </c>
    </row>
    <row r="654" customFormat="false" ht="15" hidden="false" customHeight="false" outlineLevel="0" collapsed="false">
      <c r="A654" s="1" t="s">
        <v>661</v>
      </c>
      <c r="B654" s="5" t="n">
        <v>33.3904</v>
      </c>
      <c r="C654" s="5" t="n">
        <v>11.9829</v>
      </c>
      <c r="D654" s="1" t="n">
        <f aca="false">LN(B654/B653)</f>
        <v>0.00158854363984202</v>
      </c>
      <c r="E654" s="1" t="n">
        <f aca="false">LN(C654/C653)</f>
        <v>2.50359892358428E-005</v>
      </c>
      <c r="F654" s="1" t="n">
        <f aca="false">B654/B653-1</f>
        <v>0.00158980604366255</v>
      </c>
      <c r="G654" s="1" t="n">
        <f aca="false">C654/C653-1</f>
        <v>2.50363026388367E-005</v>
      </c>
    </row>
    <row r="655" customFormat="false" ht="15" hidden="false" customHeight="false" outlineLevel="0" collapsed="false">
      <c r="A655" s="1" t="s">
        <v>662</v>
      </c>
      <c r="B655" s="5" t="n">
        <v>33.2894</v>
      </c>
      <c r="C655" s="5" t="n">
        <v>11.9831</v>
      </c>
      <c r="D655" s="1" t="n">
        <f aca="false">LN(B655/B654)</f>
        <v>-0.00302940552437897</v>
      </c>
      <c r="E655" s="1" t="n">
        <f aca="false">LN(C655/C654)</f>
        <v>1.66903112747227E-005</v>
      </c>
      <c r="F655" s="1" t="n">
        <f aca="false">B655/B654-1</f>
        <v>-0.00302482150558236</v>
      </c>
      <c r="G655" s="1" t="n">
        <f aca="false">C655/C654-1</f>
        <v>1.66904505587429E-005</v>
      </c>
    </row>
    <row r="656" customFormat="false" ht="15" hidden="false" customHeight="false" outlineLevel="0" collapsed="false">
      <c r="A656" s="1" t="s">
        <v>663</v>
      </c>
      <c r="B656" s="5" t="n">
        <v>33.2203</v>
      </c>
      <c r="C656" s="5" t="n">
        <v>11.9835</v>
      </c>
      <c r="D656" s="1" t="n">
        <f aca="false">LN(B656/B655)</f>
        <v>-0.00207789314528277</v>
      </c>
      <c r="E656" s="1" t="n">
        <f aca="false">LN(C656/C655)</f>
        <v>3.33797868729727E-005</v>
      </c>
      <c r="F656" s="1" t="n">
        <f aca="false">B656/B655-1</f>
        <v>-0.00207573581981046</v>
      </c>
      <c r="G656" s="1" t="n">
        <f aca="false">C656/C655-1</f>
        <v>3.33803439842573E-005</v>
      </c>
    </row>
    <row r="657" customFormat="false" ht="15" hidden="false" customHeight="false" outlineLevel="0" collapsed="false">
      <c r="A657" s="1" t="s">
        <v>664</v>
      </c>
      <c r="B657" s="5" t="n">
        <v>32.9378</v>
      </c>
      <c r="C657" s="5" t="n">
        <v>11.9837</v>
      </c>
      <c r="D657" s="1" t="n">
        <f aca="false">LN(B657/B656)</f>
        <v>-0.00854020042927235</v>
      </c>
      <c r="E657" s="1" t="n">
        <f aca="false">LN(C657/C656)</f>
        <v>1.66894756171379E-005</v>
      </c>
      <c r="F657" s="1" t="n">
        <f aca="false">B657/B656-1</f>
        <v>-0.00850383650960407</v>
      </c>
      <c r="G657" s="1" t="n">
        <f aca="false">C657/C656-1</f>
        <v>1.66896148872109E-005</v>
      </c>
    </row>
    <row r="658" customFormat="false" ht="15" hidden="false" customHeight="false" outlineLevel="0" collapsed="false">
      <c r="A658" s="1" t="s">
        <v>665</v>
      </c>
      <c r="B658" s="5" t="n">
        <v>33.129</v>
      </c>
      <c r="C658" s="5" t="n">
        <v>11.9844</v>
      </c>
      <c r="D658" s="1" t="n">
        <f aca="false">LN(B658/B657)</f>
        <v>0.00578809731360842</v>
      </c>
      <c r="E658" s="1" t="n">
        <f aca="false">LN(C658/C657)</f>
        <v>5.8410971265846E-005</v>
      </c>
      <c r="F658" s="1" t="n">
        <f aca="false">B658/B657-1</f>
        <v>0.00580488071455876</v>
      </c>
      <c r="G658" s="1" t="n">
        <f aca="false">C658/C657-1</f>
        <v>5.84126772198434E-005</v>
      </c>
    </row>
    <row r="659" customFormat="false" ht="15" hidden="false" customHeight="false" outlineLevel="0" collapsed="false">
      <c r="A659" s="1" t="s">
        <v>666</v>
      </c>
      <c r="B659" s="5" t="n">
        <v>33.1796</v>
      </c>
      <c r="C659" s="5" t="n">
        <v>11.9844</v>
      </c>
      <c r="D659" s="1" t="n">
        <f aca="false">LN(B659/B658)</f>
        <v>0.00152619750143406</v>
      </c>
      <c r="E659" s="1" t="n">
        <f aca="false">LN(C659/C658)</f>
        <v>0</v>
      </c>
      <c r="F659" s="1" t="n">
        <f aca="false">B659/B658-1</f>
        <v>0.0015273627335568</v>
      </c>
      <c r="G659" s="1" t="n">
        <f aca="false">C659/C658-1</f>
        <v>0</v>
      </c>
    </row>
    <row r="660" customFormat="false" ht="15" hidden="false" customHeight="false" outlineLevel="0" collapsed="false">
      <c r="A660" s="1" t="s">
        <v>667</v>
      </c>
      <c r="B660" s="5" t="n">
        <v>33.2206</v>
      </c>
      <c r="C660" s="5" t="n">
        <v>11.9844</v>
      </c>
      <c r="D660" s="1" t="n">
        <f aca="false">LN(B660/B659)</f>
        <v>0.0012349361962959</v>
      </c>
      <c r="E660" s="1" t="n">
        <f aca="false">LN(C660/C659)</f>
        <v>0</v>
      </c>
      <c r="F660" s="1" t="n">
        <f aca="false">B660/B659-1</f>
        <v>0.00123569904399079</v>
      </c>
      <c r="G660" s="1" t="n">
        <f aca="false">C660/C659-1</f>
        <v>0</v>
      </c>
    </row>
    <row r="661" customFormat="false" ht="15" hidden="false" customHeight="false" outlineLevel="0" collapsed="false">
      <c r="A661" s="1" t="s">
        <v>668</v>
      </c>
      <c r="B661" s="5" t="n">
        <v>33.0875</v>
      </c>
      <c r="C661" s="5" t="n">
        <v>11.9838</v>
      </c>
      <c r="D661" s="1" t="n">
        <f aca="false">LN(B661/B660)</f>
        <v>-0.0040145978776137</v>
      </c>
      <c r="E661" s="1" t="n">
        <f aca="false">LN(C661/C660)</f>
        <v>-5.00663379082089E-005</v>
      </c>
      <c r="F661" s="1" t="n">
        <f aca="false">B661/B660-1</f>
        <v>-0.00400655015261608</v>
      </c>
      <c r="G661" s="1" t="n">
        <f aca="false">C661/C660-1</f>
        <v>-5.00650846100292E-005</v>
      </c>
    </row>
    <row r="662" customFormat="false" ht="15" hidden="false" customHeight="false" outlineLevel="0" collapsed="false">
      <c r="A662" s="1" t="s">
        <v>669</v>
      </c>
      <c r="B662" s="5" t="n">
        <v>33.1721</v>
      </c>
      <c r="C662" s="5" t="n">
        <v>11.9846</v>
      </c>
      <c r="D662" s="1" t="n">
        <f aca="false">LN(B662/B661)</f>
        <v>0.00255359362181234</v>
      </c>
      <c r="E662" s="1" t="n">
        <f aca="false">LN(C662/C661)</f>
        <v>6.67545601957801E-005</v>
      </c>
      <c r="F662" s="1" t="n">
        <f aca="false">B662/B661-1</f>
        <v>0.00255685681904039</v>
      </c>
      <c r="G662" s="1" t="n">
        <f aca="false">C662/C661-1</f>
        <v>6.67567883310127E-005</v>
      </c>
    </row>
    <row r="663" customFormat="false" ht="15" hidden="false" customHeight="false" outlineLevel="0" collapsed="false">
      <c r="A663" s="1" t="s">
        <v>670</v>
      </c>
      <c r="B663" s="5" t="n">
        <v>33.5592</v>
      </c>
      <c r="C663" s="5" t="n">
        <v>11.985</v>
      </c>
      <c r="D663" s="1" t="n">
        <f aca="false">LN(B663/B662)</f>
        <v>0.0116018822375814</v>
      </c>
      <c r="E663" s="1" t="n">
        <f aca="false">LN(C663/C662)</f>
        <v>3.33756091079524E-005</v>
      </c>
      <c r="F663" s="1" t="n">
        <f aca="false">B663/B662-1</f>
        <v>0.0116694451059776</v>
      </c>
      <c r="G663" s="1" t="n">
        <f aca="false">C663/C662-1</f>
        <v>3.33761660797904E-005</v>
      </c>
    </row>
    <row r="664" customFormat="false" ht="15" hidden="false" customHeight="false" outlineLevel="0" collapsed="false">
      <c r="A664" s="1" t="s">
        <v>671</v>
      </c>
      <c r="B664" s="5" t="n">
        <v>33.5449</v>
      </c>
      <c r="C664" s="5" t="n">
        <v>11.9851</v>
      </c>
      <c r="D664" s="1" t="n">
        <f aca="false">LN(B664/B663)</f>
        <v>-0.000426203472409709</v>
      </c>
      <c r="E664" s="1" t="n">
        <f aca="false">LN(C664/C663)</f>
        <v>8.34372822815804E-006</v>
      </c>
      <c r="F664" s="1" t="n">
        <f aca="false">B664/B663-1</f>
        <v>-0.000426112660611655</v>
      </c>
      <c r="G664" s="1" t="n">
        <f aca="false">C664/C663-1</f>
        <v>8.34376303715523E-006</v>
      </c>
    </row>
    <row r="665" customFormat="false" ht="15" hidden="false" customHeight="false" outlineLevel="0" collapsed="false">
      <c r="A665" s="1" t="s">
        <v>672</v>
      </c>
      <c r="B665" s="5" t="n">
        <v>33.4265</v>
      </c>
      <c r="C665" s="5" t="n">
        <v>11.9855</v>
      </c>
      <c r="D665" s="1" t="n">
        <f aca="false">LN(B665/B664)</f>
        <v>-0.00353584136974177</v>
      </c>
      <c r="E665" s="1" t="n">
        <f aca="false">LN(C665/C664)</f>
        <v>3.33742167520073E-005</v>
      </c>
      <c r="F665" s="1" t="n">
        <f aca="false">B665/B664-1</f>
        <v>-0.00352959764375516</v>
      </c>
      <c r="G665" s="1" t="n">
        <f aca="false">C665/C664-1</f>
        <v>3.33747736773749E-005</v>
      </c>
    </row>
    <row r="666" customFormat="false" ht="15" hidden="false" customHeight="false" outlineLevel="0" collapsed="false">
      <c r="A666" s="1" t="s">
        <v>673</v>
      </c>
      <c r="B666" s="5" t="n">
        <v>33.4497</v>
      </c>
      <c r="C666" s="5" t="n">
        <v>11.9858</v>
      </c>
      <c r="D666" s="1" t="n">
        <f aca="false">LN(B666/B665)</f>
        <v>0.000693819353691718</v>
      </c>
      <c r="E666" s="1" t="n">
        <f aca="false">LN(C666/C665)</f>
        <v>2.50299316278573E-005</v>
      </c>
      <c r="F666" s="1" t="n">
        <f aca="false">B666/B665-1</f>
        <v>0.000694060102014893</v>
      </c>
      <c r="G666" s="1" t="n">
        <f aca="false">C666/C665-1</f>
        <v>2.50302448792095E-005</v>
      </c>
    </row>
    <row r="667" customFormat="false" ht="15" hidden="false" customHeight="false" outlineLevel="0" collapsed="false">
      <c r="A667" s="1" t="s">
        <v>674</v>
      </c>
      <c r="B667" s="5" t="n">
        <v>33.562</v>
      </c>
      <c r="C667" s="5" t="n">
        <v>11.9859</v>
      </c>
      <c r="D667" s="1" t="n">
        <f aca="false">LN(B667/B666)</f>
        <v>0.00335165665481624</v>
      </c>
      <c r="E667" s="1" t="n">
        <f aca="false">LN(C667/C666)</f>
        <v>8.343171322953E-006</v>
      </c>
      <c r="F667" s="1" t="n">
        <f aca="false">B667/B666-1</f>
        <v>0.00335727973644007</v>
      </c>
      <c r="G667" s="1" t="n">
        <f aca="false">C667/C666-1</f>
        <v>8.34320612730366E-006</v>
      </c>
    </row>
    <row r="668" customFormat="false" ht="15" hidden="false" customHeight="false" outlineLevel="0" collapsed="false">
      <c r="A668" s="1" t="s">
        <v>675</v>
      </c>
      <c r="B668" s="5" t="n">
        <v>33.5055</v>
      </c>
      <c r="C668" s="5" t="n">
        <v>11.9866</v>
      </c>
      <c r="D668" s="1" t="n">
        <f aca="false">LN(B668/B667)</f>
        <v>-0.00168487011938584</v>
      </c>
      <c r="E668" s="1" t="n">
        <f aca="false">LN(C668/C667)</f>
        <v>5.84002503033007E-005</v>
      </c>
      <c r="F668" s="1" t="n">
        <f aca="false">B668/B667-1</f>
        <v>-0.00168345152255522</v>
      </c>
      <c r="G668" s="1" t="n">
        <f aca="false">C668/C667-1</f>
        <v>5.84019556311155E-005</v>
      </c>
    </row>
    <row r="669" customFormat="false" ht="15" hidden="false" customHeight="false" outlineLevel="0" collapsed="false">
      <c r="A669" s="1" t="s">
        <v>676</v>
      </c>
      <c r="B669" s="5" t="n">
        <v>33.8813</v>
      </c>
      <c r="C669" s="5" t="n">
        <v>11.9871</v>
      </c>
      <c r="D669" s="1" t="n">
        <f aca="false">LN(B669/B668)</f>
        <v>0.0111536353083212</v>
      </c>
      <c r="E669" s="1" t="n">
        <f aca="false">LN(C669/C668)</f>
        <v>4.17123764852468E-005</v>
      </c>
      <c r="F669" s="1" t="n">
        <f aca="false">B669/B668-1</f>
        <v>0.0112160690035965</v>
      </c>
      <c r="G669" s="1" t="n">
        <f aca="false">C669/C668-1</f>
        <v>4.1713246458519E-005</v>
      </c>
    </row>
    <row r="670" customFormat="false" ht="15" hidden="false" customHeight="false" outlineLevel="0" collapsed="false">
      <c r="A670" s="1" t="s">
        <v>677</v>
      </c>
      <c r="B670" s="5" t="n">
        <v>34.0235</v>
      </c>
      <c r="C670" s="5" t="n">
        <v>11.9872</v>
      </c>
      <c r="D670" s="1" t="n">
        <f aca="false">LN(B670/B669)</f>
        <v>0.00418822256639448</v>
      </c>
      <c r="E670" s="1" t="n">
        <f aca="false">LN(C670/C669)</f>
        <v>8.34226651050493E-006</v>
      </c>
      <c r="F670" s="1" t="n">
        <f aca="false">B670/B669-1</f>
        <v>0.00419700542777268</v>
      </c>
      <c r="G670" s="1" t="n">
        <f aca="false">C670/C669-1</f>
        <v>8.34230130730695E-006</v>
      </c>
    </row>
    <row r="671" customFormat="false" ht="15" hidden="false" customHeight="false" outlineLevel="0" collapsed="false">
      <c r="A671" s="1" t="s">
        <v>678</v>
      </c>
      <c r="B671" s="5" t="n">
        <v>33.9524</v>
      </c>
      <c r="C671" s="5" t="n">
        <v>11.9872</v>
      </c>
      <c r="D671" s="1" t="n">
        <f aca="false">LN(B671/B670)</f>
        <v>-0.00209191863376676</v>
      </c>
      <c r="E671" s="1" t="n">
        <f aca="false">LN(C671/C670)</f>
        <v>0</v>
      </c>
      <c r="F671" s="1" t="n">
        <f aca="false">B671/B670-1</f>
        <v>-0.00208973209693308</v>
      </c>
      <c r="G671" s="1" t="n">
        <f aca="false">C671/C670-1</f>
        <v>0</v>
      </c>
    </row>
    <row r="672" customFormat="false" ht="15" hidden="false" customHeight="false" outlineLevel="0" collapsed="false">
      <c r="A672" s="1" t="s">
        <v>679</v>
      </c>
      <c r="B672" s="5" t="n">
        <v>34.2939</v>
      </c>
      <c r="C672" s="5" t="n">
        <v>11.988</v>
      </c>
      <c r="D672" s="1" t="n">
        <f aca="false">LN(B672/B671)</f>
        <v>0.0100079520898991</v>
      </c>
      <c r="E672" s="1" t="n">
        <f aca="false">LN(C672/C671)</f>
        <v>6.67356268392149E-005</v>
      </c>
      <c r="F672" s="1" t="n">
        <f aca="false">B672/B671-1</f>
        <v>0.0100581991258351</v>
      </c>
      <c r="G672" s="1" t="n">
        <f aca="false">C672/C671-1</f>
        <v>6.67378537106966E-005</v>
      </c>
    </row>
    <row r="673" customFormat="false" ht="15" hidden="false" customHeight="false" outlineLevel="0" collapsed="false">
      <c r="A673" s="1" t="s">
        <v>680</v>
      </c>
      <c r="B673" s="5" t="n">
        <v>34.2703</v>
      </c>
      <c r="C673" s="5" t="n">
        <v>11.9883</v>
      </c>
      <c r="D673" s="1" t="n">
        <f aca="false">LN(B673/B672)</f>
        <v>-0.00068840592997541</v>
      </c>
      <c r="E673" s="1" t="n">
        <f aca="false">LN(C673/C672)</f>
        <v>2.50247119043901E-005</v>
      </c>
      <c r="F673" s="1" t="n">
        <f aca="false">B673/B672-1</f>
        <v>-0.000688169032976749</v>
      </c>
      <c r="G673" s="1" t="n">
        <f aca="false">C673/C672-1</f>
        <v>2.5025025025105E-005</v>
      </c>
    </row>
    <row r="674" customFormat="false" ht="15" hidden="false" customHeight="false" outlineLevel="0" collapsed="false">
      <c r="A674" s="1" t="s">
        <v>681</v>
      </c>
      <c r="B674" s="5" t="n">
        <v>33.895</v>
      </c>
      <c r="C674" s="5" t="n">
        <v>11.9885</v>
      </c>
      <c r="D674" s="1" t="n">
        <f aca="false">LN(B674/B673)</f>
        <v>-0.0110115789775279</v>
      </c>
      <c r="E674" s="1" t="n">
        <f aca="false">LN(C674/C673)</f>
        <v>1.66827933673088E-005</v>
      </c>
      <c r="F674" s="1" t="n">
        <f aca="false">B674/B673-1</f>
        <v>-0.0109511734650702</v>
      </c>
      <c r="G674" s="1" t="n">
        <f aca="false">C674/C673-1</f>
        <v>1.66829325258799E-005</v>
      </c>
    </row>
    <row r="675" customFormat="false" ht="15" hidden="false" customHeight="false" outlineLevel="0" collapsed="false">
      <c r="A675" s="1" t="s">
        <v>682</v>
      </c>
      <c r="B675" s="5" t="n">
        <v>33.335</v>
      </c>
      <c r="C675" s="5" t="n">
        <v>11.9887</v>
      </c>
      <c r="D675" s="1" t="n">
        <f aca="false">LN(B675/B674)</f>
        <v>-0.0166596148129056</v>
      </c>
      <c r="E675" s="1" t="n">
        <f aca="false">LN(C675/C674)</f>
        <v>1.6682515056359E-005</v>
      </c>
      <c r="F675" s="1" t="n">
        <f aca="false">B675/B674-1</f>
        <v>-0.0165216108570586</v>
      </c>
      <c r="G675" s="1" t="n">
        <f aca="false">C675/C674-1</f>
        <v>1.66826542102871E-005</v>
      </c>
    </row>
    <row r="676" customFormat="false" ht="15" hidden="false" customHeight="false" outlineLevel="0" collapsed="false">
      <c r="A676" s="1" t="s">
        <v>683</v>
      </c>
      <c r="B676" s="5" t="n">
        <v>33.4796</v>
      </c>
      <c r="C676" s="5" t="n">
        <v>11.9891</v>
      </c>
      <c r="D676" s="1" t="n">
        <f aca="false">LN(B676/B675)</f>
        <v>0.0043284020485778</v>
      </c>
      <c r="E676" s="1" t="n">
        <f aca="false">LN(C676/C675)</f>
        <v>3.33641952170891E-005</v>
      </c>
      <c r="F676" s="1" t="n">
        <f aca="false">B676/B675-1</f>
        <v>0.00433778311084443</v>
      </c>
      <c r="G676" s="1" t="n">
        <f aca="false">C676/C675-1</f>
        <v>3.33647518080404E-005</v>
      </c>
    </row>
    <row r="677" customFormat="false" ht="15" hidden="false" customHeight="false" outlineLevel="0" collapsed="false">
      <c r="A677" s="1" t="s">
        <v>684</v>
      </c>
      <c r="B677" s="5" t="n">
        <v>33.598</v>
      </c>
      <c r="C677" s="5" t="n">
        <v>11.9901</v>
      </c>
      <c r="D677" s="1" t="n">
        <f aca="false">LN(B677/B676)</f>
        <v>0.00353024326942131</v>
      </c>
      <c r="E677" s="1" t="n">
        <f aca="false">LN(C677/C676)</f>
        <v>8.3405618250706E-005</v>
      </c>
      <c r="F677" s="1" t="n">
        <f aca="false">B677/B676-1</f>
        <v>0.00353648191734668</v>
      </c>
      <c r="G677" s="1" t="n">
        <f aca="false">C677/C676-1</f>
        <v>8.34090965959877E-005</v>
      </c>
    </row>
    <row r="678" customFormat="false" ht="15" hidden="false" customHeight="false" outlineLevel="0" collapsed="false">
      <c r="A678" s="1" t="s">
        <v>685</v>
      </c>
      <c r="B678" s="5" t="n">
        <v>33.6983</v>
      </c>
      <c r="C678" s="5" t="n">
        <v>11.9903</v>
      </c>
      <c r="D678" s="1" t="n">
        <f aca="false">LN(B678/B677)</f>
        <v>0.00298084959403909</v>
      </c>
      <c r="E678" s="1" t="n">
        <f aca="false">LN(C678/C677)</f>
        <v>1.66802889029295E-005</v>
      </c>
      <c r="F678" s="1" t="n">
        <f aca="false">B678/B677-1</f>
        <v>0.00298529674385395</v>
      </c>
      <c r="G678" s="1" t="n">
        <f aca="false">C678/C677-1</f>
        <v>1.66804280197219E-005</v>
      </c>
    </row>
    <row r="679" customFormat="false" ht="15" hidden="false" customHeight="false" outlineLevel="0" collapsed="false">
      <c r="A679" s="1" t="s">
        <v>686</v>
      </c>
      <c r="B679" s="5" t="n">
        <v>33.8329</v>
      </c>
      <c r="C679" s="5" t="n">
        <v>11.9907</v>
      </c>
      <c r="D679" s="1" t="n">
        <f aca="false">LN(B679/B678)</f>
        <v>0.00398631086787579</v>
      </c>
      <c r="E679" s="1" t="n">
        <f aca="false">LN(C679/C678)</f>
        <v>3.33597431330393E-005</v>
      </c>
      <c r="F679" s="1" t="n">
        <f aca="false">B679/B678-1</f>
        <v>0.00399426677310122</v>
      </c>
      <c r="G679" s="1" t="n">
        <f aca="false">C679/C678-1</f>
        <v>3.33602995754578E-005</v>
      </c>
    </row>
    <row r="680" customFormat="false" ht="15" hidden="false" customHeight="false" outlineLevel="0" collapsed="false">
      <c r="A680" s="1" t="s">
        <v>687</v>
      </c>
      <c r="B680" s="5" t="n">
        <v>33.9165</v>
      </c>
      <c r="C680" s="5" t="n">
        <v>11.9916</v>
      </c>
      <c r="D680" s="1" t="n">
        <f aca="false">LN(B680/B679)</f>
        <v>0.00246791978766947</v>
      </c>
      <c r="E680" s="1" t="n">
        <f aca="false">LN(C680/C679)</f>
        <v>7.50553533581842E-005</v>
      </c>
      <c r="F680" s="1" t="n">
        <f aca="false">B680/B679-1</f>
        <v>0.002470967608452</v>
      </c>
      <c r="G680" s="1" t="n">
        <f aca="false">C680/C679-1</f>
        <v>7.50581700816877E-005</v>
      </c>
    </row>
    <row r="681" customFormat="false" ht="15" hidden="false" customHeight="false" outlineLevel="0" collapsed="false">
      <c r="A681" s="1" t="s">
        <v>688</v>
      </c>
      <c r="B681" s="5" t="n">
        <v>33.9562</v>
      </c>
      <c r="C681" s="5" t="n">
        <v>11.992</v>
      </c>
      <c r="D681" s="1" t="n">
        <f aca="false">LN(B681/B680)</f>
        <v>0.00116983719603082</v>
      </c>
      <c r="E681" s="1" t="n">
        <f aca="false">LN(C681/C680)</f>
        <v>3.33561266897412E-005</v>
      </c>
      <c r="F681" s="1" t="n">
        <f aca="false">B681/B680-1</f>
        <v>0.00117052172246557</v>
      </c>
      <c r="G681" s="1" t="n">
        <f aca="false">C681/C680-1</f>
        <v>3.33566830115206E-005</v>
      </c>
    </row>
    <row r="682" customFormat="false" ht="15" hidden="false" customHeight="false" outlineLevel="0" collapsed="false">
      <c r="A682" s="1" t="s">
        <v>689</v>
      </c>
      <c r="B682" s="5" t="n">
        <v>33.7825</v>
      </c>
      <c r="C682" s="5" t="n">
        <v>11.9923</v>
      </c>
      <c r="D682" s="1" t="n">
        <f aca="false">LN(B682/B681)</f>
        <v>-0.00512854190353367</v>
      </c>
      <c r="E682" s="1" t="n">
        <f aca="false">LN(C682/C681)</f>
        <v>2.50163648732296E-005</v>
      </c>
      <c r="F682" s="1" t="n">
        <f aca="false">B682/B681-1</f>
        <v>-0.00511541338547905</v>
      </c>
      <c r="G682" s="1" t="n">
        <f aca="false">C682/C681-1</f>
        <v>2.50166777850946E-005</v>
      </c>
    </row>
    <row r="683" customFormat="false" ht="15" hidden="false" customHeight="false" outlineLevel="0" collapsed="false">
      <c r="A683" s="1" t="s">
        <v>690</v>
      </c>
      <c r="B683" s="5" t="n">
        <v>33.4839</v>
      </c>
      <c r="C683" s="5" t="n">
        <v>11.9929</v>
      </c>
      <c r="D683" s="1" t="n">
        <f aca="false">LN(B683/B682)</f>
        <v>-0.0088781906377692</v>
      </c>
      <c r="E683" s="1" t="n">
        <f aca="false">LN(C683/C682)</f>
        <v>5.00308523694285E-005</v>
      </c>
      <c r="F683" s="1" t="n">
        <f aca="false">B683/B682-1</f>
        <v>-0.00883889587804343</v>
      </c>
      <c r="G683" s="1" t="n">
        <f aca="false">C683/C682-1</f>
        <v>5.00321039333951E-005</v>
      </c>
    </row>
    <row r="684" customFormat="false" ht="15" hidden="false" customHeight="false" outlineLevel="0" collapsed="false">
      <c r="A684" s="1" t="s">
        <v>691</v>
      </c>
      <c r="B684" s="5" t="n">
        <v>33.4527</v>
      </c>
      <c r="C684" s="5" t="n">
        <v>11.9932</v>
      </c>
      <c r="D684" s="1" t="n">
        <f aca="false">LN(B684/B683)</f>
        <v>-0.000932225486789419</v>
      </c>
      <c r="E684" s="1" t="n">
        <f aca="false">LN(C684/C683)</f>
        <v>2.50144875585925E-005</v>
      </c>
      <c r="F684" s="1" t="n">
        <f aca="false">B684/B683-1</f>
        <v>-0.000931791099603063</v>
      </c>
      <c r="G684" s="1" t="n">
        <f aca="false">C684/C683-1</f>
        <v>2.50148004234951E-005</v>
      </c>
    </row>
    <row r="685" customFormat="false" ht="15" hidden="false" customHeight="false" outlineLevel="0" collapsed="false">
      <c r="A685" s="1" t="s">
        <v>692</v>
      </c>
      <c r="B685" s="5" t="n">
        <v>33.6933</v>
      </c>
      <c r="C685" s="5" t="n">
        <v>11.9939</v>
      </c>
      <c r="D685" s="1" t="n">
        <f aca="false">LN(B685/B684)</f>
        <v>0.00716650373045522</v>
      </c>
      <c r="E685" s="1" t="n">
        <f aca="false">LN(C685/C684)</f>
        <v>5.83647043785214E-005</v>
      </c>
      <c r="F685" s="1" t="n">
        <f aca="false">B685/B684-1</f>
        <v>0.00719224457218703</v>
      </c>
      <c r="G685" s="1" t="n">
        <f aca="false">C685/C684-1</f>
        <v>5.83664076310164E-005</v>
      </c>
    </row>
    <row r="686" customFormat="false" ht="15" hidden="false" customHeight="false" outlineLevel="0" collapsed="false">
      <c r="A686" s="1" t="s">
        <v>693</v>
      </c>
      <c r="B686" s="5" t="n">
        <v>33.7409</v>
      </c>
      <c r="C686" s="5" t="n">
        <v>11.9942</v>
      </c>
      <c r="D686" s="1" t="n">
        <f aca="false">LN(B686/B685)</f>
        <v>0.00141174679630469</v>
      </c>
      <c r="E686" s="1" t="n">
        <f aca="false">LN(C686/C685)</f>
        <v>2.50124019839782E-005</v>
      </c>
      <c r="F686" s="1" t="n">
        <f aca="false">B686/B685-1</f>
        <v>0.00141274377992073</v>
      </c>
      <c r="G686" s="1" t="n">
        <f aca="false">C686/C685-1</f>
        <v>2.50127147967127E-005</v>
      </c>
    </row>
    <row r="687" customFormat="false" ht="15" hidden="false" customHeight="false" outlineLevel="0" collapsed="false">
      <c r="A687" s="1" t="s">
        <v>694</v>
      </c>
      <c r="B687" s="5" t="n">
        <v>33.7745</v>
      </c>
      <c r="C687" s="5" t="n">
        <v>11.9949</v>
      </c>
      <c r="D687" s="1" t="n">
        <f aca="false">LN(B687/B686)</f>
        <v>0.000995328555378507</v>
      </c>
      <c r="E687" s="1" t="n">
        <f aca="false">LN(C687/C686)</f>
        <v>5.83598384430893E-005</v>
      </c>
      <c r="F687" s="1" t="n">
        <f aca="false">B687/B686-1</f>
        <v>0.000995824059227823</v>
      </c>
      <c r="G687" s="1" t="n">
        <f aca="false">C687/C686-1</f>
        <v>5.8361541411589E-005</v>
      </c>
    </row>
    <row r="688" customFormat="false" ht="15" hidden="false" customHeight="false" outlineLevel="0" collapsed="false">
      <c r="A688" s="1" t="s">
        <v>695</v>
      </c>
      <c r="B688" s="5" t="n">
        <v>33.5427</v>
      </c>
      <c r="C688" s="5" t="n">
        <v>11.9953</v>
      </c>
      <c r="D688" s="1" t="n">
        <f aca="false">LN(B688/B687)</f>
        <v>-0.00688682583818974</v>
      </c>
      <c r="E688" s="1" t="n">
        <f aca="false">LN(C688/C687)</f>
        <v>3.33469500077444E-005</v>
      </c>
      <c r="F688" s="1" t="n">
        <f aca="false">B688/B687-1</f>
        <v>-0.00686316599801629</v>
      </c>
      <c r="G688" s="1" t="n">
        <f aca="false">C688/C687-1</f>
        <v>3.33475060234623E-005</v>
      </c>
    </row>
    <row r="689" customFormat="false" ht="15" hidden="false" customHeight="false" outlineLevel="0" collapsed="false">
      <c r="A689" s="1" t="s">
        <v>696</v>
      </c>
      <c r="B689" s="5" t="n">
        <v>33.2795</v>
      </c>
      <c r="C689" s="5" t="n">
        <v>11.996</v>
      </c>
      <c r="D689" s="1" t="n">
        <f aca="false">LN(B689/B688)</f>
        <v>-0.00787766224780991</v>
      </c>
      <c r="E689" s="1" t="n">
        <f aca="false">LN(C689/C688)</f>
        <v>5.83544868513711E-005</v>
      </c>
      <c r="F689" s="1" t="n">
        <f aca="false">B689/B688-1</f>
        <v>-0.0078467147844391</v>
      </c>
      <c r="G689" s="1" t="n">
        <f aca="false">C689/C688-1</f>
        <v>5.83561895075579E-005</v>
      </c>
    </row>
    <row r="690" customFormat="false" ht="15" hidden="false" customHeight="false" outlineLevel="0" collapsed="false">
      <c r="A690" s="1" t="s">
        <v>697</v>
      </c>
      <c r="B690" s="5" t="n">
        <v>33.2539</v>
      </c>
      <c r="C690" s="5" t="n">
        <v>11.9966</v>
      </c>
      <c r="D690" s="1" t="n">
        <f aca="false">LN(B690/B689)</f>
        <v>-0.000769538345051805</v>
      </c>
      <c r="E690" s="1" t="n">
        <f aca="false">LN(C690/C689)</f>
        <v>5.00154214321079E-005</v>
      </c>
      <c r="F690" s="1" t="n">
        <f aca="false">B690/B689-1</f>
        <v>-0.000769242326357</v>
      </c>
      <c r="G690" s="1" t="n">
        <f aca="false">C690/C689-1</f>
        <v>5.00166722241513E-005</v>
      </c>
    </row>
    <row r="691" customFormat="false" ht="15" hidden="false" customHeight="false" outlineLevel="0" collapsed="false">
      <c r="A691" s="1" t="s">
        <v>698</v>
      </c>
      <c r="B691" s="5" t="n">
        <v>33.6079</v>
      </c>
      <c r="C691" s="5" t="n">
        <v>11.9966</v>
      </c>
      <c r="D691" s="1" t="n">
        <f aca="false">LN(B691/B690)</f>
        <v>0.0105891049239935</v>
      </c>
      <c r="E691" s="1" t="n">
        <f aca="false">LN(C691/C690)</f>
        <v>0</v>
      </c>
      <c r="F691" s="1" t="n">
        <f aca="false">B691/B690-1</f>
        <v>0.0106453679117335</v>
      </c>
      <c r="G691" s="1" t="n">
        <f aca="false">C691/C690-1</f>
        <v>0</v>
      </c>
    </row>
    <row r="692" customFormat="false" ht="15" hidden="false" customHeight="false" outlineLevel="0" collapsed="false">
      <c r="A692" s="1" t="s">
        <v>699</v>
      </c>
      <c r="B692" s="5" t="n">
        <v>33.3396</v>
      </c>
      <c r="C692" s="5" t="n">
        <v>11.9969</v>
      </c>
      <c r="D692" s="1" t="n">
        <f aca="false">LN(B692/B691)</f>
        <v>-0.00801527873043</v>
      </c>
      <c r="E692" s="1" t="n">
        <f aca="false">LN(C692/C691)</f>
        <v>2.50067726687543E-005</v>
      </c>
      <c r="F692" s="1" t="n">
        <f aca="false">B692/B691-1</f>
        <v>-0.00798324203535494</v>
      </c>
      <c r="G692" s="1" t="n">
        <f aca="false">C692/C691-1</f>
        <v>2.50070853407003E-005</v>
      </c>
    </row>
    <row r="693" customFormat="false" ht="15" hidden="false" customHeight="false" outlineLevel="0" collapsed="false">
      <c r="A693" s="1" t="s">
        <v>700</v>
      </c>
      <c r="B693" s="5" t="n">
        <v>33.3891</v>
      </c>
      <c r="C693" s="5" t="n">
        <v>11.9971</v>
      </c>
      <c r="D693" s="1" t="n">
        <f aca="false">LN(B693/B692)</f>
        <v>0.00148361976419894</v>
      </c>
      <c r="E693" s="1" t="n">
        <f aca="false">LN(C693/C692)</f>
        <v>1.66708343755555E-005</v>
      </c>
      <c r="F693" s="1" t="n">
        <f aca="false">B693/B692-1</f>
        <v>0.00148472087247598</v>
      </c>
      <c r="G693" s="1" t="n">
        <f aca="false">C693/C692-1</f>
        <v>1.6670973334687E-005</v>
      </c>
    </row>
    <row r="694" customFormat="false" ht="15" hidden="false" customHeight="false" outlineLevel="0" collapsed="false">
      <c r="A694" s="1" t="s">
        <v>701</v>
      </c>
      <c r="B694" s="5" t="n">
        <v>33.7762</v>
      </c>
      <c r="C694" s="5" t="n">
        <v>11.9975</v>
      </c>
      <c r="D694" s="1" t="n">
        <f aca="false">LN(B694/B693)</f>
        <v>0.0115269130383209</v>
      </c>
      <c r="E694" s="1" t="n">
        <f aca="false">LN(C694/C693)</f>
        <v>3.33408350243997E-005</v>
      </c>
      <c r="F694" s="1" t="n">
        <f aca="false">B694/B693-1</f>
        <v>0.0115936039006743</v>
      </c>
      <c r="G694" s="1" t="n">
        <f aca="false">C694/C693-1</f>
        <v>3.33413908362168E-005</v>
      </c>
    </row>
    <row r="695" customFormat="false" ht="15" hidden="false" customHeight="false" outlineLevel="0" collapsed="false">
      <c r="A695" s="1" t="s">
        <v>702</v>
      </c>
      <c r="B695" s="5" t="n">
        <v>33.8239</v>
      </c>
      <c r="C695" s="5" t="n">
        <v>11.9983</v>
      </c>
      <c r="D695" s="1" t="n">
        <f aca="false">LN(B695/B694)</f>
        <v>0.00141124075013529</v>
      </c>
      <c r="E695" s="1" t="n">
        <f aca="false">LN(C695/C694)</f>
        <v>6.66783354001012E-005</v>
      </c>
      <c r="F695" s="1" t="n">
        <f aca="false">B695/B694-1</f>
        <v>0.00141223701896598</v>
      </c>
      <c r="G695" s="1" t="n">
        <f aca="false">C695/C694-1</f>
        <v>6.66805584497165E-005</v>
      </c>
    </row>
    <row r="696" customFormat="false" ht="15" hidden="false" customHeight="false" outlineLevel="0" collapsed="false">
      <c r="A696" s="1" t="s">
        <v>703</v>
      </c>
      <c r="B696" s="5" t="n">
        <v>33.7958</v>
      </c>
      <c r="C696" s="5" t="n">
        <v>11.9983</v>
      </c>
      <c r="D696" s="1" t="n">
        <f aca="false">LN(B696/B695)</f>
        <v>-0.000831118789865372</v>
      </c>
      <c r="E696" s="1" t="n">
        <f aca="false">LN(C696/C695)</f>
        <v>0</v>
      </c>
      <c r="F696" s="1" t="n">
        <f aca="false">B696/B695-1</f>
        <v>-0.00083077350630778</v>
      </c>
      <c r="G696" s="1" t="n">
        <f aca="false">C696/C695-1</f>
        <v>0</v>
      </c>
    </row>
    <row r="697" customFormat="false" ht="15" hidden="false" customHeight="false" outlineLevel="0" collapsed="false">
      <c r="A697" s="1" t="s">
        <v>704</v>
      </c>
      <c r="B697" s="5" t="n">
        <v>33.8887</v>
      </c>
      <c r="C697" s="5" t="n">
        <v>11.9988</v>
      </c>
      <c r="D697" s="1" t="n">
        <f aca="false">LN(B697/B696)</f>
        <v>0.00274509107218088</v>
      </c>
      <c r="E697" s="1" t="n">
        <f aca="false">LN(C697/C696)</f>
        <v>4.16717020033249E-005</v>
      </c>
      <c r="F697" s="1" t="n">
        <f aca="false">B697/B696-1</f>
        <v>0.00274886228466253</v>
      </c>
      <c r="G697" s="1" t="n">
        <f aca="false">C697/C696-1</f>
        <v>4.16725702807597E-005</v>
      </c>
    </row>
    <row r="698" customFormat="false" ht="15" hidden="false" customHeight="false" outlineLevel="0" collapsed="false">
      <c r="A698" s="1" t="s">
        <v>705</v>
      </c>
      <c r="B698" s="5" t="n">
        <v>33.8067</v>
      </c>
      <c r="C698" s="5" t="n">
        <v>11.999</v>
      </c>
      <c r="D698" s="1" t="n">
        <f aca="false">LN(B698/B697)</f>
        <v>-0.0024226177880729</v>
      </c>
      <c r="E698" s="1" t="n">
        <f aca="false">LN(C698/C697)</f>
        <v>1.66681945849867E-005</v>
      </c>
      <c r="F698" s="1" t="n">
        <f aca="false">B698/B697-1</f>
        <v>-0.00241968561791983</v>
      </c>
      <c r="G698" s="1" t="n">
        <f aca="false">C698/C697-1</f>
        <v>1.66683335001139E-005</v>
      </c>
    </row>
    <row r="699" customFormat="false" ht="15" hidden="false" customHeight="false" outlineLevel="0" collapsed="false">
      <c r="A699" s="1" t="s">
        <v>706</v>
      </c>
      <c r="B699" s="5" t="n">
        <v>33.603</v>
      </c>
      <c r="C699" s="5" t="n">
        <v>11.9994</v>
      </c>
      <c r="D699" s="1" t="n">
        <f aca="false">LN(B699/B698)</f>
        <v>-0.00604365899938179</v>
      </c>
      <c r="E699" s="1" t="n">
        <f aca="false">LN(C699/C698)</f>
        <v>3.33355557066745E-005</v>
      </c>
      <c r="F699" s="1" t="n">
        <f aca="false">B699/B698-1</f>
        <v>-0.00602543282840373</v>
      </c>
      <c r="G699" s="1" t="n">
        <f aca="false">C699/C698-1</f>
        <v>3.33361113424857E-005</v>
      </c>
    </row>
    <row r="700" customFormat="false" ht="15" hidden="false" customHeight="false" outlineLevel="0" collapsed="false">
      <c r="A700" s="1" t="s">
        <v>707</v>
      </c>
      <c r="B700" s="5" t="n">
        <v>33.6284</v>
      </c>
      <c r="C700" s="5" t="n">
        <v>12.0004</v>
      </c>
      <c r="D700" s="1" t="n">
        <f aca="false">LN(B700/B699)</f>
        <v>0.000755599354125242</v>
      </c>
      <c r="E700" s="1" t="n">
        <f aca="false">LN(C700/C699)</f>
        <v>8.333402783195E-005</v>
      </c>
      <c r="F700" s="1" t="n">
        <f aca="false">B700/B699-1</f>
        <v>0.000755884891229908</v>
      </c>
      <c r="G700" s="1" t="n">
        <f aca="false">C700/C699-1</f>
        <v>8.33375002085024E-005</v>
      </c>
    </row>
    <row r="701" customFormat="false" ht="15" hidden="false" customHeight="false" outlineLevel="0" collapsed="false">
      <c r="A701" s="1" t="s">
        <v>708</v>
      </c>
      <c r="B701" s="5" t="n">
        <v>33.8283</v>
      </c>
      <c r="C701" s="5" t="n">
        <v>12.0008</v>
      </c>
      <c r="D701" s="1" t="n">
        <f aca="false">LN(B701/B700)</f>
        <v>0.0059267822218616</v>
      </c>
      <c r="E701" s="1" t="n">
        <f aca="false">LN(C701/C700)</f>
        <v>3.33316667530318E-005</v>
      </c>
      <c r="F701" s="1" t="n">
        <f aca="false">B701/B700-1</f>
        <v>0.00594438034518441</v>
      </c>
      <c r="G701" s="1" t="n">
        <f aca="false">C701/C700-1</f>
        <v>3.33322222592081E-005</v>
      </c>
    </row>
    <row r="702" customFormat="false" ht="15" hidden="false" customHeight="false" outlineLevel="0" collapsed="false">
      <c r="A702" s="1" t="s">
        <v>709</v>
      </c>
      <c r="B702" s="5" t="n">
        <v>33.8474</v>
      </c>
      <c r="C702" s="5" t="n">
        <v>12.0014</v>
      </c>
      <c r="D702" s="1" t="n">
        <f aca="false">LN(B702/B701)</f>
        <v>0.000564456681116785</v>
      </c>
      <c r="E702" s="1" t="n">
        <f aca="false">LN(C702/C701)</f>
        <v>4.99954170972918E-005</v>
      </c>
      <c r="F702" s="1" t="n">
        <f aca="false">B702/B701-1</f>
        <v>0.000564616016767161</v>
      </c>
      <c r="G702" s="1" t="n">
        <f aca="false">C702/C701-1</f>
        <v>4.99966668889851E-005</v>
      </c>
    </row>
    <row r="703" customFormat="false" ht="15" hidden="false" customHeight="false" outlineLevel="0" collapsed="false">
      <c r="A703" s="1" t="s">
        <v>710</v>
      </c>
      <c r="B703" s="5" t="n">
        <v>33.6666</v>
      </c>
      <c r="C703" s="5" t="n">
        <v>12.0014</v>
      </c>
      <c r="D703" s="1" t="n">
        <f aca="false">LN(B703/B702)</f>
        <v>-0.00535593898164628</v>
      </c>
      <c r="E703" s="1" t="n">
        <f aca="false">LN(C703/C702)</f>
        <v>0</v>
      </c>
      <c r="F703" s="1" t="n">
        <f aca="false">B703/B702-1</f>
        <v>-0.00534162151302609</v>
      </c>
      <c r="G703" s="1" t="n">
        <f aca="false">C703/C702-1</f>
        <v>0</v>
      </c>
    </row>
    <row r="704" customFormat="false" ht="15" hidden="false" customHeight="false" outlineLevel="0" collapsed="false">
      <c r="A704" s="1" t="s">
        <v>711</v>
      </c>
      <c r="B704" s="5" t="n">
        <v>33.7702</v>
      </c>
      <c r="C704" s="5" t="n">
        <v>12.0014</v>
      </c>
      <c r="D704" s="1" t="n">
        <f aca="false">LN(B704/B703)</f>
        <v>0.00307250882311535</v>
      </c>
      <c r="E704" s="1" t="n">
        <f aca="false">LN(C704/C703)</f>
        <v>0</v>
      </c>
      <c r="F704" s="1" t="n">
        <f aca="false">B704/B703-1</f>
        <v>0.00307723381630454</v>
      </c>
      <c r="G704" s="1" t="n">
        <f aca="false">C704/C703-1</f>
        <v>0</v>
      </c>
    </row>
    <row r="705" customFormat="false" ht="15" hidden="false" customHeight="false" outlineLevel="0" collapsed="false">
      <c r="A705" s="1" t="s">
        <v>712</v>
      </c>
      <c r="B705" s="5" t="n">
        <v>33.8053</v>
      </c>
      <c r="C705" s="5" t="n">
        <v>12.0026</v>
      </c>
      <c r="D705" s="1" t="n">
        <f aca="false">LN(B705/B704)</f>
        <v>0.0010388381338389</v>
      </c>
      <c r="E705" s="1" t="n">
        <f aca="false">LN(C705/C704)</f>
        <v>9.99833361938108E-005</v>
      </c>
      <c r="F705" s="1" t="n">
        <f aca="false">B705/B704-1</f>
        <v>0.00103937791307129</v>
      </c>
      <c r="G705" s="1" t="n">
        <f aca="false">C705/C704-1</f>
        <v>9.99883346941566E-005</v>
      </c>
    </row>
    <row r="706" customFormat="false" ht="15" hidden="false" customHeight="false" outlineLevel="0" collapsed="false">
      <c r="A706" s="1" t="s">
        <v>713</v>
      </c>
      <c r="B706" s="5" t="n">
        <v>33.818</v>
      </c>
      <c r="C706" s="5" t="n">
        <v>12.0035</v>
      </c>
      <c r="D706" s="1" t="n">
        <f aca="false">LN(B706/B705)</f>
        <v>0.000375610186113511</v>
      </c>
      <c r="E706" s="1" t="n">
        <f aca="false">LN(C706/C705)</f>
        <v>7.49809423789879E-005</v>
      </c>
      <c r="F706" s="1" t="n">
        <f aca="false">B706/B705-1</f>
        <v>0.000375680736452333</v>
      </c>
      <c r="G706" s="1" t="n">
        <f aca="false">C706/C705-1</f>
        <v>7.49837535201081E-005</v>
      </c>
    </row>
    <row r="707" customFormat="false" ht="15" hidden="false" customHeight="false" outlineLevel="0" collapsed="false">
      <c r="A707" s="1" t="s">
        <v>714</v>
      </c>
      <c r="B707" s="5" t="n">
        <v>34.0412</v>
      </c>
      <c r="C707" s="5" t="n">
        <v>12.0035</v>
      </c>
      <c r="D707" s="1" t="n">
        <f aca="false">LN(B707/B706)</f>
        <v>0.00657835061152454</v>
      </c>
      <c r="E707" s="1" t="n">
        <f aca="false">LN(C707/C706)</f>
        <v>0</v>
      </c>
      <c r="F707" s="1" t="n">
        <f aca="false">B707/B706-1</f>
        <v>0.00660003548406185</v>
      </c>
      <c r="G707" s="1" t="n">
        <f aca="false">C707/C706-1</f>
        <v>0</v>
      </c>
    </row>
    <row r="708" customFormat="false" ht="15" hidden="false" customHeight="false" outlineLevel="0" collapsed="false">
      <c r="A708" s="1" t="s">
        <v>715</v>
      </c>
      <c r="B708" s="5" t="n">
        <v>34.1197</v>
      </c>
      <c r="C708" s="5" t="n">
        <v>12.0038</v>
      </c>
      <c r="D708" s="1" t="n">
        <f aca="false">LN(B708/B707)</f>
        <v>0.00230337435999312</v>
      </c>
      <c r="E708" s="1" t="n">
        <f aca="false">LN(C708/C707)</f>
        <v>2.49923981468306E-005</v>
      </c>
      <c r="F708" s="1" t="n">
        <f aca="false">B708/B707-1</f>
        <v>0.00230602916465927</v>
      </c>
      <c r="G708" s="1" t="n">
        <f aca="false">C708/C707-1</f>
        <v>2.4992710459415E-005</v>
      </c>
    </row>
    <row r="709" customFormat="false" ht="15" hidden="false" customHeight="false" outlineLevel="0" collapsed="false">
      <c r="A709" s="1" t="s">
        <v>716</v>
      </c>
      <c r="B709" s="5" t="n">
        <v>34.1748</v>
      </c>
      <c r="C709" s="5" t="n">
        <v>12.0048</v>
      </c>
      <c r="D709" s="1" t="n">
        <f aca="false">LN(B709/B708)</f>
        <v>0.00161360027397057</v>
      </c>
      <c r="E709" s="1" t="n">
        <f aca="false">LN(C709/C708)</f>
        <v>8.33034829666372E-005</v>
      </c>
      <c r="F709" s="1" t="n">
        <f aca="false">B709/B708-1</f>
        <v>0.00161490282739862</v>
      </c>
      <c r="G709" s="1" t="n">
        <f aca="false">C709/C708-1</f>
        <v>8.33069527981234E-005</v>
      </c>
    </row>
    <row r="710" customFormat="false" ht="15" hidden="false" customHeight="false" outlineLevel="0" collapsed="false">
      <c r="A710" s="1" t="s">
        <v>717</v>
      </c>
      <c r="B710" s="5" t="n">
        <v>34.2612</v>
      </c>
      <c r="C710" s="5" t="n">
        <v>12.0055</v>
      </c>
      <c r="D710" s="1" t="n">
        <f aca="false">LN(B710/B709)</f>
        <v>0.00252498819054515</v>
      </c>
      <c r="E710" s="1" t="n">
        <f aca="false">LN(C710/C709)</f>
        <v>5.83083093671429E-005</v>
      </c>
      <c r="F710" s="1" t="n">
        <f aca="false">B710/B709-1</f>
        <v>0.00252817865795874</v>
      </c>
      <c r="G710" s="1" t="n">
        <f aca="false">C710/C709-1</f>
        <v>5.8310009329654E-005</v>
      </c>
    </row>
    <row r="711" customFormat="false" ht="15" hidden="false" customHeight="false" outlineLevel="0" collapsed="false">
      <c r="A711" s="1" t="s">
        <v>718</v>
      </c>
      <c r="B711" s="5" t="n">
        <v>34.4862</v>
      </c>
      <c r="C711" s="5" t="n">
        <v>12.0059</v>
      </c>
      <c r="D711" s="1" t="n">
        <f aca="false">LN(B711/B710)</f>
        <v>0.00654572546370346</v>
      </c>
      <c r="E711" s="1" t="n">
        <f aca="false">LN(C711/C710)</f>
        <v>3.33175075203703E-005</v>
      </c>
      <c r="F711" s="1" t="n">
        <f aca="false">B711/B710-1</f>
        <v>0.00656719554481433</v>
      </c>
      <c r="G711" s="1" t="n">
        <f aca="false">C711/C710-1</f>
        <v>3.33180625546881E-005</v>
      </c>
    </row>
    <row r="712" customFormat="false" ht="15" hidden="false" customHeight="false" outlineLevel="0" collapsed="false">
      <c r="A712" s="1" t="s">
        <v>719</v>
      </c>
      <c r="B712" s="5" t="n">
        <v>34.5411</v>
      </c>
      <c r="C712" s="5" t="n">
        <v>12.0066</v>
      </c>
      <c r="D712" s="1" t="n">
        <f aca="false">LN(B712/B711)</f>
        <v>0.00159067532920714</v>
      </c>
      <c r="E712" s="1" t="n">
        <f aca="false">LN(C712/C711)</f>
        <v>5.83029672210418E-005</v>
      </c>
      <c r="F712" s="1" t="n">
        <f aca="false">B712/B711-1</f>
        <v>0.00159194112427596</v>
      </c>
      <c r="G712" s="1" t="n">
        <f aca="false">C712/C711-1</f>
        <v>5.83046668720666E-005</v>
      </c>
    </row>
    <row r="713" customFormat="false" ht="15" hidden="false" customHeight="false" outlineLevel="0" collapsed="false">
      <c r="A713" s="1" t="s">
        <v>720</v>
      </c>
      <c r="B713" s="5" t="n">
        <v>34.6779</v>
      </c>
      <c r="C713" s="5" t="n">
        <v>12.008</v>
      </c>
      <c r="D713" s="1" t="n">
        <f aca="false">LN(B713/B712)</f>
        <v>0.00395267710049651</v>
      </c>
      <c r="E713" s="1" t="n">
        <f aca="false">LN(C713/C712)</f>
        <v>0.000116595737724912</v>
      </c>
      <c r="F713" s="1" t="n">
        <f aca="false">B713/B712-1</f>
        <v>0.00396049923135045</v>
      </c>
      <c r="G713" s="1" t="n">
        <f aca="false">C713/C712-1</f>
        <v>0.000116602535272126</v>
      </c>
    </row>
    <row r="714" customFormat="false" ht="15" hidden="false" customHeight="false" outlineLevel="0" collapsed="false">
      <c r="A714" s="1" t="s">
        <v>721</v>
      </c>
      <c r="B714" s="5" t="n">
        <v>34.8153</v>
      </c>
      <c r="C714" s="5" t="n">
        <v>12.0093</v>
      </c>
      <c r="D714" s="1" t="n">
        <f aca="false">LN(B714/B713)</f>
        <v>0.00395434888714788</v>
      </c>
      <c r="E714" s="1" t="n">
        <f aca="false">LN(C714/C713)</f>
        <v>0.000108255299410754</v>
      </c>
      <c r="F714" s="1" t="n">
        <f aca="false">B714/B713-1</f>
        <v>0.00396217764051454</v>
      </c>
      <c r="G714" s="1" t="n">
        <f aca="false">C714/C713-1</f>
        <v>0.00010826115922713</v>
      </c>
    </row>
    <row r="715" customFormat="false" ht="15" hidden="false" customHeight="false" outlineLevel="0" collapsed="false">
      <c r="A715" s="1" t="s">
        <v>722</v>
      </c>
      <c r="B715" s="5" t="n">
        <v>34.9355</v>
      </c>
      <c r="C715" s="5" t="n">
        <v>12.0113</v>
      </c>
      <c r="D715" s="1" t="n">
        <f aca="false">LN(B715/B714)</f>
        <v>0.00344655886342901</v>
      </c>
      <c r="E715" s="1" t="n">
        <f aca="false">LN(C715/C714)</f>
        <v>0.00016652373417993</v>
      </c>
      <c r="F715" s="1" t="n">
        <f aca="false">B715/B714-1</f>
        <v>0.00345250507679085</v>
      </c>
      <c r="G715" s="1" t="n">
        <f aca="false">C715/C714-1</f>
        <v>0.000166537600026606</v>
      </c>
    </row>
    <row r="716" customFormat="false" ht="15" hidden="false" customHeight="false" outlineLevel="0" collapsed="false">
      <c r="A716" s="1" t="s">
        <v>723</v>
      </c>
      <c r="B716" s="5" t="n">
        <v>34.8846</v>
      </c>
      <c r="C716" s="5" t="n">
        <v>12.0105</v>
      </c>
      <c r="D716" s="1" t="n">
        <f aca="false">LN(B716/B715)</f>
        <v>-0.00145803311703045</v>
      </c>
      <c r="E716" s="1" t="n">
        <f aca="false">LN(C716/C715)</f>
        <v>-6.66061660904286E-005</v>
      </c>
      <c r="F716" s="1" t="n">
        <f aca="false">B716/B715-1</f>
        <v>-0.00145697070315287</v>
      </c>
      <c r="G716" s="1" t="n">
        <f aca="false">C716/C715-1</f>
        <v>-6.66039479489955E-005</v>
      </c>
    </row>
    <row r="717" customFormat="false" ht="15" hidden="false" customHeight="false" outlineLevel="0" collapsed="false">
      <c r="A717" s="1" t="s">
        <v>724</v>
      </c>
      <c r="B717" s="5" t="n">
        <v>35.0042</v>
      </c>
      <c r="C717" s="5" t="n">
        <v>12.0114</v>
      </c>
      <c r="D717" s="1" t="n">
        <f aca="false">LN(B717/B716)</f>
        <v>0.00342258321076524</v>
      </c>
      <c r="E717" s="1" t="n">
        <f aca="false">LN(C717/C716)</f>
        <v>7.49316249272807E-005</v>
      </c>
      <c r="F717" s="1" t="n">
        <f aca="false">B717/B716-1</f>
        <v>0.00342844693647049</v>
      </c>
      <c r="G717" s="1" t="n">
        <f aca="false">C717/C716-1</f>
        <v>7.49344323716095E-005</v>
      </c>
    </row>
    <row r="718" customFormat="false" ht="15" hidden="false" customHeight="false" outlineLevel="0" collapsed="false">
      <c r="A718" s="1" t="s">
        <v>725</v>
      </c>
      <c r="B718" s="5" t="n">
        <v>35.225</v>
      </c>
      <c r="C718" s="5" t="n">
        <v>12.0108</v>
      </c>
      <c r="D718" s="1" t="n">
        <f aca="false">LN(B718/B717)</f>
        <v>0.00628800349475438</v>
      </c>
      <c r="E718" s="1" t="n">
        <f aca="false">LN(C718/C717)</f>
        <v>-4.99537927521512E-005</v>
      </c>
      <c r="F718" s="1" t="n">
        <f aca="false">B718/B717-1</f>
        <v>0.00630781449083262</v>
      </c>
      <c r="G718" s="1" t="n">
        <f aca="false">C718/C717-1</f>
        <v>-4.99525450822214E-005</v>
      </c>
    </row>
    <row r="719" customFormat="false" ht="15" hidden="false" customHeight="false" outlineLevel="0" collapsed="false">
      <c r="A719" s="1" t="s">
        <v>726</v>
      </c>
      <c r="B719" s="5" t="n">
        <v>35.2407</v>
      </c>
      <c r="C719" s="5" t="n">
        <v>12.011</v>
      </c>
      <c r="D719" s="1" t="n">
        <f aca="false">LN(B719/B718)</f>
        <v>0.000445606877098594</v>
      </c>
      <c r="E719" s="1" t="n">
        <f aca="false">LN(C719/C718)</f>
        <v>1.66515415168355E-005</v>
      </c>
      <c r="F719" s="1" t="n">
        <f aca="false">B719/B718-1</f>
        <v>0.00044570617459172</v>
      </c>
      <c r="G719" s="1" t="n">
        <f aca="false">C719/C718-1</f>
        <v>1.66516801545225E-005</v>
      </c>
    </row>
    <row r="720" customFormat="false" ht="15" hidden="false" customHeight="false" outlineLevel="0" collapsed="false">
      <c r="A720" s="1" t="s">
        <v>727</v>
      </c>
      <c r="B720" s="5" t="n">
        <v>35.2606</v>
      </c>
      <c r="C720" s="5" t="n">
        <v>12.0112</v>
      </c>
      <c r="D720" s="1" t="n">
        <f aca="false">LN(B720/B719)</f>
        <v>0.000564528612337612</v>
      </c>
      <c r="E720" s="1" t="n">
        <f aca="false">LN(C720/C719)</f>
        <v>1.6651264247693E-005</v>
      </c>
      <c r="F720" s="1" t="n">
        <f aca="false">B720/B719-1</f>
        <v>0.000564687988604096</v>
      </c>
      <c r="G720" s="1" t="n">
        <f aca="false">C720/C719-1</f>
        <v>1.66514028807629E-005</v>
      </c>
    </row>
    <row r="721" customFormat="false" ht="15" hidden="false" customHeight="false" outlineLevel="0" collapsed="false">
      <c r="A721" s="1" t="s">
        <v>728</v>
      </c>
      <c r="B721" s="5" t="n">
        <v>35.0349</v>
      </c>
      <c r="C721" s="5" t="n">
        <v>12.0093</v>
      </c>
      <c r="D721" s="1" t="n">
        <f aca="false">LN(B721/B720)</f>
        <v>-0.00642148574432499</v>
      </c>
      <c r="E721" s="1" t="n">
        <f aca="false">LN(C721/C720)</f>
        <v>-0.000158198206029267</v>
      </c>
      <c r="F721" s="1" t="n">
        <f aca="false">B721/B720-1</f>
        <v>-0.00640091206615867</v>
      </c>
      <c r="G721" s="1" t="n">
        <f aca="false">C721/C720-1</f>
        <v>-0.000158185693352908</v>
      </c>
    </row>
    <row r="722" customFormat="false" ht="15" hidden="false" customHeight="false" outlineLevel="0" collapsed="false">
      <c r="A722" s="1" t="s">
        <v>729</v>
      </c>
      <c r="B722" s="5" t="n">
        <v>35.2148</v>
      </c>
      <c r="C722" s="5" t="n">
        <v>12.0096</v>
      </c>
      <c r="D722" s="1" t="n">
        <f aca="false">LN(B722/B721)</f>
        <v>0.00512174125340683</v>
      </c>
      <c r="E722" s="1" t="n">
        <f aca="false">LN(C722/C721)</f>
        <v>2.49803279931217E-005</v>
      </c>
      <c r="F722" s="1" t="n">
        <f aca="false">B722/B721-1</f>
        <v>0.00513487979129379</v>
      </c>
      <c r="G722" s="1" t="n">
        <f aca="false">C722/C721-1</f>
        <v>2.4980640004113E-005</v>
      </c>
    </row>
    <row r="723" customFormat="false" ht="15" hidden="false" customHeight="false" outlineLevel="0" collapsed="false">
      <c r="A723" s="1" t="s">
        <v>730</v>
      </c>
      <c r="B723" s="5" t="n">
        <v>35.8615</v>
      </c>
      <c r="C723" s="5" t="n">
        <v>12.0107</v>
      </c>
      <c r="D723" s="1" t="n">
        <f aca="false">LN(B723/B722)</f>
        <v>0.0181978478552105</v>
      </c>
      <c r="E723" s="1" t="n">
        <f aca="false">LN(C723/C722)</f>
        <v>9.1589197534365E-005</v>
      </c>
      <c r="F723" s="1" t="n">
        <f aca="false">B723/B722-1</f>
        <v>0.0183644376796122</v>
      </c>
      <c r="G723" s="1" t="n">
        <f aca="false">C723/C722-1</f>
        <v>9.1593391952971E-005</v>
      </c>
    </row>
    <row r="724" customFormat="false" ht="15" hidden="false" customHeight="false" outlineLevel="0" collapsed="false">
      <c r="A724" s="1" t="s">
        <v>731</v>
      </c>
      <c r="B724" s="5" t="n">
        <v>36.199</v>
      </c>
      <c r="C724" s="5" t="n">
        <v>12.011</v>
      </c>
      <c r="D724" s="1" t="n">
        <f aca="false">LN(B724/B723)</f>
        <v>0.00936719750230247</v>
      </c>
      <c r="E724" s="1" t="n">
        <f aca="false">LN(C724/C723)</f>
        <v>2.49774162539518E-005</v>
      </c>
      <c r="F724" s="1" t="n">
        <f aca="false">B724/B723-1</f>
        <v>0.00941120700472653</v>
      </c>
      <c r="G724" s="1" t="n">
        <f aca="false">C724/C723-1</f>
        <v>2.49777281922103E-005</v>
      </c>
    </row>
    <row r="725" customFormat="false" ht="15" hidden="false" customHeight="false" outlineLevel="0" collapsed="false">
      <c r="A725" s="1" t="s">
        <v>732</v>
      </c>
      <c r="B725" s="5" t="n">
        <v>36.1936</v>
      </c>
      <c r="C725" s="5" t="n">
        <v>12.0116</v>
      </c>
      <c r="D725" s="1" t="n">
        <f aca="false">LN(B725/B724)</f>
        <v>-0.000149186519340609</v>
      </c>
      <c r="E725" s="1" t="n">
        <f aca="false">LN(C725/C724)</f>
        <v>4.9952960972137E-005</v>
      </c>
      <c r="F725" s="1" t="n">
        <f aca="false">B725/B724-1</f>
        <v>-0.00014917539158521</v>
      </c>
      <c r="G725" s="1" t="n">
        <f aca="false">C725/C724-1</f>
        <v>4.99542086420668E-005</v>
      </c>
    </row>
    <row r="726" customFormat="false" ht="15" hidden="false" customHeight="false" outlineLevel="0" collapsed="false">
      <c r="A726" s="1" t="s">
        <v>733</v>
      </c>
      <c r="B726" s="5" t="n">
        <v>36.0822</v>
      </c>
      <c r="C726" s="5" t="n">
        <v>12.0118</v>
      </c>
      <c r="D726" s="1" t="n">
        <f aca="false">LN(B726/B725)</f>
        <v>-0.003082638676192</v>
      </c>
      <c r="E726" s="1" t="n">
        <f aca="false">LN(C726/C725)</f>
        <v>1.6650432495331E-005</v>
      </c>
      <c r="F726" s="1" t="n">
        <f aca="false">B726/B725-1</f>
        <v>-0.00307789222403965</v>
      </c>
      <c r="G726" s="1" t="n">
        <f aca="false">C726/C725-1</f>
        <v>1.66505711145515E-005</v>
      </c>
    </row>
    <row r="727" customFormat="false" ht="15" hidden="false" customHeight="false" outlineLevel="0" collapsed="false">
      <c r="A727" s="1" t="s">
        <v>734</v>
      </c>
      <c r="B727" s="5" t="n">
        <v>36.149</v>
      </c>
      <c r="C727" s="5" t="n">
        <v>12.0118</v>
      </c>
      <c r="D727" s="1" t="n">
        <f aca="false">LN(B727/B726)</f>
        <v>0.00184961675962796</v>
      </c>
      <c r="E727" s="1" t="n">
        <f aca="false">LN(C727/C726)</f>
        <v>0</v>
      </c>
      <c r="F727" s="1" t="n">
        <f aca="false">B727/B726-1</f>
        <v>0.0018513283558097</v>
      </c>
      <c r="G727" s="1" t="n">
        <f aca="false">C727/C726-1</f>
        <v>0</v>
      </c>
    </row>
    <row r="728" customFormat="false" ht="15" hidden="false" customHeight="false" outlineLevel="0" collapsed="false">
      <c r="A728" s="1" t="s">
        <v>735</v>
      </c>
      <c r="B728" s="5" t="n">
        <v>36.1135</v>
      </c>
      <c r="C728" s="5" t="n">
        <v>12.0119</v>
      </c>
      <c r="D728" s="1" t="n">
        <f aca="false">LN(B728/B727)</f>
        <v>-0.000982529053267337</v>
      </c>
      <c r="E728" s="1" t="n">
        <f aca="false">LN(C728/C727)</f>
        <v>8.32511228509327E-006</v>
      </c>
      <c r="F728" s="1" t="n">
        <f aca="false">B728/B727-1</f>
        <v>-0.000982046529641178</v>
      </c>
      <c r="G728" s="1" t="n">
        <f aca="false">C728/C727-1</f>
        <v>8.32514693893671E-006</v>
      </c>
    </row>
    <row r="729" customFormat="false" ht="15" hidden="false" customHeight="false" outlineLevel="0" collapsed="false">
      <c r="A729" s="1" t="s">
        <v>736</v>
      </c>
      <c r="B729" s="5" t="n">
        <v>36.2925</v>
      </c>
      <c r="C729" s="5" t="n">
        <v>12.0123</v>
      </c>
      <c r="D729" s="1" t="n">
        <f aca="false">LN(B729/B728)</f>
        <v>0.00494435170184331</v>
      </c>
      <c r="E729" s="1" t="n">
        <f aca="false">LN(C729/C728)</f>
        <v>3.32997560822542E-005</v>
      </c>
      <c r="F729" s="1" t="n">
        <f aca="false">B729/B728-1</f>
        <v>0.00495659517908798</v>
      </c>
      <c r="G729" s="1" t="n">
        <f aca="false">C729/C728-1</f>
        <v>3.3300310525286E-005</v>
      </c>
    </row>
    <row r="730" customFormat="false" ht="15" hidden="false" customHeight="false" outlineLevel="0" collapsed="false">
      <c r="A730" s="1" t="s">
        <v>737</v>
      </c>
      <c r="B730" s="5" t="n">
        <v>36.4537</v>
      </c>
      <c r="C730" s="5" t="n">
        <v>12.0125</v>
      </c>
      <c r="D730" s="1" t="n">
        <f aca="false">LN(B730/B729)</f>
        <v>0.00443185386586318</v>
      </c>
      <c r="E730" s="1" t="n">
        <f aca="false">LN(C730/C729)</f>
        <v>1.66494622227479E-005</v>
      </c>
      <c r="F730" s="1" t="n">
        <f aca="false">B730/B729-1</f>
        <v>0.00444168905421227</v>
      </c>
      <c r="G730" s="1" t="n">
        <f aca="false">C730/C729-1</f>
        <v>1.66496008258132E-005</v>
      </c>
    </row>
    <row r="731" customFormat="false" ht="15" hidden="false" customHeight="false" outlineLevel="0" collapsed="false">
      <c r="A731" s="1" t="s">
        <v>738</v>
      </c>
      <c r="B731" s="5" t="n">
        <v>36.8396</v>
      </c>
      <c r="C731" s="5" t="n">
        <v>12.013</v>
      </c>
      <c r="D731" s="1" t="n">
        <f aca="false">LN(B731/B730)</f>
        <v>0.01053039134555</v>
      </c>
      <c r="E731" s="1" t="n">
        <f aca="false">LN(C731/C730)</f>
        <v>4.16224428273265E-005</v>
      </c>
      <c r="F731" s="1" t="n">
        <f aca="false">B731/B730-1</f>
        <v>0.0105860310476029</v>
      </c>
      <c r="G731" s="1" t="n">
        <f aca="false">C731/C730-1</f>
        <v>4.16233090532181E-005</v>
      </c>
    </row>
    <row r="732" customFormat="false" ht="15" hidden="false" customHeight="false" outlineLevel="0" collapsed="false">
      <c r="A732" s="1" t="s">
        <v>739</v>
      </c>
      <c r="B732" s="5" t="n">
        <v>36.7973</v>
      </c>
      <c r="C732" s="5" t="n">
        <v>12.0132</v>
      </c>
      <c r="D732" s="1" t="n">
        <f aca="false">LN(B732/B731)</f>
        <v>-0.00114888064686964</v>
      </c>
      <c r="E732" s="1" t="n">
        <f aca="false">LN(C732/C731)</f>
        <v>1.66484920631826E-005</v>
      </c>
      <c r="F732" s="1" t="n">
        <f aca="false">B732/B731-1</f>
        <v>-0.0011482209361664</v>
      </c>
      <c r="G732" s="1" t="n">
        <f aca="false">C732/C731-1</f>
        <v>1.66486306500957E-005</v>
      </c>
    </row>
    <row r="733" customFormat="false" ht="15" hidden="false" customHeight="false" outlineLevel="0" collapsed="false">
      <c r="A733" s="1" t="s">
        <v>740</v>
      </c>
      <c r="B733" s="5" t="n">
        <v>36.8857</v>
      </c>
      <c r="C733" s="5" t="n">
        <v>12.0134</v>
      </c>
      <c r="D733" s="1" t="n">
        <f aca="false">LN(B733/B732)</f>
        <v>0.00239946914249487</v>
      </c>
      <c r="E733" s="1" t="n">
        <f aca="false">LN(C733/C732)</f>
        <v>1.6648214895734E-005</v>
      </c>
      <c r="F733" s="1" t="n">
        <f aca="false">B733/B732-1</f>
        <v>0.00240235017243107</v>
      </c>
      <c r="G733" s="1" t="n">
        <f aca="false">C733/C732-1</f>
        <v>1.66483534780326E-005</v>
      </c>
    </row>
    <row r="734" customFormat="false" ht="15" hidden="false" customHeight="false" outlineLevel="0" collapsed="false">
      <c r="A734" s="1" t="s">
        <v>741</v>
      </c>
      <c r="B734" s="5" t="n">
        <v>36.6711</v>
      </c>
      <c r="C734" s="5" t="n">
        <v>12.0137</v>
      </c>
      <c r="D734" s="1" t="n">
        <f aca="false">LN(B734/B733)</f>
        <v>-0.00583496315418384</v>
      </c>
      <c r="E734" s="1" t="n">
        <f aca="false">LN(C734/C733)</f>
        <v>2.49718026739952E-005</v>
      </c>
      <c r="F734" s="1" t="n">
        <f aca="false">B734/B733-1</f>
        <v>-0.00581797281873453</v>
      </c>
      <c r="G734" s="1" t="n">
        <f aca="false">C734/C733-1</f>
        <v>2.49721144720549E-005</v>
      </c>
    </row>
    <row r="735" customFormat="false" ht="15" hidden="false" customHeight="false" outlineLevel="0" collapsed="false">
      <c r="A735" s="1" t="s">
        <v>742</v>
      </c>
      <c r="B735" s="5" t="n">
        <v>36.6982</v>
      </c>
      <c r="C735" s="5" t="n">
        <v>12.0141</v>
      </c>
      <c r="D735" s="1" t="n">
        <f aca="false">LN(B735/B734)</f>
        <v>0.000738728629887736</v>
      </c>
      <c r="E735" s="1" t="n">
        <f aca="false">LN(C735/C734)</f>
        <v>3.32947668981169E-005</v>
      </c>
      <c r="F735" s="1" t="n">
        <f aca="false">B735/B734-1</f>
        <v>0.000739001557084285</v>
      </c>
      <c r="G735" s="1" t="n">
        <f aca="false">C735/C734-1</f>
        <v>3.32953211750198E-005</v>
      </c>
    </row>
    <row r="736" customFormat="false" ht="15" hidden="false" customHeight="false" outlineLevel="0" collapsed="false">
      <c r="A736" s="1" t="s">
        <v>743</v>
      </c>
      <c r="B736" s="5" t="n">
        <v>36.7653</v>
      </c>
      <c r="C736" s="5" t="n">
        <v>12.0148</v>
      </c>
      <c r="D736" s="1" t="n">
        <f aca="false">LN(B736/B735)</f>
        <v>0.00182675801342552</v>
      </c>
      <c r="E736" s="1" t="n">
        <f aca="false">LN(C736/C735)</f>
        <v>5.82631747768508E-005</v>
      </c>
      <c r="F736" s="1" t="n">
        <f aca="false">B736/B735-1</f>
        <v>0.00182842755230506</v>
      </c>
      <c r="G736" s="1" t="n">
        <f aca="false">C736/C735-1</f>
        <v>5.82648721085821E-005</v>
      </c>
    </row>
    <row r="737" customFormat="false" ht="15" hidden="false" customHeight="false" outlineLevel="0" collapsed="false">
      <c r="A737" s="1" t="s">
        <v>744</v>
      </c>
      <c r="B737" s="5" t="n">
        <v>36.9782</v>
      </c>
      <c r="C737" s="5" t="n">
        <v>12.0151</v>
      </c>
      <c r="D737" s="1" t="n">
        <f aca="false">LN(B737/B736)</f>
        <v>0.00577408426526299</v>
      </c>
      <c r="E737" s="1" t="n">
        <f aca="false">LN(C737/C736)</f>
        <v>2.49688929222721E-005</v>
      </c>
      <c r="F737" s="1" t="n">
        <f aca="false">B737/B736-1</f>
        <v>0.00579078642089148</v>
      </c>
      <c r="G737" s="1" t="n">
        <f aca="false">C737/C736-1</f>
        <v>2.49692046476735E-005</v>
      </c>
    </row>
    <row r="738" customFormat="false" ht="15" hidden="false" customHeight="false" outlineLevel="0" collapsed="false">
      <c r="A738" s="1" t="s">
        <v>745</v>
      </c>
      <c r="B738" s="5" t="n">
        <v>37.0657</v>
      </c>
      <c r="C738" s="5" t="n">
        <v>12.0153</v>
      </c>
      <c r="D738" s="1" t="n">
        <f aca="false">LN(B738/B737)</f>
        <v>0.00236346385673815</v>
      </c>
      <c r="E738" s="1" t="n">
        <f aca="false">LN(C738/C737)</f>
        <v>1.66455822628162E-005</v>
      </c>
      <c r="F738" s="1" t="n">
        <f aca="false">B738/B737-1</f>
        <v>0.00236625903910959</v>
      </c>
      <c r="G738" s="1" t="n">
        <f aca="false">C738/C737-1</f>
        <v>1.66457208012893E-005</v>
      </c>
    </row>
    <row r="739" customFormat="false" ht="15" hidden="false" customHeight="false" outlineLevel="0" collapsed="false">
      <c r="A739" s="1" t="s">
        <v>746</v>
      </c>
      <c r="B739" s="5" t="n">
        <v>36.6334</v>
      </c>
      <c r="C739" s="5" t="n">
        <v>12.0157</v>
      </c>
      <c r="D739" s="1" t="n">
        <f aca="false">LN(B739/B738)</f>
        <v>-0.0117316210955902</v>
      </c>
      <c r="E739" s="1" t="n">
        <f aca="false">LN(C739/C738)</f>
        <v>3.3290333322558E-005</v>
      </c>
      <c r="F739" s="1" t="n">
        <f aca="false">B739/B738-1</f>
        <v>-0.0116630739470723</v>
      </c>
      <c r="G739" s="1" t="n">
        <f aca="false">C739/C738-1</f>
        <v>3.32908874518534E-005</v>
      </c>
    </row>
    <row r="740" customFormat="false" ht="15" hidden="false" customHeight="false" outlineLevel="0" collapsed="false">
      <c r="A740" s="1" t="s">
        <v>747</v>
      </c>
      <c r="B740" s="5" t="n">
        <v>36.8754</v>
      </c>
      <c r="C740" s="5" t="n">
        <v>12.0163</v>
      </c>
      <c r="D740" s="1" t="n">
        <f aca="false">LN(B740/B739)</f>
        <v>0.00658426948275293</v>
      </c>
      <c r="E740" s="1" t="n">
        <f aca="false">LN(C740/C739)</f>
        <v>4.99334221140212E-005</v>
      </c>
      <c r="F740" s="1" t="n">
        <f aca="false">B740/B739-1</f>
        <v>0.00660599343768253</v>
      </c>
      <c r="G740" s="1" t="n">
        <f aca="false">C740/C739-1</f>
        <v>4.99346688080937E-005</v>
      </c>
    </row>
    <row r="741" customFormat="false" ht="15" hidden="false" customHeight="false" outlineLevel="0" collapsed="false">
      <c r="A741" s="1" t="s">
        <v>748</v>
      </c>
      <c r="B741" s="5" t="n">
        <v>37.0586</v>
      </c>
      <c r="C741" s="5" t="n">
        <v>12.0171</v>
      </c>
      <c r="D741" s="1" t="n">
        <f aca="false">LN(B741/B740)</f>
        <v>0.00495578150636181</v>
      </c>
      <c r="E741" s="1" t="n">
        <f aca="false">LN(C741/C740)</f>
        <v>6.65740178497964E-005</v>
      </c>
      <c r="F741" s="1" t="n">
        <f aca="false">B741/B740-1</f>
        <v>0.00496808170216467</v>
      </c>
      <c r="G741" s="1" t="n">
        <f aca="false">C741/C740-1</f>
        <v>6.65762339489007E-005</v>
      </c>
    </row>
    <row r="742" customFormat="false" ht="15" hidden="false" customHeight="false" outlineLevel="0" collapsed="false">
      <c r="A742" s="1" t="s">
        <v>749</v>
      </c>
      <c r="B742" s="5" t="n">
        <v>36.7715</v>
      </c>
      <c r="C742" s="5" t="n">
        <v>12.0172</v>
      </c>
      <c r="D742" s="1" t="n">
        <f aca="false">LN(B742/B741)</f>
        <v>-0.00777735495837054</v>
      </c>
      <c r="E742" s="1" t="n">
        <f aca="false">LN(C742/C741)</f>
        <v>8.32144060804915E-006</v>
      </c>
      <c r="F742" s="1" t="n">
        <f aca="false">B742/B741-1</f>
        <v>-0.00774718958622278</v>
      </c>
      <c r="G742" s="1" t="n">
        <f aca="false">C742/C741-1</f>
        <v>8.32147523133209E-006</v>
      </c>
    </row>
    <row r="743" customFormat="false" ht="15" hidden="false" customHeight="false" outlineLevel="0" collapsed="false">
      <c r="A743" s="1" t="s">
        <v>750</v>
      </c>
      <c r="B743" s="5" t="n">
        <v>36.7706</v>
      </c>
      <c r="C743" s="5" t="n">
        <v>12.0177</v>
      </c>
      <c r="D743" s="1" t="n">
        <f aca="false">LN(B743/B742)</f>
        <v>-2.44757764612241E-005</v>
      </c>
      <c r="E743" s="1" t="n">
        <f aca="false">LN(C743/C742)</f>
        <v>4.16061643751572E-005</v>
      </c>
      <c r="F743" s="1" t="n">
        <f aca="false">B743/B742-1</f>
        <v>-2.44754769318511E-005</v>
      </c>
      <c r="G743" s="1" t="n">
        <f aca="false">C743/C742-1</f>
        <v>4.16070299236182E-005</v>
      </c>
    </row>
    <row r="744" customFormat="false" ht="15" hidden="false" customHeight="false" outlineLevel="0" collapsed="false">
      <c r="A744" s="1" t="s">
        <v>751</v>
      </c>
      <c r="B744" s="5" t="n">
        <v>36.9447</v>
      </c>
      <c r="C744" s="5" t="n">
        <v>12.0177</v>
      </c>
      <c r="D744" s="1" t="n">
        <f aca="false">LN(B744/B743)</f>
        <v>0.00472358719869051</v>
      </c>
      <c r="E744" s="1" t="n">
        <f aca="false">LN(C744/C743)</f>
        <v>0</v>
      </c>
      <c r="F744" s="1" t="n">
        <f aca="false">B744/B743-1</f>
        <v>0.00473476092312875</v>
      </c>
      <c r="G744" s="1" t="n">
        <f aca="false">C744/C743-1</f>
        <v>0</v>
      </c>
    </row>
    <row r="745" customFormat="false" ht="15" hidden="false" customHeight="false" outlineLevel="0" collapsed="false">
      <c r="A745" s="1" t="s">
        <v>752</v>
      </c>
      <c r="B745" s="5" t="n">
        <v>36.8293</v>
      </c>
      <c r="C745" s="5" t="n">
        <v>12.0182</v>
      </c>
      <c r="D745" s="1" t="n">
        <f aca="false">LN(B745/B744)</f>
        <v>-0.00312847599755405</v>
      </c>
      <c r="E745" s="1" t="n">
        <f aca="false">LN(C745/C744)</f>
        <v>4.16044333745589E-005</v>
      </c>
      <c r="F745" s="1" t="n">
        <f aca="false">B745/B744-1</f>
        <v>-0.00312358741578611</v>
      </c>
      <c r="G745" s="1" t="n">
        <f aca="false">C745/C744-1</f>
        <v>4.16052988509996E-005</v>
      </c>
    </row>
    <row r="746" customFormat="false" ht="15" hidden="false" customHeight="false" outlineLevel="0" collapsed="false">
      <c r="A746" s="1" t="s">
        <v>753</v>
      </c>
      <c r="B746" s="5" t="n">
        <v>36.4403</v>
      </c>
      <c r="C746" s="5" t="n">
        <v>12.019</v>
      </c>
      <c r="D746" s="1" t="n">
        <f aca="false">LN(B746/B745)</f>
        <v>-0.0106184189622687</v>
      </c>
      <c r="E746" s="1" t="n">
        <f aca="false">LN(C746/C745)</f>
        <v>6.65634932766638E-005</v>
      </c>
      <c r="F746" s="1" t="n">
        <f aca="false">B746/B745-1</f>
        <v>-0.0105622425623078</v>
      </c>
      <c r="G746" s="1" t="n">
        <f aca="false">C746/C745-1</f>
        <v>6.6565708675137E-005</v>
      </c>
    </row>
    <row r="747" customFormat="false" ht="15" hidden="false" customHeight="false" outlineLevel="0" collapsed="false">
      <c r="A747" s="1" t="s">
        <v>754</v>
      </c>
      <c r="B747" s="5" t="n">
        <v>36.0174</v>
      </c>
      <c r="C747" s="5" t="n">
        <v>12.0192</v>
      </c>
      <c r="D747" s="1" t="n">
        <f aca="false">LN(B747/B746)</f>
        <v>-0.0116731500476637</v>
      </c>
      <c r="E747" s="1" t="n">
        <f aca="false">LN(C747/C746)</f>
        <v>1.66401810455295E-005</v>
      </c>
      <c r="F747" s="1" t="n">
        <f aca="false">B747/B746-1</f>
        <v>-0.0116052831617741</v>
      </c>
      <c r="G747" s="1" t="n">
        <f aca="false">C747/C746-1</f>
        <v>1.664031949411E-005</v>
      </c>
    </row>
    <row r="748" customFormat="false" ht="15" hidden="false" customHeight="false" outlineLevel="0" collapsed="false">
      <c r="A748" s="1" t="s">
        <v>755</v>
      </c>
      <c r="B748" s="5" t="n">
        <v>35.969</v>
      </c>
      <c r="C748" s="5" t="n">
        <v>12.0197</v>
      </c>
      <c r="D748" s="1" t="n">
        <f aca="false">LN(B748/B747)</f>
        <v>-0.00134469864566451</v>
      </c>
      <c r="E748" s="1" t="n">
        <f aca="false">LN(C748/C747)</f>
        <v>4.15992412357975E-005</v>
      </c>
      <c r="F748" s="1" t="n">
        <f aca="false">B748/B747-1</f>
        <v>-0.00134379494355508</v>
      </c>
      <c r="G748" s="1" t="n">
        <f aca="false">C748/C747-1</f>
        <v>4.16001064962313E-005</v>
      </c>
    </row>
    <row r="749" customFormat="false" ht="15" hidden="false" customHeight="false" outlineLevel="0" collapsed="false">
      <c r="A749" s="1" t="s">
        <v>756</v>
      </c>
      <c r="B749" s="5" t="n">
        <v>35.9069</v>
      </c>
      <c r="C749" s="5" t="n">
        <v>12.0198</v>
      </c>
      <c r="D749" s="1" t="n">
        <f aca="false">LN(B749/B748)</f>
        <v>-0.0017279787926715</v>
      </c>
      <c r="E749" s="1" t="n">
        <f aca="false">LN(C749/C748)</f>
        <v>8.3196405915691E-006</v>
      </c>
      <c r="F749" s="1" t="n">
        <f aca="false">B749/B748-1</f>
        <v>-0.00172648669687792</v>
      </c>
      <c r="G749" s="1" t="n">
        <f aca="false">C749/C748-1</f>
        <v>8.31967519987487E-006</v>
      </c>
    </row>
    <row r="750" customFormat="false" ht="15" hidden="false" customHeight="false" outlineLevel="0" collapsed="false">
      <c r="A750" s="1" t="s">
        <v>757</v>
      </c>
      <c r="B750" s="5" t="n">
        <v>35.8353</v>
      </c>
      <c r="C750" s="5" t="n">
        <v>12.0199</v>
      </c>
      <c r="D750" s="1" t="n">
        <f aca="false">LN(B750/B749)</f>
        <v>-0.00199603646869394</v>
      </c>
      <c r="E750" s="1" t="n">
        <f aca="false">LN(C750/C749)</f>
        <v>8.31957137573457E-006</v>
      </c>
      <c r="F750" s="1" t="n">
        <f aca="false">B750/B749-1</f>
        <v>-0.0019940457126626</v>
      </c>
      <c r="G750" s="1" t="n">
        <f aca="false">C750/C749-1</f>
        <v>8.31960598346448E-006</v>
      </c>
    </row>
    <row r="751" customFormat="false" ht="15" hidden="false" customHeight="false" outlineLevel="0" collapsed="false">
      <c r="A751" s="1" t="s">
        <v>758</v>
      </c>
      <c r="B751" s="5" t="n">
        <v>36.1147</v>
      </c>
      <c r="C751" s="5" t="n">
        <v>12.0208</v>
      </c>
      <c r="D751" s="1" t="n">
        <f aca="false">LN(B751/B750)</f>
        <v>0.00776654355609732</v>
      </c>
      <c r="E751" s="1" t="n">
        <f aca="false">LN(C751/C750)</f>
        <v>7.48730278585933E-005</v>
      </c>
      <c r="F751" s="1" t="n">
        <f aca="false">B751/B750-1</f>
        <v>0.00779678138595186</v>
      </c>
      <c r="G751" s="1" t="n">
        <f aca="false">C751/C750-1</f>
        <v>7.4875830913701E-005</v>
      </c>
    </row>
    <row r="752" customFormat="false" ht="15" hidden="false" customHeight="false" outlineLevel="0" collapsed="false">
      <c r="A752" s="1" t="s">
        <v>759</v>
      </c>
      <c r="B752" s="5" t="n">
        <v>36.1485</v>
      </c>
      <c r="C752" s="5" t="n">
        <v>12.0211</v>
      </c>
      <c r="D752" s="1" t="n">
        <f aca="false">LN(B752/B751)</f>
        <v>0.00093546929737044</v>
      </c>
      <c r="E752" s="1" t="n">
        <f aca="false">LN(C752/C751)</f>
        <v>2.49564302336346E-005</v>
      </c>
      <c r="F752" s="1" t="n">
        <f aca="false">B752/B751-1</f>
        <v>0.00093590698524415</v>
      </c>
      <c r="G752" s="1" t="n">
        <f aca="false">C752/C751-1</f>
        <v>2.49567416479302E-005</v>
      </c>
    </row>
    <row r="753" customFormat="false" ht="15" hidden="false" customHeight="false" outlineLevel="0" collapsed="false">
      <c r="A753" s="1" t="s">
        <v>760</v>
      </c>
      <c r="B753" s="5" t="n">
        <v>35.9973</v>
      </c>
      <c r="C753" s="5" t="n">
        <v>12.0212</v>
      </c>
      <c r="D753" s="1" t="n">
        <f aca="false">LN(B753/B752)</f>
        <v>-0.00419151832448002</v>
      </c>
      <c r="E753" s="1" t="n">
        <f aca="false">LN(C753/C752)</f>
        <v>8.31867167446738E-006</v>
      </c>
      <c r="F753" s="1" t="n">
        <f aca="false">B753/B752-1</f>
        <v>-0.00418274617204018</v>
      </c>
      <c r="G753" s="1" t="n">
        <f aca="false">C753/C752-1</f>
        <v>8.31870627471254E-006</v>
      </c>
    </row>
    <row r="754" customFormat="false" ht="15" hidden="false" customHeight="false" outlineLevel="0" collapsed="false">
      <c r="A754" s="1" t="s">
        <v>761</v>
      </c>
      <c r="B754" s="5" t="n">
        <v>36.2722</v>
      </c>
      <c r="C754" s="5" t="n">
        <v>12.0215</v>
      </c>
      <c r="D754" s="1" t="n">
        <f aca="false">LN(B754/B753)</f>
        <v>0.00760767200151768</v>
      </c>
      <c r="E754" s="1" t="n">
        <f aca="false">LN(C754/C753)</f>
        <v>2.49555998299625E-005</v>
      </c>
      <c r="F754" s="1" t="n">
        <f aca="false">B754/B753-1</f>
        <v>0.00763668386240068</v>
      </c>
      <c r="G754" s="1" t="n">
        <f aca="false">C754/C753-1</f>
        <v>2.49559112235342E-005</v>
      </c>
    </row>
    <row r="755" customFormat="false" ht="15" hidden="false" customHeight="false" outlineLevel="0" collapsed="false">
      <c r="A755" s="1" t="s">
        <v>762</v>
      </c>
      <c r="B755" s="5" t="n">
        <v>36.3605</v>
      </c>
      <c r="C755" s="5" t="n">
        <v>12.0219</v>
      </c>
      <c r="D755" s="1" t="n">
        <f aca="false">LN(B755/B754)</f>
        <v>0.00243141294487921</v>
      </c>
      <c r="E755" s="1" t="n">
        <f aca="false">LN(C755/C754)</f>
        <v>3.32731643641825E-005</v>
      </c>
      <c r="F755" s="1" t="n">
        <f aca="false">B755/B754-1</f>
        <v>0.00243437122644896</v>
      </c>
      <c r="G755" s="1" t="n">
        <f aca="false">C755/C754-1</f>
        <v>3.32737179220555E-005</v>
      </c>
    </row>
    <row r="756" customFormat="false" ht="15" hidden="false" customHeight="false" outlineLevel="0" collapsed="false">
      <c r="A756" s="1" t="s">
        <v>763</v>
      </c>
      <c r="B756" s="5" t="n">
        <v>36.4561</v>
      </c>
      <c r="C756" s="5" t="n">
        <v>12.0225</v>
      </c>
      <c r="D756" s="1" t="n">
        <f aca="false">LN(B756/B755)</f>
        <v>0.00262577640064999</v>
      </c>
      <c r="E756" s="1" t="n">
        <f aca="false">LN(C756/C755)</f>
        <v>4.99076708195036E-005</v>
      </c>
      <c r="F756" s="1" t="n">
        <f aca="false">B756/B755-1</f>
        <v>0.00262922677080901</v>
      </c>
      <c r="G756" s="1" t="n">
        <f aca="false">C756/C755-1</f>
        <v>4.99089162280253E-005</v>
      </c>
    </row>
    <row r="757" customFormat="false" ht="15" hidden="false" customHeight="false" outlineLevel="0" collapsed="false">
      <c r="A757" s="1" t="s">
        <v>764</v>
      </c>
      <c r="B757" s="5" t="n">
        <v>36.2738</v>
      </c>
      <c r="C757" s="5" t="n">
        <v>12.0226</v>
      </c>
      <c r="D757" s="1" t="n">
        <f aca="false">LN(B757/B756)</f>
        <v>-0.00501307940148636</v>
      </c>
      <c r="E757" s="1" t="n">
        <f aca="false">LN(C757/C756)</f>
        <v>8.31770298318221E-006</v>
      </c>
      <c r="F757" s="1" t="n">
        <f aca="false">B757/B756-1</f>
        <v>-0.00500053488990859</v>
      </c>
      <c r="G757" s="1" t="n">
        <f aca="false">C757/C756-1</f>
        <v>8.31773757536958E-006</v>
      </c>
    </row>
    <row r="758" customFormat="false" ht="15" hidden="false" customHeight="false" outlineLevel="0" collapsed="false">
      <c r="A758" s="1" t="s">
        <v>765</v>
      </c>
      <c r="B758" s="5" t="n">
        <v>36.4186</v>
      </c>
      <c r="C758" s="5" t="n">
        <v>12.0228</v>
      </c>
      <c r="D758" s="1" t="n">
        <f aca="false">LN(B758/B757)</f>
        <v>0.003983915554227</v>
      </c>
      <c r="E758" s="1" t="n">
        <f aca="false">LN(C758/C757)</f>
        <v>1.66351984166309E-005</v>
      </c>
      <c r="F758" s="1" t="n">
        <f aca="false">B758/B757-1</f>
        <v>0.00399186189481093</v>
      </c>
      <c r="G758" s="1" t="n">
        <f aca="false">C758/C757-1</f>
        <v>1.66353367823113E-005</v>
      </c>
    </row>
    <row r="759" customFormat="false" ht="15" hidden="false" customHeight="false" outlineLevel="0" collapsed="false">
      <c r="A759" s="1" t="s">
        <v>766</v>
      </c>
      <c r="B759" s="5" t="n">
        <v>36.3485</v>
      </c>
      <c r="C759" s="5" t="n">
        <v>12.0232</v>
      </c>
      <c r="D759" s="1" t="n">
        <f aca="false">LN(B759/B758)</f>
        <v>-0.00192669548972459</v>
      </c>
      <c r="E759" s="1" t="n">
        <f aca="false">LN(C759/C758)</f>
        <v>3.32695666669516E-005</v>
      </c>
      <c r="F759" s="1" t="n">
        <f aca="false">B759/B758-1</f>
        <v>-0.00192484060342779</v>
      </c>
      <c r="G759" s="1" t="n">
        <f aca="false">C759/C758-1</f>
        <v>3.32701201051222E-005</v>
      </c>
    </row>
    <row r="760" customFormat="false" ht="15" hidden="false" customHeight="false" outlineLevel="0" collapsed="false">
      <c r="A760" s="1" t="s">
        <v>767</v>
      </c>
      <c r="B760" s="5" t="n">
        <v>36.7172</v>
      </c>
      <c r="C760" s="5" t="n">
        <v>12.0234</v>
      </c>
      <c r="D760" s="1" t="n">
        <f aca="false">LN(B760/B759)</f>
        <v>0.010092372468059</v>
      </c>
      <c r="E760" s="1" t="n">
        <f aca="false">LN(C760/C759)</f>
        <v>1.66343682687232E-005</v>
      </c>
      <c r="F760" s="1" t="n">
        <f aca="false">B760/B759-1</f>
        <v>0.0101434722203115</v>
      </c>
      <c r="G760" s="1" t="n">
        <f aca="false">C760/C759-1</f>
        <v>1.66345066205942E-005</v>
      </c>
    </row>
    <row r="761" customFormat="false" ht="15" hidden="false" customHeight="false" outlineLevel="0" collapsed="false">
      <c r="A761" s="1" t="s">
        <v>768</v>
      </c>
      <c r="B761" s="5" t="n">
        <v>37.4367</v>
      </c>
      <c r="C761" s="5" t="n">
        <v>12.0242</v>
      </c>
      <c r="D761" s="1" t="n">
        <f aca="false">LN(B761/B760)</f>
        <v>0.0194061965775104</v>
      </c>
      <c r="E761" s="1" t="n">
        <f aca="false">LN(C761/C760)</f>
        <v>6.65347061906331E-005</v>
      </c>
      <c r="F761" s="1" t="n">
        <f aca="false">B761/B760-1</f>
        <v>0.0195957208065976</v>
      </c>
      <c r="G761" s="1" t="n">
        <f aca="false">C761/C760-1</f>
        <v>6.65369196732879E-005</v>
      </c>
    </row>
    <row r="762" customFormat="false" ht="15" hidden="false" customHeight="false" outlineLevel="0" collapsed="false">
      <c r="A762" s="1" t="s">
        <v>769</v>
      </c>
      <c r="B762" s="5" t="n">
        <v>37.4455</v>
      </c>
      <c r="C762" s="5" t="n">
        <v>12.0243</v>
      </c>
      <c r="D762" s="1" t="n">
        <f aca="false">LN(B762/B761)</f>
        <v>0.000235035830691712</v>
      </c>
      <c r="E762" s="1" t="n">
        <f aca="false">LN(C762/C761)</f>
        <v>8.3165270183119E-006</v>
      </c>
      <c r="F762" s="1" t="n">
        <f aca="false">B762/B761-1</f>
        <v>0.000235063453776663</v>
      </c>
      <c r="G762" s="1" t="n">
        <f aca="false">C762/C761-1</f>
        <v>8.31656160071859E-006</v>
      </c>
    </row>
    <row r="763" customFormat="false" ht="15" hidden="false" customHeight="false" outlineLevel="0" collapsed="false">
      <c r="A763" s="1" t="s">
        <v>770</v>
      </c>
      <c r="B763" s="5" t="n">
        <v>37.4357</v>
      </c>
      <c r="C763" s="5" t="n">
        <v>12.0246</v>
      </c>
      <c r="D763" s="1" t="n">
        <f aca="false">LN(B763/B762)</f>
        <v>-0.000261747943568079</v>
      </c>
      <c r="E763" s="1" t="n">
        <f aca="false">LN(C763/C762)</f>
        <v>2.49491660753236E-005</v>
      </c>
      <c r="F763" s="1" t="n">
        <f aca="false">B763/B762-1</f>
        <v>-0.000261713690563714</v>
      </c>
      <c r="G763" s="1" t="n">
        <f aca="false">C763/C762-1</f>
        <v>2.49494773083558E-005</v>
      </c>
    </row>
    <row r="764" customFormat="false" ht="15" hidden="false" customHeight="false" outlineLevel="0" collapsed="false">
      <c r="A764" s="1" t="s">
        <v>771</v>
      </c>
      <c r="B764" s="5" t="n">
        <v>37.0543</v>
      </c>
      <c r="C764" s="5" t="n">
        <v>12.0248</v>
      </c>
      <c r="D764" s="1" t="n">
        <f aca="false">LN(B764/B763)</f>
        <v>-0.0102403901992811</v>
      </c>
      <c r="E764" s="1" t="n">
        <f aca="false">LN(C764/C763)</f>
        <v>1.66324315788212E-005</v>
      </c>
      <c r="F764" s="1" t="n">
        <f aca="false">B764/B763-1</f>
        <v>-0.0101881359237306</v>
      </c>
      <c r="G764" s="1" t="n">
        <f aca="false">C764/C763-1</f>
        <v>1.66325698984782E-005</v>
      </c>
    </row>
    <row r="765" customFormat="false" ht="15" hidden="false" customHeight="false" outlineLevel="0" collapsed="false">
      <c r="A765" s="1" t="s">
        <v>772</v>
      </c>
      <c r="B765" s="5" t="n">
        <v>36.9799</v>
      </c>
      <c r="C765" s="5" t="n">
        <v>12.0254</v>
      </c>
      <c r="D765" s="1" t="n">
        <f aca="false">LN(B765/B764)</f>
        <v>-0.00200988259603504</v>
      </c>
      <c r="E765" s="1" t="n">
        <f aca="false">LN(C765/C764)</f>
        <v>4.9895634973843E-005</v>
      </c>
      <c r="F765" s="1" t="n">
        <f aca="false">B765/B764-1</f>
        <v>-0.0020078641345268</v>
      </c>
      <c r="G765" s="1" t="n">
        <f aca="false">C765/C764-1</f>
        <v>4.98968797817412E-005</v>
      </c>
    </row>
    <row r="766" customFormat="false" ht="15" hidden="false" customHeight="false" outlineLevel="0" collapsed="false">
      <c r="A766" s="1" t="s">
        <v>773</v>
      </c>
      <c r="B766" s="5" t="n">
        <v>36.8836</v>
      </c>
      <c r="C766" s="5" t="n">
        <v>12.0257</v>
      </c>
      <c r="D766" s="1" t="n">
        <f aca="false">LN(B766/B765)</f>
        <v>-0.00260751398357799</v>
      </c>
      <c r="E766" s="1" t="n">
        <f aca="false">LN(C766/C765)</f>
        <v>2.49468839276119E-005</v>
      </c>
      <c r="F766" s="1" t="n">
        <f aca="false">B766/B765-1</f>
        <v>-0.00260411737186961</v>
      </c>
      <c r="G766" s="1" t="n">
        <f aca="false">C766/C765-1</f>
        <v>2.49471951037084E-005</v>
      </c>
    </row>
    <row r="767" customFormat="false" ht="15" hidden="false" customHeight="false" outlineLevel="0" collapsed="false">
      <c r="A767" s="1" t="s">
        <v>774</v>
      </c>
      <c r="B767" s="5" t="n">
        <v>36.5109</v>
      </c>
      <c r="C767" s="5" t="n">
        <v>12.0258</v>
      </c>
      <c r="D767" s="1" t="n">
        <f aca="false">LN(B767/B766)</f>
        <v>-0.0101561616630034</v>
      </c>
      <c r="E767" s="1" t="n">
        <f aca="false">LN(C767/C766)</f>
        <v>8.31548967850908E-006</v>
      </c>
      <c r="F767" s="1" t="n">
        <f aca="false">B767/B766-1</f>
        <v>-0.010104762008047</v>
      </c>
      <c r="G767" s="1" t="n">
        <f aca="false">C767/C766-1</f>
        <v>8.31552425228921E-006</v>
      </c>
    </row>
    <row r="768" customFormat="false" ht="15" hidden="false" customHeight="false" outlineLevel="0" collapsed="false">
      <c r="A768" s="1" t="s">
        <v>775</v>
      </c>
      <c r="B768" s="5" t="n">
        <v>36.5144</v>
      </c>
      <c r="C768" s="5" t="n">
        <v>12.026</v>
      </c>
      <c r="D768" s="1" t="n">
        <f aca="false">LN(B768/B767)</f>
        <v>9.58571892942634E-005</v>
      </c>
      <c r="E768" s="1" t="n">
        <f aca="false">LN(C768/C767)</f>
        <v>1.66307719175934E-005</v>
      </c>
      <c r="F768" s="1" t="n">
        <f aca="false">B768/B767-1</f>
        <v>9.58617837414355E-005</v>
      </c>
      <c r="G768" s="1" t="n">
        <f aca="false">C768/C767-1</f>
        <v>1.66309102096474E-005</v>
      </c>
    </row>
    <row r="769" customFormat="false" ht="15" hidden="false" customHeight="false" outlineLevel="0" collapsed="false">
      <c r="A769" s="1" t="s">
        <v>776</v>
      </c>
      <c r="B769" s="5" t="n">
        <v>36.5897</v>
      </c>
      <c r="C769" s="5" t="n">
        <v>12.0262</v>
      </c>
      <c r="D769" s="1" t="n">
        <f aca="false">LN(B769/B768)</f>
        <v>0.00206007670241672</v>
      </c>
      <c r="E769" s="1" t="n">
        <f aca="false">LN(C769/C768)</f>
        <v>1.66304953396585E-005</v>
      </c>
      <c r="F769" s="1" t="n">
        <f aca="false">B769/B768-1</f>
        <v>0.00206220011830949</v>
      </c>
      <c r="G769" s="1" t="n">
        <f aca="false">C769/C768-1</f>
        <v>1.66306336271127E-005</v>
      </c>
    </row>
    <row r="770" customFormat="false" ht="15" hidden="false" customHeight="false" outlineLevel="0" collapsed="false">
      <c r="A770" s="1" t="s">
        <v>777</v>
      </c>
      <c r="B770" s="5" t="n">
        <v>37.1547</v>
      </c>
      <c r="C770" s="5" t="n">
        <v>12.0269</v>
      </c>
      <c r="D770" s="1" t="n">
        <f aca="false">LN(B770/B769)</f>
        <v>0.0153234972573891</v>
      </c>
      <c r="E770" s="1" t="n">
        <f aca="false">LN(C770/C769)</f>
        <v>5.8204555770088E-005</v>
      </c>
      <c r="F770" s="1" t="n">
        <f aca="false">B770/B769-1</f>
        <v>0.0154415040298226</v>
      </c>
      <c r="G770" s="1" t="n">
        <f aca="false">C770/C769-1</f>
        <v>5.82062496881086E-005</v>
      </c>
    </row>
    <row r="771" customFormat="false" ht="15" hidden="false" customHeight="false" outlineLevel="0" collapsed="false">
      <c r="A771" s="1" t="s">
        <v>778</v>
      </c>
      <c r="B771" s="5" t="n">
        <v>37.3185</v>
      </c>
      <c r="C771" s="5" t="n">
        <v>12.0271</v>
      </c>
      <c r="D771" s="1" t="n">
        <f aca="false">LN(B771/B770)</f>
        <v>0.00439890495191271</v>
      </c>
      <c r="E771" s="1" t="n">
        <f aca="false">LN(C771/C770)</f>
        <v>1.66292508527462E-005</v>
      </c>
      <c r="F771" s="1" t="n">
        <f aca="false">B771/B770-1</f>
        <v>0.00440859433665186</v>
      </c>
      <c r="G771" s="1" t="n">
        <f aca="false">C771/C770-1</f>
        <v>1.66293891195046E-005</v>
      </c>
    </row>
    <row r="772" customFormat="false" ht="15" hidden="false" customHeight="false" outlineLevel="0" collapsed="false">
      <c r="A772" s="1" t="s">
        <v>779</v>
      </c>
      <c r="B772" s="5" t="n">
        <v>37.316</v>
      </c>
      <c r="C772" s="5" t="n">
        <v>12.0273</v>
      </c>
      <c r="D772" s="1" t="n">
        <f aca="false">LN(B772/B771)</f>
        <v>-6.69931466261364E-005</v>
      </c>
      <c r="E772" s="1" t="n">
        <f aca="false">LN(C772/C771)</f>
        <v>1.66289743252142E-005</v>
      </c>
      <c r="F772" s="1" t="n">
        <f aca="false">B772/B771-1</f>
        <v>-6.69909026353999E-005</v>
      </c>
      <c r="G772" s="1" t="n">
        <f aca="false">C772/C771-1</f>
        <v>1.66291125873741E-005</v>
      </c>
    </row>
    <row r="773" customFormat="false" ht="15" hidden="false" customHeight="false" outlineLevel="0" collapsed="false">
      <c r="A773" s="1" t="s">
        <v>780</v>
      </c>
      <c r="B773" s="5" t="n">
        <v>37.3099</v>
      </c>
      <c r="C773" s="5" t="n">
        <v>12.0275</v>
      </c>
      <c r="D773" s="1" t="n">
        <f aca="false">LN(B773/B772)</f>
        <v>-0.000163482115822739</v>
      </c>
      <c r="E773" s="1" t="n">
        <f aca="false">LN(C773/C772)</f>
        <v>1.66286978070077E-005</v>
      </c>
      <c r="F773" s="1" t="n">
        <f aca="false">B773/B772-1</f>
        <v>-0.000163468753349827</v>
      </c>
      <c r="G773" s="1" t="n">
        <f aca="false">C773/C772-1</f>
        <v>1.66288360645694E-005</v>
      </c>
    </row>
    <row r="774" customFormat="false" ht="15" hidden="false" customHeight="false" outlineLevel="0" collapsed="false">
      <c r="A774" s="1" t="s">
        <v>781</v>
      </c>
      <c r="B774" s="5" t="n">
        <v>37.2231</v>
      </c>
      <c r="C774" s="5" t="n">
        <v>12.0283</v>
      </c>
      <c r="D774" s="1" t="n">
        <f aca="false">LN(B774/B773)</f>
        <v>-0.00232917068254564</v>
      </c>
      <c r="E774" s="1" t="n">
        <f aca="false">LN(C774/C773)</f>
        <v>6.65120262302833E-005</v>
      </c>
      <c r="F774" s="1" t="n">
        <f aca="false">B774/B773-1</f>
        <v>-0.0023264602692582</v>
      </c>
      <c r="G774" s="1" t="n">
        <f aca="false">C774/C773-1</f>
        <v>6.65142382041406E-005</v>
      </c>
    </row>
    <row r="775" customFormat="false" ht="15" hidden="false" customHeight="false" outlineLevel="0" collapsed="false">
      <c r="A775" s="1" t="s">
        <v>782</v>
      </c>
      <c r="B775" s="5" t="n">
        <v>36.982</v>
      </c>
      <c r="C775" s="5" t="n">
        <v>12.0287</v>
      </c>
      <c r="D775" s="1" t="n">
        <f aca="false">LN(B775/B774)</f>
        <v>-0.00649822851555188</v>
      </c>
      <c r="E775" s="1" t="n">
        <f aca="false">LN(C775/C774)</f>
        <v>3.32543542451486E-005</v>
      </c>
      <c r="F775" s="1" t="n">
        <f aca="false">B775/B774-1</f>
        <v>-0.00647716068785253</v>
      </c>
      <c r="G775" s="1" t="n">
        <f aca="false">C775/C774-1</f>
        <v>3.32549071773158E-005</v>
      </c>
    </row>
    <row r="776" customFormat="false" ht="15" hidden="false" customHeight="false" outlineLevel="0" collapsed="false">
      <c r="A776" s="1" t="s">
        <v>783</v>
      </c>
      <c r="B776" s="5" t="n">
        <v>36.9577</v>
      </c>
      <c r="C776" s="5" t="n">
        <v>12.0289</v>
      </c>
      <c r="D776" s="1" t="n">
        <f aca="false">LN(B776/B775)</f>
        <v>-0.000657292384872144</v>
      </c>
      <c r="E776" s="1" t="n">
        <f aca="false">LN(C776/C775)</f>
        <v>1.6626762437128E-005</v>
      </c>
      <c r="F776" s="1" t="n">
        <f aca="false">B776/B775-1</f>
        <v>-0.000657076415553459</v>
      </c>
      <c r="G776" s="1" t="n">
        <f aca="false">C776/C775-1</f>
        <v>1.66269006625086E-005</v>
      </c>
    </row>
    <row r="777" customFormat="false" ht="15" hidden="false" customHeight="false" outlineLevel="0" collapsed="false">
      <c r="A777" s="1" t="s">
        <v>784</v>
      </c>
      <c r="B777" s="5" t="n">
        <v>36.9312</v>
      </c>
      <c r="C777" s="5" t="n">
        <v>12.0291</v>
      </c>
      <c r="D777" s="1" t="n">
        <f aca="false">LN(B777/B776)</f>
        <v>-0.00071729315597379</v>
      </c>
      <c r="E777" s="1" t="n">
        <f aca="false">LN(C777/C776)</f>
        <v>1.66264859926385E-005</v>
      </c>
      <c r="F777" s="1" t="n">
        <f aca="false">B777/B776-1</f>
        <v>-0.000717035962735979</v>
      </c>
      <c r="G777" s="1" t="n">
        <f aca="false">C777/C776-1</f>
        <v>1.66266242134228E-005</v>
      </c>
    </row>
    <row r="778" customFormat="false" ht="15" hidden="false" customHeight="false" outlineLevel="0" collapsed="false">
      <c r="A778" s="1" t="s">
        <v>785</v>
      </c>
      <c r="B778" s="5" t="n">
        <v>36.9063</v>
      </c>
      <c r="C778" s="5" t="n">
        <v>12.0293</v>
      </c>
      <c r="D778" s="1" t="n">
        <f aca="false">LN(B778/B777)</f>
        <v>-0.000674454063149122</v>
      </c>
      <c r="E778" s="1" t="n">
        <f aca="false">LN(C778/C777)</f>
        <v>1.66262095570306E-005</v>
      </c>
      <c r="F778" s="1" t="n">
        <f aca="false">B778/B777-1</f>
        <v>-0.000674226670132394</v>
      </c>
      <c r="G778" s="1" t="n">
        <f aca="false">C778/C777-1</f>
        <v>1.66263477732187E-005</v>
      </c>
    </row>
    <row r="779" customFormat="false" ht="15" hidden="false" customHeight="false" outlineLevel="0" collapsed="false">
      <c r="A779" s="1" t="s">
        <v>786</v>
      </c>
      <c r="B779" s="5" t="n">
        <v>36.8938</v>
      </c>
      <c r="C779" s="5" t="n">
        <v>12.0294</v>
      </c>
      <c r="D779" s="1" t="n">
        <f aca="false">LN(B779/B778)</f>
        <v>-0.000338752931758574</v>
      </c>
      <c r="E779" s="1" t="n">
        <f aca="false">LN(C779/C778)</f>
        <v>8.31300111830276E-006</v>
      </c>
      <c r="F779" s="1" t="n">
        <f aca="false">B779/B778-1</f>
        <v>-0.000338695561462488</v>
      </c>
      <c r="G779" s="1" t="n">
        <f aca="false">C779/C778-1</f>
        <v>8.3130356713923E-006</v>
      </c>
    </row>
    <row r="780" customFormat="false" ht="15" hidden="false" customHeight="false" outlineLevel="0" collapsed="false">
      <c r="A780" s="1" t="s">
        <v>787</v>
      </c>
      <c r="B780" s="5" t="n">
        <v>37.0796</v>
      </c>
      <c r="C780" s="5" t="n">
        <v>12.0302</v>
      </c>
      <c r="D780" s="1" t="n">
        <f aca="false">LN(B780/B779)</f>
        <v>0.00502343790391257</v>
      </c>
      <c r="E780" s="1" t="n">
        <f aca="false">LN(C780/C779)</f>
        <v>6.6501521246857E-005</v>
      </c>
      <c r="F780" s="1" t="n">
        <f aca="false">B780/B779-1</f>
        <v>0.0050360765223425</v>
      </c>
      <c r="G780" s="1" t="n">
        <f aca="false">C780/C779-1</f>
        <v>6.65037325220386E-005</v>
      </c>
    </row>
    <row r="781" customFormat="false" ht="15" hidden="false" customHeight="false" outlineLevel="0" collapsed="false">
      <c r="A781" s="1" t="s">
        <v>788</v>
      </c>
      <c r="B781" s="5" t="n">
        <v>37.0869</v>
      </c>
      <c r="C781" s="5" t="n">
        <v>12.0306</v>
      </c>
      <c r="D781" s="1" t="n">
        <f aca="false">LN(B781/B780)</f>
        <v>0.00019685437558934</v>
      </c>
      <c r="E781" s="1" t="n">
        <f aca="false">LN(C781/C780)</f>
        <v>3.32491022772898E-005</v>
      </c>
      <c r="F781" s="1" t="n">
        <f aca="false">B781/B780-1</f>
        <v>0.000196873752683402</v>
      </c>
      <c r="G781" s="1" t="n">
        <f aca="false">C781/C780-1</f>
        <v>3.32496550348171E-005</v>
      </c>
    </row>
    <row r="782" customFormat="false" ht="15" hidden="false" customHeight="false" outlineLevel="0" collapsed="false">
      <c r="A782" s="1" t="s">
        <v>789</v>
      </c>
      <c r="B782" s="5" t="n">
        <v>36.7729</v>
      </c>
      <c r="C782" s="5" t="n">
        <v>12.0309</v>
      </c>
      <c r="D782" s="1" t="n">
        <f aca="false">LN(B782/B781)</f>
        <v>-0.00850264668241458</v>
      </c>
      <c r="E782" s="1" t="n">
        <f aca="false">LN(C782/C781)</f>
        <v>2.49361012420222E-005</v>
      </c>
      <c r="F782" s="1" t="n">
        <f aca="false">B782/B781-1</f>
        <v>-0.00846660141451561</v>
      </c>
      <c r="G782" s="1" t="n">
        <f aca="false">C782/C781-1</f>
        <v>2.49364121491791E-005</v>
      </c>
    </row>
    <row r="783" customFormat="false" ht="15" hidden="false" customHeight="false" outlineLevel="0" collapsed="false">
      <c r="A783" s="1" t="s">
        <v>790</v>
      </c>
      <c r="B783" s="5" t="n">
        <v>36.3446</v>
      </c>
      <c r="C783" s="5" t="n">
        <v>12.0309</v>
      </c>
      <c r="D783" s="1" t="n">
        <f aca="false">LN(B783/B782)</f>
        <v>-0.0117155236104826</v>
      </c>
      <c r="E783" s="1" t="n">
        <f aca="false">LN(C783/C782)</f>
        <v>0</v>
      </c>
      <c r="F783" s="1" t="n">
        <f aca="false">B783/B782-1</f>
        <v>-0.0116471640800698</v>
      </c>
      <c r="G783" s="1" t="n">
        <f aca="false">C783/C782-1</f>
        <v>0</v>
      </c>
    </row>
    <row r="784" customFormat="false" ht="15" hidden="false" customHeight="false" outlineLevel="0" collapsed="false">
      <c r="A784" s="1" t="s">
        <v>791</v>
      </c>
      <c r="B784" s="5" t="n">
        <v>36.5812</v>
      </c>
      <c r="C784" s="5" t="n">
        <v>12.0311</v>
      </c>
      <c r="D784" s="1" t="n">
        <f aca="false">LN(B784/B783)</f>
        <v>0.00648881000038041</v>
      </c>
      <c r="E784" s="1" t="n">
        <f aca="false">LN(C784/C783)</f>
        <v>1.66237220517725E-005</v>
      </c>
      <c r="F784" s="1" t="n">
        <f aca="false">B784/B783-1</f>
        <v>0.00650990793680495</v>
      </c>
      <c r="G784" s="1" t="n">
        <f aca="false">C784/C783-1</f>
        <v>1.66238602266056E-005</v>
      </c>
    </row>
    <row r="785" customFormat="false" ht="15" hidden="false" customHeight="false" outlineLevel="0" collapsed="false">
      <c r="A785" s="1" t="s">
        <v>792</v>
      </c>
      <c r="B785" s="5" t="n">
        <v>36.684</v>
      </c>
      <c r="C785" s="5" t="n">
        <v>12.0316</v>
      </c>
      <c r="D785" s="1" t="n">
        <f aca="false">LN(B785/B784)</f>
        <v>0.00280624546067176</v>
      </c>
      <c r="E785" s="1" t="n">
        <f aca="false">LN(C785/C784)</f>
        <v>4.15580961464018E-005</v>
      </c>
      <c r="F785" s="1" t="n">
        <f aca="false">B785/B784-1</f>
        <v>0.0028101866532535</v>
      </c>
      <c r="G785" s="1" t="n">
        <f aca="false">C785/C784-1</f>
        <v>4.1558959696042E-005</v>
      </c>
    </row>
    <row r="786" customFormat="false" ht="15" hidden="false" customHeight="false" outlineLevel="0" collapsed="false">
      <c r="A786" s="1" t="s">
        <v>793</v>
      </c>
      <c r="B786" s="5" t="n">
        <v>36.3725</v>
      </c>
      <c r="C786" s="5" t="n">
        <v>12.0317</v>
      </c>
      <c r="D786" s="1" t="n">
        <f aca="false">LN(B786/B785)</f>
        <v>-0.00852769808929089</v>
      </c>
      <c r="E786" s="1" t="n">
        <f aca="false">LN(C786/C785)</f>
        <v>8.31141198447584E-006</v>
      </c>
      <c r="F786" s="1" t="n">
        <f aca="false">B786/B785-1</f>
        <v>-0.00849144040998784</v>
      </c>
      <c r="G786" s="1" t="n">
        <f aca="false">C786/C785-1</f>
        <v>8.31144652435611E-006</v>
      </c>
    </row>
    <row r="787" customFormat="false" ht="15" hidden="false" customHeight="false" outlineLevel="0" collapsed="false">
      <c r="A787" s="1" t="s">
        <v>794</v>
      </c>
      <c r="B787" s="5" t="n">
        <v>35.5354</v>
      </c>
      <c r="C787" s="5" t="n">
        <v>12.032</v>
      </c>
      <c r="D787" s="1" t="n">
        <f aca="false">LN(B787/B786)</f>
        <v>-0.0232836118842337</v>
      </c>
      <c r="E787" s="1" t="n">
        <f aca="false">LN(C787/C786)</f>
        <v>2.49338214834211E-005</v>
      </c>
      <c r="F787" s="1" t="n">
        <f aca="false">B787/B786-1</f>
        <v>-0.0230146401814557</v>
      </c>
      <c r="G787" s="1" t="n">
        <f aca="false">C787/C786-1</f>
        <v>2.49341323337315E-005</v>
      </c>
    </row>
    <row r="788" customFormat="false" ht="15" hidden="false" customHeight="false" outlineLevel="0" collapsed="false">
      <c r="A788" s="1" t="s">
        <v>795</v>
      </c>
      <c r="B788" s="5" t="n">
        <v>35.8867</v>
      </c>
      <c r="C788" s="5" t="n">
        <v>12.0321</v>
      </c>
      <c r="D788" s="1" t="n">
        <f aca="false">LN(B788/B787)</f>
        <v>0.00983737059118073</v>
      </c>
      <c r="E788" s="1" t="n">
        <f aca="false">LN(C788/C787)</f>
        <v>8.31113567513209E-006</v>
      </c>
      <c r="F788" s="1" t="n">
        <f aca="false">B788/B787-1</f>
        <v>0.00988591657896065</v>
      </c>
      <c r="G788" s="1" t="n">
        <f aca="false">C788/C787-1</f>
        <v>8.31117021271588E-006</v>
      </c>
    </row>
    <row r="789" customFormat="false" ht="15" hidden="false" customHeight="false" outlineLevel="0" collapsed="false">
      <c r="A789" s="1" t="s">
        <v>796</v>
      </c>
      <c r="B789" s="5" t="n">
        <v>36.2554</v>
      </c>
      <c r="C789" s="5" t="n">
        <v>12.0329</v>
      </c>
      <c r="D789" s="1" t="n">
        <f aca="false">LN(B789/B788)</f>
        <v>0.0102215824093107</v>
      </c>
      <c r="E789" s="1" t="n">
        <f aca="false">LN(C789/C788)</f>
        <v>6.64865988193096E-005</v>
      </c>
      <c r="F789" s="1" t="n">
        <f aca="false">B789/B788-1</f>
        <v>0.0102740012316542</v>
      </c>
      <c r="G789" s="1" t="n">
        <f aca="false">C789/C788-1</f>
        <v>6.64888091022053E-005</v>
      </c>
    </row>
    <row r="790" customFormat="false" ht="15" hidden="false" customHeight="false" outlineLevel="0" collapsed="false">
      <c r="A790" s="1" t="s">
        <v>797</v>
      </c>
      <c r="B790" s="5" t="n">
        <v>36.447</v>
      </c>
      <c r="C790" s="5" t="n">
        <v>12.0331</v>
      </c>
      <c r="D790" s="1" t="n">
        <f aca="false">LN(B790/B789)</f>
        <v>0.00527081481705062</v>
      </c>
      <c r="E790" s="1" t="n">
        <f aca="false">LN(C790/C789)</f>
        <v>1.66209590297041E-005</v>
      </c>
      <c r="F790" s="1" t="n">
        <f aca="false">B790/B789-1</f>
        <v>0.00528472999884166</v>
      </c>
      <c r="G790" s="1" t="n">
        <f aca="false">C790/C789-1</f>
        <v>1.66210971586089E-005</v>
      </c>
    </row>
    <row r="791" customFormat="false" ht="15" hidden="false" customHeight="false" outlineLevel="0" collapsed="false">
      <c r="A791" s="1" t="s">
        <v>798</v>
      </c>
      <c r="B791" s="5" t="n">
        <v>36.4508</v>
      </c>
      <c r="C791" s="5" t="n">
        <v>12.0332</v>
      </c>
      <c r="D791" s="1" t="n">
        <f aca="false">LN(B791/B790)</f>
        <v>0.000104255546901069</v>
      </c>
      <c r="E791" s="1" t="n">
        <f aca="false">LN(C791/C790)</f>
        <v>8.31037592008133E-006</v>
      </c>
      <c r="F791" s="1" t="n">
        <f aca="false">B791/B790-1</f>
        <v>0.000104260981699467</v>
      </c>
      <c r="G791" s="1" t="n">
        <f aca="false">C791/C790-1</f>
        <v>8.31041045135095E-006</v>
      </c>
    </row>
    <row r="792" customFormat="false" ht="15" hidden="false" customHeight="false" outlineLevel="0" collapsed="false">
      <c r="A792" s="1" t="s">
        <v>799</v>
      </c>
      <c r="B792" s="5" t="n">
        <v>36.5226</v>
      </c>
      <c r="C792" s="5" t="n">
        <v>12.0333</v>
      </c>
      <c r="D792" s="1" t="n">
        <f aca="false">LN(B792/B791)</f>
        <v>0.00196784097136332</v>
      </c>
      <c r="E792" s="1" t="n">
        <f aca="false">LN(C792/C791)</f>
        <v>8.31030685812179E-006</v>
      </c>
      <c r="F792" s="1" t="n">
        <f aca="false">B792/B791-1</f>
        <v>0.0019697784410766</v>
      </c>
      <c r="G792" s="1" t="n">
        <f aca="false">C792/C791-1</f>
        <v>8.31034138881748E-006</v>
      </c>
    </row>
    <row r="793" customFormat="false" ht="15" hidden="false" customHeight="false" outlineLevel="0" collapsed="false">
      <c r="A793" s="1" t="s">
        <v>800</v>
      </c>
      <c r="B793" s="5" t="n">
        <v>36.2881</v>
      </c>
      <c r="C793" s="5" t="n">
        <v>12.0343</v>
      </c>
      <c r="D793" s="1" t="n">
        <f aca="false">LN(B793/B792)</f>
        <v>-0.00644138322556697</v>
      </c>
      <c r="E793" s="1" t="n">
        <f aca="false">LN(C793/C792)</f>
        <v>8.30992704361471E-005</v>
      </c>
      <c r="F793" s="1" t="n">
        <f aca="false">B793/B792-1</f>
        <v>-0.00642068198868639</v>
      </c>
      <c r="G793" s="1" t="n">
        <f aca="false">C793/C792-1</f>
        <v>8.31027232761628E-005</v>
      </c>
    </row>
    <row r="794" customFormat="false" ht="15" hidden="false" customHeight="false" outlineLevel="0" collapsed="false">
      <c r="A794" s="1" t="s">
        <v>801</v>
      </c>
      <c r="B794" s="5" t="n">
        <v>36.6838</v>
      </c>
      <c r="C794" s="5" t="n">
        <v>12.0345</v>
      </c>
      <c r="D794" s="1" t="n">
        <f aca="false">LN(B794/B793)</f>
        <v>0.0108453768802629</v>
      </c>
      <c r="E794" s="1" t="n">
        <f aca="false">LN(C794/C793)</f>
        <v>1.66190254607832E-005</v>
      </c>
      <c r="F794" s="1" t="n">
        <f aca="false">B794/B793-1</f>
        <v>0.0109044011673247</v>
      </c>
      <c r="G794" s="1" t="n">
        <f aca="false">C794/C793-1</f>
        <v>1.66191635575519E-005</v>
      </c>
    </row>
    <row r="795" customFormat="false" ht="15" hidden="false" customHeight="false" outlineLevel="0" collapsed="false">
      <c r="A795" s="1" t="s">
        <v>802</v>
      </c>
      <c r="B795" s="5" t="n">
        <v>37.2608</v>
      </c>
      <c r="C795" s="5" t="n">
        <v>12.0347</v>
      </c>
      <c r="D795" s="1" t="n">
        <f aca="false">LN(B795/B794)</f>
        <v>0.0156065949753825</v>
      </c>
      <c r="E795" s="1" t="n">
        <f aca="false">LN(C795/C794)</f>
        <v>1.6618749273415E-005</v>
      </c>
      <c r="F795" s="1" t="n">
        <f aca="false">B795/B794-1</f>
        <v>0.0157290138971427</v>
      </c>
      <c r="G795" s="1" t="n">
        <f aca="false">C795/C794-1</f>
        <v>1.66188873655937E-005</v>
      </c>
    </row>
    <row r="796" customFormat="false" ht="15" hidden="false" customHeight="false" outlineLevel="0" collapsed="false">
      <c r="A796" s="1" t="s">
        <v>803</v>
      </c>
      <c r="B796" s="5" t="n">
        <v>37.4523</v>
      </c>
      <c r="C796" s="5" t="n">
        <v>12.035</v>
      </c>
      <c r="D796" s="1" t="n">
        <f aca="false">LN(B796/B795)</f>
        <v>0.00512628760862701</v>
      </c>
      <c r="E796" s="1" t="n">
        <f aca="false">LN(C796/C795)</f>
        <v>2.49276060785329E-005</v>
      </c>
      <c r="F796" s="1" t="n">
        <f aca="false">B796/B795-1</f>
        <v>0.00513944950188927</v>
      </c>
      <c r="G796" s="1" t="n">
        <f aca="false">C796/C795-1</f>
        <v>2.4927916773887E-005</v>
      </c>
    </row>
    <row r="797" customFormat="false" ht="15" hidden="false" customHeight="false" outlineLevel="0" collapsed="false">
      <c r="A797" s="1" t="s">
        <v>804</v>
      </c>
      <c r="B797" s="5" t="n">
        <v>37.1902</v>
      </c>
      <c r="C797" s="5" t="n">
        <v>12.0356</v>
      </c>
      <c r="D797" s="1" t="n">
        <f aca="false">LN(B797/B796)</f>
        <v>-0.00702283758543804</v>
      </c>
      <c r="E797" s="1" t="n">
        <f aca="false">LN(C797/C796)</f>
        <v>4.98533480781906E-005</v>
      </c>
      <c r="F797" s="1" t="n">
        <f aca="false">B797/B796-1</f>
        <v>-0.00699823508836583</v>
      </c>
      <c r="G797" s="1" t="n">
        <f aca="false">C797/C796-1</f>
        <v>4.98545907769987E-005</v>
      </c>
    </row>
    <row r="798" customFormat="false" ht="15" hidden="false" customHeight="false" outlineLevel="0" collapsed="false">
      <c r="A798" s="1" t="s">
        <v>805</v>
      </c>
      <c r="B798" s="5" t="n">
        <v>37.1293</v>
      </c>
      <c r="C798" s="5" t="n">
        <v>12.0356</v>
      </c>
      <c r="D798" s="1" t="n">
        <f aca="false">LN(B798/B797)</f>
        <v>-0.0016388703807458</v>
      </c>
      <c r="E798" s="1" t="n">
        <f aca="false">LN(C798/C797)</f>
        <v>0</v>
      </c>
      <c r="F798" s="1" t="n">
        <f aca="false">B798/B797-1</f>
        <v>-0.00163752816602214</v>
      </c>
      <c r="G798" s="1" t="n">
        <f aca="false">C798/C797-1</f>
        <v>0</v>
      </c>
    </row>
    <row r="799" customFormat="false" ht="15" hidden="false" customHeight="false" outlineLevel="0" collapsed="false">
      <c r="A799" s="1" t="s">
        <v>806</v>
      </c>
      <c r="B799" s="5" t="n">
        <v>36.9194</v>
      </c>
      <c r="C799" s="5" t="n">
        <v>12.0358</v>
      </c>
      <c r="D799" s="1" t="n">
        <f aca="false">LN(B799/B798)</f>
        <v>-0.00566925718318372</v>
      </c>
      <c r="E799" s="1" t="n">
        <f aca="false">LN(C799/C798)</f>
        <v>1.66172304065326E-005</v>
      </c>
      <c r="F799" s="1" t="n">
        <f aca="false">B799/B798-1</f>
        <v>-0.00565321727045753</v>
      </c>
      <c r="G799" s="1" t="n">
        <f aca="false">C799/C798-1</f>
        <v>1.66173684734705E-005</v>
      </c>
    </row>
    <row r="800" customFormat="false" ht="15" hidden="false" customHeight="false" outlineLevel="0" collapsed="false">
      <c r="A800" s="1" t="s">
        <v>807</v>
      </c>
      <c r="B800" s="5" t="n">
        <v>36.7738</v>
      </c>
      <c r="C800" s="5" t="n">
        <v>12.0359</v>
      </c>
      <c r="D800" s="1" t="n">
        <f aca="false">LN(B800/B799)</f>
        <v>-0.00395152305657245</v>
      </c>
      <c r="E800" s="1" t="n">
        <f aca="false">LN(C800/C799)</f>
        <v>8.30851165484261E-006</v>
      </c>
      <c r="F800" s="1" t="n">
        <f aca="false">B800/B799-1</f>
        <v>-0.00394372606272042</v>
      </c>
      <c r="G800" s="1" t="n">
        <f aca="false">C800/C799-1</f>
        <v>8.30854617062116E-006</v>
      </c>
    </row>
    <row r="801" customFormat="false" ht="15" hidden="false" customHeight="false" outlineLevel="0" collapsed="false">
      <c r="A801" s="1" t="s">
        <v>808</v>
      </c>
      <c r="B801" s="5" t="n">
        <v>36.9959</v>
      </c>
      <c r="C801" s="5" t="n">
        <v>12.0361</v>
      </c>
      <c r="D801" s="1" t="n">
        <f aca="false">LN(B801/B800)</f>
        <v>0.00602146060169722</v>
      </c>
      <c r="E801" s="1" t="n">
        <f aca="false">LN(C801/C800)</f>
        <v>1.66168162182925E-005</v>
      </c>
      <c r="F801" s="1" t="n">
        <f aca="false">B801/B800-1</f>
        <v>0.00603962603810304</v>
      </c>
      <c r="G801" s="1" t="n">
        <f aca="false">C801/C800-1</f>
        <v>1.66169542783479E-005</v>
      </c>
    </row>
    <row r="802" customFormat="false" ht="15" hidden="false" customHeight="false" outlineLevel="0" collapsed="false">
      <c r="A802" s="1" t="s">
        <v>809</v>
      </c>
      <c r="B802" s="5" t="n">
        <v>36.9769</v>
      </c>
      <c r="C802" s="5" t="n">
        <v>12.0368</v>
      </c>
      <c r="D802" s="1" t="n">
        <f aca="false">LN(B802/B801)</f>
        <v>-0.000513702345127521</v>
      </c>
      <c r="E802" s="1" t="n">
        <f aca="false">LN(C802/C801)</f>
        <v>5.81566824268527E-005</v>
      </c>
      <c r="F802" s="1" t="n">
        <f aca="false">B802/B801-1</f>
        <v>-0.000513570422668419</v>
      </c>
      <c r="G802" s="1" t="n">
        <f aca="false">C802/C801-1</f>
        <v>5.81583735594915E-005</v>
      </c>
    </row>
    <row r="803" customFormat="false" ht="15" hidden="false" customHeight="false" outlineLevel="0" collapsed="false">
      <c r="A803" s="1" t="s">
        <v>810</v>
      </c>
      <c r="B803" s="5" t="n">
        <v>37.2737</v>
      </c>
      <c r="C803" s="5" t="n">
        <v>12.037</v>
      </c>
      <c r="D803" s="1" t="n">
        <f aca="false">LN(B803/B802)</f>
        <v>0.00799459077210853</v>
      </c>
      <c r="E803" s="1" t="n">
        <f aca="false">LN(C803/C802)</f>
        <v>1.66155737776923E-005</v>
      </c>
      <c r="F803" s="1" t="n">
        <f aca="false">B803/B802-1</f>
        <v>0.00802663284374838</v>
      </c>
      <c r="G803" s="1" t="n">
        <f aca="false">C803/C802-1</f>
        <v>1.66157118171029E-005</v>
      </c>
    </row>
    <row r="804" customFormat="false" ht="15" hidden="false" customHeight="false" outlineLevel="0" collapsed="false">
      <c r="A804" s="1" t="s">
        <v>811</v>
      </c>
      <c r="B804" s="5" t="n">
        <v>37.2313</v>
      </c>
      <c r="C804" s="5" t="n">
        <v>12.0372</v>
      </c>
      <c r="D804" s="1" t="n">
        <f aca="false">LN(B804/B803)</f>
        <v>-0.00113817876859965</v>
      </c>
      <c r="E804" s="1" t="n">
        <f aca="false">LN(C804/C803)</f>
        <v>1.66152977048963E-005</v>
      </c>
      <c r="F804" s="1" t="n">
        <f aca="false">B804/B803-1</f>
        <v>-0.00113753128881755</v>
      </c>
      <c r="G804" s="1" t="n">
        <f aca="false">C804/C803-1</f>
        <v>1.66154357397197E-005</v>
      </c>
    </row>
    <row r="805" customFormat="false" ht="15" hidden="false" customHeight="false" outlineLevel="0" collapsed="false">
      <c r="A805" s="1" t="s">
        <v>812</v>
      </c>
      <c r="B805" s="5" t="n">
        <v>36.959</v>
      </c>
      <c r="C805" s="5" t="n">
        <v>12.0375</v>
      </c>
      <c r="D805" s="1" t="n">
        <f aca="false">LN(B805/B804)</f>
        <v>-0.00734061522142386</v>
      </c>
      <c r="E805" s="1" t="n">
        <f aca="false">LN(C805/C804)</f>
        <v>2.49224289411814E-005</v>
      </c>
      <c r="F805" s="1" t="n">
        <f aca="false">B805/B804-1</f>
        <v>-0.0073137387090968</v>
      </c>
      <c r="G805" s="1" t="n">
        <f aca="false">C805/C804-1</f>
        <v>2.49227395074936E-005</v>
      </c>
    </row>
    <row r="806" customFormat="false" ht="15" hidden="false" customHeight="false" outlineLevel="0" collapsed="false">
      <c r="A806" s="1" t="s">
        <v>813</v>
      </c>
      <c r="B806" s="5" t="n">
        <v>37.0064</v>
      </c>
      <c r="C806" s="5" t="n">
        <v>12.0382</v>
      </c>
      <c r="D806" s="1" t="n">
        <f aca="false">LN(B806/B805)</f>
        <v>0.00128168052869805</v>
      </c>
      <c r="E806" s="1" t="n">
        <f aca="false">LN(C806/C805)</f>
        <v>5.81499188141685E-005</v>
      </c>
      <c r="F806" s="1" t="n">
        <f aca="false">B806/B805-1</f>
        <v>0.00128250223220316</v>
      </c>
      <c r="G806" s="1" t="n">
        <f aca="false">C806/C805-1</f>
        <v>5.81516095534695E-005</v>
      </c>
    </row>
    <row r="807" customFormat="false" ht="15" hidden="false" customHeight="false" outlineLevel="0" collapsed="false">
      <c r="A807" s="1" t="s">
        <v>814</v>
      </c>
      <c r="B807" s="5" t="n">
        <v>36.5562</v>
      </c>
      <c r="C807" s="5" t="n">
        <v>12.0382</v>
      </c>
      <c r="D807" s="1" t="n">
        <f aca="false">LN(B807/B806)</f>
        <v>-0.012240068206006</v>
      </c>
      <c r="E807" s="1" t="n">
        <f aca="false">LN(C807/C806)</f>
        <v>0</v>
      </c>
      <c r="F807" s="1" t="n">
        <f aca="false">B807/B806-1</f>
        <v>-0.012165463271218</v>
      </c>
      <c r="G807" s="1" t="n">
        <f aca="false">C807/C806-1</f>
        <v>0</v>
      </c>
    </row>
    <row r="808" customFormat="false" ht="15" hidden="false" customHeight="false" outlineLevel="0" collapsed="false">
      <c r="A808" s="1" t="s">
        <v>815</v>
      </c>
      <c r="B808" s="5" t="n">
        <v>36.4887</v>
      </c>
      <c r="C808" s="5" t="n">
        <v>12.0385</v>
      </c>
      <c r="D808" s="1" t="n">
        <f aca="false">LN(B808/B807)</f>
        <v>-0.00184817883832196</v>
      </c>
      <c r="E808" s="1" t="n">
        <f aca="false">LN(C808/C807)</f>
        <v>2.49203586884032E-005</v>
      </c>
      <c r="F808" s="1" t="n">
        <f aca="false">B808/B807-1</f>
        <v>-0.00184647200748422</v>
      </c>
      <c r="G808" s="1" t="n">
        <f aca="false">C808/C807-1</f>
        <v>2.49206692031212E-005</v>
      </c>
    </row>
    <row r="809" customFormat="false" ht="15" hidden="false" customHeight="false" outlineLevel="0" collapsed="false">
      <c r="A809" s="1" t="s">
        <v>816</v>
      </c>
      <c r="B809" s="5" t="n">
        <v>36.3105</v>
      </c>
      <c r="C809" s="5" t="n">
        <v>12.0386</v>
      </c>
      <c r="D809" s="1" t="n">
        <f aca="false">LN(B809/B808)</f>
        <v>-0.0048956679721261</v>
      </c>
      <c r="E809" s="1" t="n">
        <f aca="false">LN(C809/C808)</f>
        <v>8.30664822603549E-006</v>
      </c>
      <c r="F809" s="1" t="n">
        <f aca="false">B809/B808-1</f>
        <v>-0.00488370372197433</v>
      </c>
      <c r="G809" s="1" t="n">
        <f aca="false">C809/C808-1</f>
        <v>8.30668272633339E-006</v>
      </c>
    </row>
    <row r="810" customFormat="false" ht="15" hidden="false" customHeight="false" outlineLevel="0" collapsed="false">
      <c r="A810" s="1" t="s">
        <v>817</v>
      </c>
      <c r="B810" s="5" t="n">
        <v>36.7697</v>
      </c>
      <c r="C810" s="5" t="n">
        <v>12.0389</v>
      </c>
      <c r="D810" s="1" t="n">
        <f aca="false">LN(B810/B809)</f>
        <v>0.0125671808121246</v>
      </c>
      <c r="E810" s="1" t="n">
        <f aca="false">LN(C810/C809)</f>
        <v>2.49195306833893E-005</v>
      </c>
      <c r="F810" s="1" t="n">
        <f aca="false">B810/B809-1</f>
        <v>0.0126464796684156</v>
      </c>
      <c r="G810" s="1" t="n">
        <f aca="false">C810/C809-1</f>
        <v>2.49198411774731E-005</v>
      </c>
    </row>
    <row r="811" customFormat="false" ht="15" hidden="false" customHeight="false" outlineLevel="0" collapsed="false">
      <c r="A811" s="1" t="s">
        <v>818</v>
      </c>
      <c r="B811" s="5" t="n">
        <v>36.9013</v>
      </c>
      <c r="C811" s="5" t="n">
        <v>12.0395</v>
      </c>
      <c r="D811" s="1" t="n">
        <f aca="false">LN(B811/B810)</f>
        <v>0.00357264432344268</v>
      </c>
      <c r="E811" s="1" t="n">
        <f aca="false">LN(C811/C810)</f>
        <v>4.98371984952751E-005</v>
      </c>
      <c r="F811" s="1" t="n">
        <f aca="false">B811/B810-1</f>
        <v>0.00357903382404534</v>
      </c>
      <c r="G811" s="1" t="n">
        <f aca="false">C811/C810-1</f>
        <v>4.98384403890828E-005</v>
      </c>
    </row>
    <row r="812" customFormat="false" ht="15" hidden="false" customHeight="false" outlineLevel="0" collapsed="false">
      <c r="A812" s="1" t="s">
        <v>819</v>
      </c>
      <c r="B812" s="5" t="n">
        <v>36.7861</v>
      </c>
      <c r="C812" s="5" t="n">
        <v>12.0396</v>
      </c>
      <c r="D812" s="1" t="n">
        <f aca="false">LN(B812/B811)</f>
        <v>-0.00312672434781181</v>
      </c>
      <c r="E812" s="1" t="n">
        <f aca="false">LN(C812/C811)</f>
        <v>8.30595827922688E-006</v>
      </c>
      <c r="F812" s="1" t="n">
        <f aca="false">B812/B811-1</f>
        <v>-0.00312184123594561</v>
      </c>
      <c r="G812" s="1" t="n">
        <f aca="false">C812/C811-1</f>
        <v>8.30599277379385E-006</v>
      </c>
    </row>
    <row r="813" customFormat="false" ht="15" hidden="false" customHeight="false" outlineLevel="0" collapsed="false">
      <c r="A813" s="1" t="s">
        <v>820</v>
      </c>
      <c r="B813" s="5" t="n">
        <v>36.415</v>
      </c>
      <c r="C813" s="5" t="n">
        <v>12.0398</v>
      </c>
      <c r="D813" s="1" t="n">
        <f aca="false">LN(B813/B812)</f>
        <v>-0.0101392787605205</v>
      </c>
      <c r="E813" s="1" t="n">
        <f aca="false">LN(C813/C812)</f>
        <v>1.66117095945245E-005</v>
      </c>
      <c r="F813" s="1" t="n">
        <f aca="false">B813/B812-1</f>
        <v>-0.0100880495621988</v>
      </c>
      <c r="G813" s="1" t="n">
        <f aca="false">C813/C812-1</f>
        <v>1.66118475697363E-005</v>
      </c>
    </row>
    <row r="814" customFormat="false" ht="15" hidden="false" customHeight="false" outlineLevel="0" collapsed="false">
      <c r="A814" s="1" t="s">
        <v>821</v>
      </c>
      <c r="B814" s="5" t="n">
        <v>36.4802</v>
      </c>
      <c r="C814" s="5" t="n">
        <v>12.04</v>
      </c>
      <c r="D814" s="1" t="n">
        <f aca="false">LN(B814/B813)</f>
        <v>0.00178886997736395</v>
      </c>
      <c r="E814" s="1" t="n">
        <f aca="false">LN(C814/C813)</f>
        <v>1.6611433650067E-005</v>
      </c>
      <c r="F814" s="1" t="n">
        <f aca="false">B814/B813-1</f>
        <v>0.00179047095976936</v>
      </c>
      <c r="G814" s="1" t="n">
        <f aca="false">C814/C813-1</f>
        <v>1.66115716206949E-005</v>
      </c>
    </row>
    <row r="815" customFormat="false" ht="15" hidden="false" customHeight="false" outlineLevel="0" collapsed="false">
      <c r="A815" s="1" t="s">
        <v>822</v>
      </c>
      <c r="B815" s="5" t="n">
        <v>36.5561</v>
      </c>
      <c r="C815" s="5" t="n">
        <v>12.0402</v>
      </c>
      <c r="D815" s="1" t="n">
        <f aca="false">LN(B815/B814)</f>
        <v>0.0020784192880225</v>
      </c>
      <c r="E815" s="1" t="n">
        <f aca="false">LN(C815/C814)</f>
        <v>1.66111577151572E-005</v>
      </c>
      <c r="F815" s="1" t="n">
        <f aca="false">B815/B814-1</f>
        <v>0.00208058069857064</v>
      </c>
      <c r="G815" s="1" t="n">
        <f aca="false">C815/C814-1</f>
        <v>1.66112956812015E-005</v>
      </c>
    </row>
    <row r="816" customFormat="false" ht="15" hidden="false" customHeight="false" outlineLevel="0" collapsed="false">
      <c r="A816" s="1" t="s">
        <v>823</v>
      </c>
      <c r="B816" s="5" t="n">
        <v>36.8581</v>
      </c>
      <c r="C816" s="5" t="n">
        <v>12.0407</v>
      </c>
      <c r="D816" s="1" t="n">
        <f aca="false">LN(B816/B815)</f>
        <v>0.00822733758609877</v>
      </c>
      <c r="E816" s="1" t="n">
        <f aca="false">LN(C816/C815)</f>
        <v>4.15266871313339E-005</v>
      </c>
      <c r="F816" s="1" t="n">
        <f aca="false">B816/B815-1</f>
        <v>0.00826127513602382</v>
      </c>
      <c r="G816" s="1" t="n">
        <f aca="false">C816/C815-1</f>
        <v>4.15275493761413E-005</v>
      </c>
    </row>
    <row r="817" customFormat="false" ht="15" hidden="false" customHeight="false" outlineLevel="0" collapsed="false">
      <c r="A817" s="1" t="s">
        <v>824</v>
      </c>
      <c r="B817" s="5" t="n">
        <v>36.6691</v>
      </c>
      <c r="C817" s="5" t="n">
        <v>12.0411</v>
      </c>
      <c r="D817" s="1" t="n">
        <f aca="false">LN(B817/B816)</f>
        <v>-0.00514096596266222</v>
      </c>
      <c r="E817" s="1" t="n">
        <f aca="false">LN(C817/C816)</f>
        <v>3.32201081345988E-005</v>
      </c>
      <c r="F817" s="1" t="n">
        <f aca="false">B817/B816-1</f>
        <v>-0.00512777381362572</v>
      </c>
      <c r="G817" s="1" t="n">
        <f aca="false">C817/C816-1</f>
        <v>3.32206599285012E-005</v>
      </c>
    </row>
    <row r="818" customFormat="false" ht="15" hidden="false" customHeight="false" outlineLevel="0" collapsed="false">
      <c r="A818" s="1" t="s">
        <v>825</v>
      </c>
      <c r="B818" s="5" t="n">
        <v>36.3927</v>
      </c>
      <c r="C818" s="5" t="n">
        <v>12.0412</v>
      </c>
      <c r="D818" s="1" t="n">
        <f aca="false">LN(B818/B817)</f>
        <v>-0.00756623347928621</v>
      </c>
      <c r="E818" s="1" t="n">
        <f aca="false">LN(C818/C817)</f>
        <v>8.30485460280603E-006</v>
      </c>
      <c r="F818" s="1" t="n">
        <f aca="false">B818/B817-1</f>
        <v>-0.00753768159022183</v>
      </c>
      <c r="G818" s="1" t="n">
        <f aca="false">C818/C817-1</f>
        <v>8.30488908820648E-006</v>
      </c>
    </row>
    <row r="819" customFormat="false" ht="15" hidden="false" customHeight="false" outlineLevel="0" collapsed="false">
      <c r="A819" s="1" t="s">
        <v>826</v>
      </c>
      <c r="B819" s="5" t="n">
        <v>35.8834</v>
      </c>
      <c r="C819" s="5" t="n">
        <v>12.0414</v>
      </c>
      <c r="D819" s="1" t="n">
        <f aca="false">LN(B819/B818)</f>
        <v>-0.014093412066143</v>
      </c>
      <c r="E819" s="1" t="n">
        <f aca="false">LN(C819/C818)</f>
        <v>1.6609502296652E-005</v>
      </c>
      <c r="F819" s="1" t="n">
        <f aca="false">B819/B818-1</f>
        <v>-0.0139945648440483</v>
      </c>
      <c r="G819" s="1" t="n">
        <f aca="false">C819/C818-1</f>
        <v>1.6609640235199E-005</v>
      </c>
    </row>
    <row r="820" customFormat="false" ht="15" hidden="false" customHeight="false" outlineLevel="0" collapsed="false">
      <c r="A820" s="1" t="s">
        <v>827</v>
      </c>
      <c r="B820" s="5" t="n">
        <v>36.122</v>
      </c>
      <c r="C820" s="5" t="n">
        <v>12.0417</v>
      </c>
      <c r="D820" s="1" t="n">
        <f aca="false">LN(B820/B819)</f>
        <v>0.00662730498819941</v>
      </c>
      <c r="E820" s="1" t="n">
        <f aca="false">LN(C820/C819)</f>
        <v>2.49137361898897E-005</v>
      </c>
      <c r="F820" s="1" t="n">
        <f aca="false">B820/B819-1</f>
        <v>0.00664931416755366</v>
      </c>
      <c r="G820" s="1" t="n">
        <f aca="false">C820/C819-1</f>
        <v>2.49140465395925E-005</v>
      </c>
    </row>
    <row r="821" customFormat="false" ht="15" hidden="false" customHeight="false" outlineLevel="0" collapsed="false">
      <c r="A821" s="1" t="s">
        <v>828</v>
      </c>
      <c r="B821" s="5" t="n">
        <v>35.9106</v>
      </c>
      <c r="C821" s="5" t="n">
        <v>12.0424</v>
      </c>
      <c r="D821" s="1" t="n">
        <f aca="false">LN(B821/B820)</f>
        <v>-0.00586958146530357</v>
      </c>
      <c r="E821" s="1" t="n">
        <f aca="false">LN(C821/C820)</f>
        <v>5.81296374119668E-005</v>
      </c>
      <c r="F821" s="1" t="n">
        <f aca="false">B821/B820-1</f>
        <v>-0.00585238912574049</v>
      </c>
      <c r="G821" s="1" t="n">
        <f aca="false">C821/C820-1</f>
        <v>5.81313269720773E-005</v>
      </c>
    </row>
    <row r="822" customFormat="false" ht="15" hidden="false" customHeight="false" outlineLevel="0" collapsed="false">
      <c r="A822" s="1" t="s">
        <v>829</v>
      </c>
      <c r="B822" s="5" t="n">
        <v>35.6711</v>
      </c>
      <c r="C822" s="5" t="n">
        <v>12.0428</v>
      </c>
      <c r="D822" s="1" t="n">
        <f aca="false">LN(B822/B821)</f>
        <v>-0.00669167940143983</v>
      </c>
      <c r="E822" s="1" t="n">
        <f aca="false">LN(C822/C821)</f>
        <v>3.32154186001855E-005</v>
      </c>
      <c r="F822" s="1" t="n">
        <f aca="false">B822/B821-1</f>
        <v>-0.00666933997204167</v>
      </c>
      <c r="G822" s="1" t="n">
        <f aca="false">C822/C821-1</f>
        <v>3.32159702383095E-005</v>
      </c>
    </row>
    <row r="823" customFormat="false" ht="15" hidden="false" customHeight="false" outlineLevel="0" collapsed="false">
      <c r="A823" s="1" t="s">
        <v>830</v>
      </c>
      <c r="B823" s="5" t="n">
        <v>35.7247</v>
      </c>
      <c r="C823" s="5" t="n">
        <v>12.0431</v>
      </c>
      <c r="D823" s="1" t="n">
        <f aca="false">LN(B823/B822)</f>
        <v>0.00150148916518781</v>
      </c>
      <c r="E823" s="1" t="n">
        <f aca="false">LN(C823/C822)</f>
        <v>2.49108399532941E-005</v>
      </c>
      <c r="F823" s="1" t="n">
        <f aca="false">B823/B822-1</f>
        <v>0.00150261696443321</v>
      </c>
      <c r="G823" s="1" t="n">
        <f aca="false">C823/C822-1</f>
        <v>2.49111502308441E-005</v>
      </c>
    </row>
    <row r="824" customFormat="false" ht="15" hidden="false" customHeight="false" outlineLevel="0" collapsed="false">
      <c r="A824" s="1" t="s">
        <v>831</v>
      </c>
      <c r="B824" s="5" t="n">
        <v>35.5635</v>
      </c>
      <c r="C824" s="5" t="n">
        <v>12.0435</v>
      </c>
      <c r="D824" s="1" t="n">
        <f aca="false">LN(B824/B823)</f>
        <v>-0.00452249530080394</v>
      </c>
      <c r="E824" s="1" t="n">
        <f aca="false">LN(C824/C823)</f>
        <v>3.32134880004593E-005</v>
      </c>
      <c r="F824" s="1" t="n">
        <f aca="false">B824/B823-1</f>
        <v>-0.00451228421792205</v>
      </c>
      <c r="G824" s="1" t="n">
        <f aca="false">C824/C823-1</f>
        <v>3.32140395744585E-005</v>
      </c>
    </row>
    <row r="825" customFormat="false" ht="15" hidden="false" customHeight="false" outlineLevel="0" collapsed="false">
      <c r="A825" s="1" t="s">
        <v>832</v>
      </c>
      <c r="B825" s="5" t="n">
        <v>35.6294</v>
      </c>
      <c r="C825" s="5" t="n">
        <v>12.0443</v>
      </c>
      <c r="D825" s="1" t="n">
        <f aca="false">LN(B825/B824)</f>
        <v>0.00185130873505169</v>
      </c>
      <c r="E825" s="1" t="n">
        <f aca="false">LN(C825/C824)</f>
        <v>6.64236667769296E-005</v>
      </c>
      <c r="F825" s="1" t="n">
        <f aca="false">B825/B824-1</f>
        <v>0.00185302346506955</v>
      </c>
      <c r="G825" s="1" t="n">
        <f aca="false">C825/C824-1</f>
        <v>6.64258728775291E-005</v>
      </c>
    </row>
    <row r="826" customFormat="false" ht="15" hidden="false" customHeight="false" outlineLevel="0" collapsed="false">
      <c r="A826" s="1" t="s">
        <v>833</v>
      </c>
      <c r="B826" s="5" t="n">
        <v>35.9265</v>
      </c>
      <c r="C826" s="5" t="n">
        <v>12.0447</v>
      </c>
      <c r="D826" s="1" t="n">
        <f aca="false">LN(B826/B825)</f>
        <v>0.00830404501270987</v>
      </c>
      <c r="E826" s="1" t="n">
        <f aca="false">LN(C826/C825)</f>
        <v>3.32101789229931E-005</v>
      </c>
      <c r="F826" s="1" t="n">
        <f aca="false">B826/B825-1</f>
        <v>0.00833861923018642</v>
      </c>
      <c r="G826" s="1" t="n">
        <f aca="false">C826/C825-1</f>
        <v>3.32107303870899E-005</v>
      </c>
    </row>
    <row r="827" customFormat="false" ht="15" hidden="false" customHeight="false" outlineLevel="0" collapsed="false">
      <c r="A827" s="1" t="s">
        <v>834</v>
      </c>
      <c r="B827" s="5" t="n">
        <v>36.0703</v>
      </c>
      <c r="C827" s="5" t="n">
        <v>12.0449</v>
      </c>
      <c r="D827" s="1" t="n">
        <f aca="false">LN(B827/B826)</f>
        <v>0.00399462729506232</v>
      </c>
      <c r="E827" s="1" t="n">
        <f aca="false">LN(C827/C826)</f>
        <v>1.6604675877161E-005</v>
      </c>
      <c r="F827" s="1" t="n">
        <f aca="false">B827/B826-1</f>
        <v>0.00400261645303623</v>
      </c>
      <c r="G827" s="1" t="n">
        <f aca="false">C827/C826-1</f>
        <v>1.66048137355546E-005</v>
      </c>
    </row>
    <row r="828" customFormat="false" ht="15" hidden="false" customHeight="false" outlineLevel="0" collapsed="false">
      <c r="A828" s="1" t="s">
        <v>835</v>
      </c>
      <c r="B828" s="5" t="n">
        <v>35.9164</v>
      </c>
      <c r="C828" s="5" t="n">
        <v>12.0451</v>
      </c>
      <c r="D828" s="1" t="n">
        <f aca="false">LN(B828/B827)</f>
        <v>-0.00427579634771839</v>
      </c>
      <c r="E828" s="1" t="n">
        <f aca="false">LN(C828/C827)</f>
        <v>1.66044001662887E-005</v>
      </c>
      <c r="F828" s="1" t="n">
        <f aca="false">B828/B827-1</f>
        <v>-0.00426666814526078</v>
      </c>
      <c r="G828" s="1" t="n">
        <f aca="false">C828/C827-1</f>
        <v>1.66045380201041E-005</v>
      </c>
    </row>
    <row r="829" customFormat="false" ht="15" hidden="false" customHeight="false" outlineLevel="0" collapsed="false">
      <c r="A829" s="1" t="s">
        <v>836</v>
      </c>
      <c r="B829" s="5" t="n">
        <v>35.5959</v>
      </c>
      <c r="C829" s="5" t="n">
        <v>12.0453</v>
      </c>
      <c r="D829" s="1" t="n">
        <f aca="false">LN(B829/B828)</f>
        <v>-0.00896355300796416</v>
      </c>
      <c r="E829" s="1" t="n">
        <f aca="false">LN(C829/C828)</f>
        <v>1.6604124464964E-005</v>
      </c>
      <c r="F829" s="1" t="n">
        <f aca="false">B829/B828-1</f>
        <v>-0.0089235001280753</v>
      </c>
      <c r="G829" s="1" t="n">
        <f aca="false">C829/C828-1</f>
        <v>1.66042623142015E-005</v>
      </c>
    </row>
    <row r="830" customFormat="false" ht="15" hidden="false" customHeight="false" outlineLevel="0" collapsed="false">
      <c r="A830" s="1" t="s">
        <v>837</v>
      </c>
      <c r="B830" s="5" t="n">
        <v>35.6226</v>
      </c>
      <c r="C830" s="5" t="n">
        <v>12.046</v>
      </c>
      <c r="D830" s="1" t="n">
        <f aca="false">LN(B830/B829)</f>
        <v>0.000749805212154443</v>
      </c>
      <c r="E830" s="1" t="n">
        <f aca="false">LN(C830/C829)</f>
        <v>5.81122646097753E-005</v>
      </c>
      <c r="F830" s="1" t="n">
        <f aca="false">B830/B829-1</f>
        <v>0.000750086386353432</v>
      </c>
      <c r="G830" s="1" t="n">
        <f aca="false">C830/C829-1</f>
        <v>5.81139531601327E-005</v>
      </c>
    </row>
    <row r="831" customFormat="false" ht="15" hidden="false" customHeight="false" outlineLevel="0" collapsed="false">
      <c r="A831" s="1" t="s">
        <v>838</v>
      </c>
      <c r="B831" s="5" t="n">
        <v>35.7247</v>
      </c>
      <c r="C831" s="5" t="n">
        <v>12.0462</v>
      </c>
      <c r="D831" s="1" t="n">
        <f aca="false">LN(B831/B830)</f>
        <v>0.00286205840150842</v>
      </c>
      <c r="E831" s="1" t="n">
        <f aca="false">LN(C831/C830)</f>
        <v>1.66028839214656E-005</v>
      </c>
      <c r="F831" s="1" t="n">
        <f aca="false">B831/B830-1</f>
        <v>0.0028661580008198</v>
      </c>
      <c r="G831" s="1" t="n">
        <f aca="false">C831/C830-1</f>
        <v>1.66030217501056E-005</v>
      </c>
    </row>
    <row r="832" customFormat="false" ht="15" hidden="false" customHeight="false" outlineLevel="0" collapsed="false">
      <c r="A832" s="1" t="s">
        <v>839</v>
      </c>
      <c r="B832" s="5" t="n">
        <v>35.5221</v>
      </c>
      <c r="C832" s="5" t="n">
        <v>12.0464</v>
      </c>
      <c r="D832" s="1" t="n">
        <f aca="false">LN(B832/B831)</f>
        <v>-0.00568728830193946</v>
      </c>
      <c r="E832" s="1" t="n">
        <f aca="false">LN(C832/C831)</f>
        <v>1.66026082700997E-005</v>
      </c>
      <c r="F832" s="1" t="n">
        <f aca="false">B832/B831-1</f>
        <v>-0.00567114629374066</v>
      </c>
      <c r="G832" s="1" t="n">
        <f aca="false">C832/C831-1</f>
        <v>1.66027460941631E-005</v>
      </c>
    </row>
    <row r="833" customFormat="false" ht="15" hidden="false" customHeight="false" outlineLevel="0" collapsed="false">
      <c r="A833" s="1" t="s">
        <v>840</v>
      </c>
      <c r="B833" s="5" t="n">
        <v>35.3079</v>
      </c>
      <c r="C833" s="5" t="n">
        <v>12.0468</v>
      </c>
      <c r="D833" s="1" t="n">
        <f aca="false">LN(B833/B832)</f>
        <v>-0.00604830306332826</v>
      </c>
      <c r="E833" s="1" t="n">
        <f aca="false">LN(C833/C832)</f>
        <v>3.32043896232463E-005</v>
      </c>
      <c r="F833" s="1" t="n">
        <f aca="false">B833/B832-1</f>
        <v>-0.00603004889913616</v>
      </c>
      <c r="G833" s="1" t="n">
        <f aca="false">C833/C832-1</f>
        <v>3.3204940895093E-005</v>
      </c>
    </row>
    <row r="834" customFormat="false" ht="15" hidden="false" customHeight="false" outlineLevel="0" collapsed="false">
      <c r="A834" s="1" t="s">
        <v>841</v>
      </c>
      <c r="B834" s="5" t="n">
        <v>35.1877</v>
      </c>
      <c r="C834" s="5" t="n">
        <v>12.0469</v>
      </c>
      <c r="D834" s="1" t="n">
        <f aca="false">LN(B834/B833)</f>
        <v>-0.00341014521430267</v>
      </c>
      <c r="E834" s="1" t="n">
        <f aca="false">LN(C834/C833)</f>
        <v>8.30092513825998E-006</v>
      </c>
      <c r="F834" s="1" t="n">
        <f aca="false">B834/B833-1</f>
        <v>-0.00340433727296152</v>
      </c>
      <c r="G834" s="1" t="n">
        <f aca="false">C834/C833-1</f>
        <v>8.30095959103439E-006</v>
      </c>
    </row>
    <row r="835" customFormat="false" ht="15" hidden="false" customHeight="false" outlineLevel="0" collapsed="false">
      <c r="A835" s="1" t="s">
        <v>842</v>
      </c>
      <c r="B835" s="5" t="n">
        <v>34.6371</v>
      </c>
      <c r="C835" s="5" t="n">
        <v>12.0474</v>
      </c>
      <c r="D835" s="1" t="n">
        <f aca="false">LN(B835/B834)</f>
        <v>-0.0157712277754831</v>
      </c>
      <c r="E835" s="1" t="n">
        <f aca="false">LN(C835/C834)</f>
        <v>4.15035921416585E-005</v>
      </c>
      <c r="F835" s="1" t="n">
        <f aca="false">B835/B834-1</f>
        <v>-0.0156475131935308</v>
      </c>
      <c r="G835" s="1" t="n">
        <f aca="false">C835/C834-1</f>
        <v>4.15044534276543E-005</v>
      </c>
    </row>
    <row r="836" customFormat="false" ht="15" hidden="false" customHeight="false" outlineLevel="0" collapsed="false">
      <c r="A836" s="1" t="s">
        <v>843</v>
      </c>
      <c r="B836" s="5" t="n">
        <v>33.75</v>
      </c>
      <c r="C836" s="5" t="n">
        <v>12.0475</v>
      </c>
      <c r="D836" s="1" t="n">
        <f aca="false">LN(B836/B835)</f>
        <v>-0.0259449446263239</v>
      </c>
      <c r="E836" s="1" t="n">
        <f aca="false">LN(C836/C835)</f>
        <v>8.30051172661166E-006</v>
      </c>
      <c r="F836" s="1" t="n">
        <f aca="false">B836/B835-1</f>
        <v>-0.0256112665321288</v>
      </c>
      <c r="G836" s="1" t="n">
        <f aca="false">C836/C835-1</f>
        <v>8.30054617595444E-006</v>
      </c>
    </row>
    <row r="837" customFormat="false" ht="15" hidden="false" customHeight="false" outlineLevel="0" collapsed="false">
      <c r="A837" s="1" t="s">
        <v>844</v>
      </c>
      <c r="B837" s="5" t="n">
        <v>34.3321</v>
      </c>
      <c r="C837" s="5" t="n">
        <v>12.0477</v>
      </c>
      <c r="D837" s="1" t="n">
        <f aca="false">LN(B837/B836)</f>
        <v>0.0171003592676678</v>
      </c>
      <c r="E837" s="1" t="n">
        <f aca="false">LN(C837/C836)</f>
        <v>1.66008167607028E-005</v>
      </c>
      <c r="F837" s="1" t="n">
        <f aca="false">B837/B836-1</f>
        <v>0.0172474074074074</v>
      </c>
      <c r="G837" s="1" t="n">
        <f aca="false">C837/C836-1</f>
        <v>1.66009545550239E-005</v>
      </c>
    </row>
    <row r="838" customFormat="false" ht="15" hidden="false" customHeight="false" outlineLevel="0" collapsed="false">
      <c r="A838" s="1" t="s">
        <v>845</v>
      </c>
      <c r="B838" s="5" t="n">
        <v>33.6459</v>
      </c>
      <c r="C838" s="5" t="n">
        <v>12.0478</v>
      </c>
      <c r="D838" s="1" t="n">
        <f aca="false">LN(B838/B837)</f>
        <v>-0.020189570415155</v>
      </c>
      <c r="E838" s="1" t="n">
        <f aca="false">LN(C838/C837)</f>
        <v>8.30030503633043E-006</v>
      </c>
      <c r="F838" s="1" t="n">
        <f aca="false">B838/B837-1</f>
        <v>-0.0199871257511192</v>
      </c>
      <c r="G838" s="1" t="n">
        <f aca="false">C838/C837-1</f>
        <v>8.30033948395759E-006</v>
      </c>
    </row>
    <row r="839" customFormat="false" ht="15" hidden="false" customHeight="false" outlineLevel="0" collapsed="false">
      <c r="A839" s="1" t="s">
        <v>846</v>
      </c>
      <c r="B839" s="5" t="n">
        <v>33.7233</v>
      </c>
      <c r="C839" s="5" t="n">
        <v>12.0479</v>
      </c>
      <c r="D839" s="1" t="n">
        <f aca="false">LN(B839/B838)</f>
        <v>0.00229778694284237</v>
      </c>
      <c r="E839" s="1" t="n">
        <f aca="false">LN(C839/C838)</f>
        <v>8.30023614179044E-006</v>
      </c>
      <c r="F839" s="1" t="n">
        <f aca="false">B839/B838-1</f>
        <v>0.0023004288784072</v>
      </c>
      <c r="G839" s="1" t="n">
        <f aca="false">C839/C838-1</f>
        <v>8.30027058884575E-006</v>
      </c>
    </row>
    <row r="840" customFormat="false" ht="15" hidden="false" customHeight="false" outlineLevel="0" collapsed="false">
      <c r="A840" s="1" t="s">
        <v>847</v>
      </c>
      <c r="B840" s="5" t="n">
        <v>33.4253</v>
      </c>
      <c r="C840" s="5" t="n">
        <v>12.0486</v>
      </c>
      <c r="D840" s="1" t="n">
        <f aca="false">LN(B840/B839)</f>
        <v>-0.00887589484828918</v>
      </c>
      <c r="E840" s="1" t="n">
        <f aca="false">LN(C840/C839)</f>
        <v>5.80997240426989E-005</v>
      </c>
      <c r="F840" s="1" t="n">
        <f aca="false">B840/B839-1</f>
        <v>-0.00883662037819555</v>
      </c>
      <c r="G840" s="1" t="n">
        <f aca="false">C840/C839-1</f>
        <v>5.8101411864353E-005</v>
      </c>
    </row>
    <row r="841" customFormat="false" ht="15" hidden="false" customHeight="false" outlineLevel="0" collapsed="false">
      <c r="A841" s="1" t="s">
        <v>848</v>
      </c>
      <c r="B841" s="5" t="n">
        <v>33.5348</v>
      </c>
      <c r="C841" s="5" t="n">
        <v>12.0488</v>
      </c>
      <c r="D841" s="1" t="n">
        <f aca="false">LN(B841/B840)</f>
        <v>0.00327060735001714</v>
      </c>
      <c r="E841" s="1" t="n">
        <f aca="false">LN(C841/C840)</f>
        <v>1.65993011697848E-005</v>
      </c>
      <c r="F841" s="1" t="n">
        <f aca="false">B841/B840-1</f>
        <v>0.00327596162188515</v>
      </c>
      <c r="G841" s="1" t="n">
        <f aca="false">C841/C840-1</f>
        <v>1.65994389389468E-005</v>
      </c>
    </row>
    <row r="842" customFormat="false" ht="15" hidden="false" customHeight="false" outlineLevel="0" collapsed="false">
      <c r="A842" s="1" t="s">
        <v>849</v>
      </c>
      <c r="B842" s="5" t="n">
        <v>33.3895</v>
      </c>
      <c r="C842" s="5" t="n">
        <v>12.049</v>
      </c>
      <c r="D842" s="1" t="n">
        <f aca="false">LN(B842/B841)</f>
        <v>-0.00434222631545486</v>
      </c>
      <c r="E842" s="1" t="n">
        <f aca="false">LN(C842/C841)</f>
        <v>1.65990256374319E-005</v>
      </c>
      <c r="F842" s="1" t="n">
        <f aca="false">B842/B841-1</f>
        <v>-0.00433281248136264</v>
      </c>
      <c r="G842" s="1" t="n">
        <f aca="false">C842/C841-1</f>
        <v>1.65991634020202E-005</v>
      </c>
    </row>
    <row r="843" customFormat="false" ht="15" hidden="false" customHeight="false" outlineLevel="0" collapsed="false">
      <c r="A843" s="1" t="s">
        <v>850</v>
      </c>
      <c r="B843" s="5" t="n">
        <v>33.0852</v>
      </c>
      <c r="C843" s="5" t="n">
        <v>12.0491</v>
      </c>
      <c r="D843" s="1" t="n">
        <f aca="false">LN(B843/B842)</f>
        <v>-0.00915542681890085</v>
      </c>
      <c r="E843" s="1" t="n">
        <f aca="false">LN(C843/C842)</f>
        <v>8.29940949701544E-006</v>
      </c>
      <c r="F843" s="1" t="n">
        <f aca="false">B843/B842-1</f>
        <v>-0.00911364351068444</v>
      </c>
      <c r="G843" s="1" t="n">
        <f aca="false">C843/C842-1</f>
        <v>8.29944393720972E-006</v>
      </c>
    </row>
    <row r="844" customFormat="false" ht="15" hidden="false" customHeight="false" outlineLevel="0" collapsed="false">
      <c r="A844" s="1" t="s">
        <v>851</v>
      </c>
      <c r="B844" s="5" t="n">
        <v>33.1246</v>
      </c>
      <c r="C844" s="5" t="n">
        <v>12.0493</v>
      </c>
      <c r="D844" s="1" t="n">
        <f aca="false">LN(B844/B843)</f>
        <v>0.00119015628051278</v>
      </c>
      <c r="E844" s="1" t="n">
        <f aca="false">LN(C844/C843)</f>
        <v>1.65986123564435E-005</v>
      </c>
      <c r="F844" s="1" t="n">
        <f aca="false">B844/B843-1</f>
        <v>0.00119086479755293</v>
      </c>
      <c r="G844" s="1" t="n">
        <f aca="false">C844/C843-1</f>
        <v>1.65987501141718E-005</v>
      </c>
    </row>
    <row r="845" customFormat="false" ht="15" hidden="false" customHeight="false" outlineLevel="0" collapsed="false">
      <c r="A845" s="1" t="s">
        <v>852</v>
      </c>
      <c r="B845" s="5" t="n">
        <v>33.3272</v>
      </c>
      <c r="C845" s="5" t="n">
        <v>12.05</v>
      </c>
      <c r="D845" s="1" t="n">
        <f aca="false">LN(B845/B844)</f>
        <v>0.00609767162812567</v>
      </c>
      <c r="E845" s="1" t="n">
        <f aca="false">LN(C845/C844)</f>
        <v>5.80929736711565E-005</v>
      </c>
      <c r="F845" s="1" t="n">
        <f aca="false">B845/B844-1</f>
        <v>0.00611630027230503</v>
      </c>
      <c r="G845" s="1" t="n">
        <f aca="false">C845/C844-1</f>
        <v>5.80946611006272E-005</v>
      </c>
    </row>
    <row r="846" customFormat="false" ht="15" hidden="false" customHeight="false" outlineLevel="0" collapsed="false">
      <c r="A846" s="1" t="s">
        <v>853</v>
      </c>
      <c r="B846" s="5" t="n">
        <v>33.6947</v>
      </c>
      <c r="C846" s="5" t="n">
        <v>12.0506</v>
      </c>
      <c r="D846" s="1" t="n">
        <f aca="false">LN(B846/B845)</f>
        <v>0.0109666745705098</v>
      </c>
      <c r="E846" s="1" t="n">
        <f aca="false">LN(C846/C845)</f>
        <v>4.97912915133228E-005</v>
      </c>
      <c r="F846" s="1" t="n">
        <f aca="false">B846/B845-1</f>
        <v>0.0110270289733312</v>
      </c>
      <c r="G846" s="1" t="n">
        <f aca="false">C846/C845-1</f>
        <v>4.97925311202518E-005</v>
      </c>
    </row>
    <row r="847" customFormat="false" ht="15" hidden="false" customHeight="false" outlineLevel="0" collapsed="false">
      <c r="A847" s="1" t="s">
        <v>854</v>
      </c>
      <c r="B847" s="5" t="n">
        <v>33.8011</v>
      </c>
      <c r="C847" s="5" t="n">
        <v>12.0506</v>
      </c>
      <c r="D847" s="1" t="n">
        <f aca="false">LN(B847/B846)</f>
        <v>0.00315279137769998</v>
      </c>
      <c r="E847" s="1" t="n">
        <f aca="false">LN(C847/C846)</f>
        <v>0</v>
      </c>
      <c r="F847" s="1" t="n">
        <f aca="false">B847/B846-1</f>
        <v>0.00315776665172862</v>
      </c>
      <c r="G847" s="1" t="n">
        <f aca="false">C847/C846-1</f>
        <v>0</v>
      </c>
    </row>
    <row r="848" customFormat="false" ht="15" hidden="false" customHeight="false" outlineLevel="0" collapsed="false">
      <c r="A848" s="1" t="s">
        <v>855</v>
      </c>
      <c r="B848" s="5" t="n">
        <v>33.2249</v>
      </c>
      <c r="C848" s="5" t="n">
        <v>12.0507</v>
      </c>
      <c r="D848" s="1" t="n">
        <f aca="false">LN(B848/B847)</f>
        <v>-0.0171937515251257</v>
      </c>
      <c r="E848" s="1" t="n">
        <f aca="false">LN(C848/C847)</f>
        <v>8.29830756029241E-006</v>
      </c>
      <c r="F848" s="1" t="n">
        <f aca="false">B848/B847-1</f>
        <v>-0.0170467825011612</v>
      </c>
      <c r="G848" s="1" t="n">
        <f aca="false">C848/C847-1</f>
        <v>8.29834199134183E-006</v>
      </c>
    </row>
    <row r="849" customFormat="false" ht="15" hidden="false" customHeight="false" outlineLevel="0" collapsed="false">
      <c r="A849" s="1" t="s">
        <v>856</v>
      </c>
      <c r="B849" s="5" t="n">
        <v>33.5113</v>
      </c>
      <c r="C849" s="5" t="n">
        <v>12.051</v>
      </c>
      <c r="D849" s="1" t="n">
        <f aca="false">LN(B849/B848)</f>
        <v>0.00858310057348184</v>
      </c>
      <c r="E849" s="1" t="n">
        <f aca="false">LN(C849/C848)</f>
        <v>2.48945095170705E-005</v>
      </c>
      <c r="F849" s="1" t="n">
        <f aca="false">B849/B848-1</f>
        <v>0.00862004099335145</v>
      </c>
      <c r="G849" s="1" t="n">
        <f aca="false">C849/C848-1</f>
        <v>2.48948193879439E-005</v>
      </c>
    </row>
    <row r="850" customFormat="false" ht="15" hidden="false" customHeight="false" outlineLevel="0" collapsed="false">
      <c r="A850" s="1" t="s">
        <v>857</v>
      </c>
      <c r="B850" s="5" t="n">
        <v>33.7013</v>
      </c>
      <c r="C850" s="5" t="n">
        <v>12.0516</v>
      </c>
      <c r="D850" s="1" t="n">
        <f aca="false">LN(B850/B849)</f>
        <v>0.0056537168954795</v>
      </c>
      <c r="E850" s="1" t="n">
        <f aca="false">LN(C850/C849)</f>
        <v>4.97871599017049E-005</v>
      </c>
      <c r="F850" s="1" t="n">
        <f aca="false">B850/B849-1</f>
        <v>0.00566972931518639</v>
      </c>
      <c r="G850" s="1" t="n">
        <f aca="false">C850/C849-1</f>
        <v>4.97883993029191E-005</v>
      </c>
    </row>
    <row r="851" customFormat="false" ht="15" hidden="false" customHeight="false" outlineLevel="0" collapsed="false">
      <c r="A851" s="1" t="s">
        <v>858</v>
      </c>
      <c r="B851" s="5" t="n">
        <v>34.1888</v>
      </c>
      <c r="C851" s="5" t="n">
        <v>12.0518</v>
      </c>
      <c r="D851" s="1" t="n">
        <f aca="false">LN(B851/B850)</f>
        <v>0.0143616927714453</v>
      </c>
      <c r="E851" s="1" t="n">
        <f aca="false">LN(C851/C850)</f>
        <v>1.65951691465857E-005</v>
      </c>
      <c r="F851" s="1" t="n">
        <f aca="false">B851/B850-1</f>
        <v>0.0144653173616447</v>
      </c>
      <c r="G851" s="1" t="n">
        <f aca="false">C851/C850-1</f>
        <v>1.65953068471669E-005</v>
      </c>
    </row>
    <row r="852" customFormat="false" ht="15" hidden="false" customHeight="false" outlineLevel="0" collapsed="false">
      <c r="A852" s="1" t="s">
        <v>859</v>
      </c>
      <c r="B852" s="5" t="n">
        <v>33.9827</v>
      </c>
      <c r="C852" s="5" t="n">
        <v>12.0519</v>
      </c>
      <c r="D852" s="1" t="n">
        <f aca="false">LN(B852/B851)</f>
        <v>-0.00604653346126621</v>
      </c>
      <c r="E852" s="1" t="n">
        <f aca="false">LN(C852/C851)</f>
        <v>8.29748129964979E-006</v>
      </c>
      <c r="F852" s="1" t="n">
        <f aca="false">B852/B851-1</f>
        <v>-0.00602828996630478</v>
      </c>
      <c r="G852" s="1" t="n">
        <f aca="false">C852/C851-1</f>
        <v>8.29751572384296E-006</v>
      </c>
    </row>
    <row r="853" customFormat="false" ht="15" hidden="false" customHeight="false" outlineLevel="0" collapsed="false">
      <c r="A853" s="1" t="s">
        <v>860</v>
      </c>
      <c r="B853" s="5" t="n">
        <v>34.0154</v>
      </c>
      <c r="C853" s="5" t="n">
        <v>12.0523</v>
      </c>
      <c r="D853" s="1" t="n">
        <f aca="false">LN(B853/B852)</f>
        <v>0.000961791653612206</v>
      </c>
      <c r="E853" s="1" t="n">
        <f aca="false">LN(C853/C852)</f>
        <v>3.31892367337415E-005</v>
      </c>
      <c r="F853" s="1" t="n">
        <f aca="false">B853/B852-1</f>
        <v>0.000962254323523482</v>
      </c>
      <c r="G853" s="1" t="n">
        <f aca="false">C853/C852-1</f>
        <v>3.31897875025522E-005</v>
      </c>
    </row>
    <row r="854" customFormat="false" ht="15" hidden="false" customHeight="false" outlineLevel="0" collapsed="false">
      <c r="A854" s="1" t="s">
        <v>861</v>
      </c>
      <c r="B854" s="5" t="n">
        <v>34.0195</v>
      </c>
      <c r="C854" s="5" t="n">
        <v>12.0525</v>
      </c>
      <c r="D854" s="1" t="n">
        <f aca="false">LN(B854/B853)</f>
        <v>0.000120526377049529</v>
      </c>
      <c r="E854" s="1" t="n">
        <f aca="false">LN(C854/C853)</f>
        <v>1.65942053038099E-005</v>
      </c>
      <c r="F854" s="1" t="n">
        <f aca="false">B854/B853-1</f>
        <v>0.000120533640645126</v>
      </c>
      <c r="G854" s="1" t="n">
        <f aca="false">C854/C853-1</f>
        <v>1.65943429883964E-005</v>
      </c>
    </row>
    <row r="855" customFormat="false" ht="15" hidden="false" customHeight="false" outlineLevel="0" collapsed="false">
      <c r="A855" s="1" t="s">
        <v>862</v>
      </c>
      <c r="B855" s="5" t="n">
        <v>33.674</v>
      </c>
      <c r="C855" s="5" t="n">
        <v>12.0531</v>
      </c>
      <c r="D855" s="1" t="n">
        <f aca="false">LN(B855/B854)</f>
        <v>-0.0102078633871829</v>
      </c>
      <c r="E855" s="1" t="n">
        <f aca="false">LN(C855/C854)</f>
        <v>4.97809637697094E-005</v>
      </c>
      <c r="F855" s="1" t="n">
        <f aca="false">B855/B854-1</f>
        <v>-0.0101559399756023</v>
      </c>
      <c r="G855" s="1" t="n">
        <f aca="false">C855/C854-1</f>
        <v>4.97822028624473E-005</v>
      </c>
    </row>
    <row r="856" customFormat="false" ht="15" hidden="false" customHeight="false" outlineLevel="0" collapsed="false">
      <c r="A856" s="1" t="s">
        <v>863</v>
      </c>
      <c r="B856" s="5" t="n">
        <v>33.6417</v>
      </c>
      <c r="C856" s="5" t="n">
        <v>12.0532</v>
      </c>
      <c r="D856" s="1" t="n">
        <f aca="false">LN(B856/B855)</f>
        <v>-0.000959657330425736</v>
      </c>
      <c r="E856" s="1" t="n">
        <f aca="false">LN(C856/C855)</f>
        <v>8.29658636961761E-006</v>
      </c>
      <c r="F856" s="1" t="n">
        <f aca="false">B856/B855-1</f>
        <v>-0.000959197006592638</v>
      </c>
      <c r="G856" s="1" t="n">
        <f aca="false">C856/C855-1</f>
        <v>8.29662078638549E-006</v>
      </c>
    </row>
    <row r="857" customFormat="false" ht="15" hidden="false" customHeight="false" outlineLevel="0" collapsed="false">
      <c r="A857" s="1" t="s">
        <v>864</v>
      </c>
      <c r="B857" s="5" t="n">
        <v>33.9259</v>
      </c>
      <c r="C857" s="5" t="n">
        <v>12.0532</v>
      </c>
      <c r="D857" s="1" t="n">
        <f aca="false">LN(B857/B856)</f>
        <v>0.00841236557218717</v>
      </c>
      <c r="E857" s="1" t="n">
        <f aca="false">LN(C857/C856)</f>
        <v>0</v>
      </c>
      <c r="F857" s="1" t="n">
        <f aca="false">B857/B856-1</f>
        <v>0.00844784894936934</v>
      </c>
      <c r="G857" s="1" t="n">
        <f aca="false">C857/C856-1</f>
        <v>0</v>
      </c>
    </row>
    <row r="858" customFormat="false" ht="15" hidden="false" customHeight="false" outlineLevel="0" collapsed="false">
      <c r="A858" s="1" t="s">
        <v>865</v>
      </c>
      <c r="B858" s="5" t="n">
        <v>34.1649</v>
      </c>
      <c r="C858" s="5" t="n">
        <v>12.0533</v>
      </c>
      <c r="D858" s="1" t="n">
        <f aca="false">LN(B858/B857)</f>
        <v>0.0070200667790413</v>
      </c>
      <c r="E858" s="1" t="n">
        <f aca="false">LN(C858/C857)</f>
        <v>8.29651753680525E-006</v>
      </c>
      <c r="F858" s="1" t="n">
        <f aca="false">B858/B857-1</f>
        <v>0.00704476520888187</v>
      </c>
      <c r="G858" s="1" t="n">
        <f aca="false">C858/C857-1</f>
        <v>8.29655195300205E-006</v>
      </c>
    </row>
    <row r="859" customFormat="false" ht="15" hidden="false" customHeight="false" outlineLevel="0" collapsed="false">
      <c r="A859" s="1" t="s">
        <v>866</v>
      </c>
      <c r="B859" s="5" t="n">
        <v>34.7401</v>
      </c>
      <c r="C859" s="5" t="n">
        <v>12.0538</v>
      </c>
      <c r="D859" s="1" t="n">
        <f aca="false">LN(B859/B858)</f>
        <v>0.0166958380785997</v>
      </c>
      <c r="E859" s="1" t="n">
        <f aca="false">LN(C859/C858)</f>
        <v>4.14815552324795E-005</v>
      </c>
      <c r="F859" s="1" t="n">
        <f aca="false">B859/B858-1</f>
        <v>0.0168359924952215</v>
      </c>
      <c r="G859" s="1" t="n">
        <f aca="false">C859/C858-1</f>
        <v>4.14824156040883E-005</v>
      </c>
    </row>
    <row r="860" customFormat="false" ht="15" hidden="false" customHeight="false" outlineLevel="0" collapsed="false">
      <c r="A860" s="1" t="s">
        <v>867</v>
      </c>
      <c r="B860" s="5" t="n">
        <v>34.8687</v>
      </c>
      <c r="C860" s="5" t="n">
        <v>12.0549</v>
      </c>
      <c r="D860" s="1" t="n">
        <f aca="false">LN(B860/B859)</f>
        <v>0.00369493932692647</v>
      </c>
      <c r="E860" s="1" t="n">
        <f aca="false">LN(C860/C859)</f>
        <v>9.12533650309824E-005</v>
      </c>
      <c r="F860" s="1" t="n">
        <f aca="false">B860/B859-1</f>
        <v>0.00370177403058714</v>
      </c>
      <c r="G860" s="1" t="n">
        <f aca="false">C860/C859-1</f>
        <v>9.12575287459472E-005</v>
      </c>
    </row>
    <row r="861" customFormat="false" ht="15" hidden="false" customHeight="false" outlineLevel="0" collapsed="false">
      <c r="A861" s="1" t="s">
        <v>868</v>
      </c>
      <c r="B861" s="5" t="n">
        <v>34.824</v>
      </c>
      <c r="C861" s="5" t="n">
        <v>12.0552</v>
      </c>
      <c r="D861" s="1" t="n">
        <f aca="false">LN(B861/B860)</f>
        <v>-0.00128277441194057</v>
      </c>
      <c r="E861" s="1" t="n">
        <f aca="false">LN(C861/C860)</f>
        <v>2.48858362274835E-005</v>
      </c>
      <c r="F861" s="1" t="n">
        <f aca="false">B861/B860-1</f>
        <v>-0.00128195200853487</v>
      </c>
      <c r="G861" s="1" t="n">
        <f aca="false">C861/C860-1</f>
        <v>2.48861458824745E-005</v>
      </c>
    </row>
    <row r="862" customFormat="false" ht="15" hidden="false" customHeight="false" outlineLevel="0" collapsed="false">
      <c r="A862" s="1" t="s">
        <v>869</v>
      </c>
      <c r="B862" s="5" t="n">
        <v>35.1922</v>
      </c>
      <c r="C862" s="5" t="n">
        <v>12.056</v>
      </c>
      <c r="D862" s="1" t="n">
        <f aca="false">LN(B862/B861)</f>
        <v>0.010517662890071</v>
      </c>
      <c r="E862" s="1" t="n">
        <f aca="false">LN(C862/C861)</f>
        <v>6.63592023867749E-005</v>
      </c>
      <c r="F862" s="1" t="n">
        <f aca="false">B862/B861-1</f>
        <v>0.0105731679301631</v>
      </c>
      <c r="G862" s="1" t="n">
        <f aca="false">C862/C861-1</f>
        <v>6.6361404207349E-005</v>
      </c>
    </row>
    <row r="863" customFormat="false" ht="15" hidden="false" customHeight="false" outlineLevel="0" collapsed="false">
      <c r="A863" s="1" t="s">
        <v>870</v>
      </c>
      <c r="B863" s="5" t="n">
        <v>35.4547</v>
      </c>
      <c r="C863" s="5" t="n">
        <v>12.0563</v>
      </c>
      <c r="D863" s="1" t="n">
        <f aca="false">LN(B863/B862)</f>
        <v>0.0074313581501129</v>
      </c>
      <c r="E863" s="1" t="n">
        <f aca="false">LN(C863/C862)</f>
        <v>2.48835656505278E-005</v>
      </c>
      <c r="F863" s="1" t="n">
        <f aca="false">B863/B862-1</f>
        <v>0.007459039218918</v>
      </c>
      <c r="G863" s="1" t="n">
        <f aca="false">C863/C862-1</f>
        <v>2.48838752490155E-005</v>
      </c>
    </row>
    <row r="864" customFormat="false" ht="15" hidden="false" customHeight="false" outlineLevel="0" collapsed="false">
      <c r="A864" s="1" t="s">
        <v>871</v>
      </c>
      <c r="B864" s="5" t="n">
        <v>35.498</v>
      </c>
      <c r="C864" s="5" t="n">
        <v>12.0572</v>
      </c>
      <c r="D864" s="1" t="n">
        <f aca="false">LN(B864/B863)</f>
        <v>0.00122053157597438</v>
      </c>
      <c r="E864" s="1" t="n">
        <f aca="false">LN(C864/C863)</f>
        <v>7.46469820156659E-005</v>
      </c>
      <c r="F864" s="1" t="n">
        <f aca="false">B864/B863-1</f>
        <v>0.00122127672776795</v>
      </c>
      <c r="G864" s="1" t="n">
        <f aca="false">C864/C863-1</f>
        <v>7.46497681709535E-005</v>
      </c>
    </row>
    <row r="865" customFormat="false" ht="15" hidden="false" customHeight="false" outlineLevel="0" collapsed="false">
      <c r="A865" s="1" t="s">
        <v>872</v>
      </c>
      <c r="B865" s="5" t="n">
        <v>36.0029</v>
      </c>
      <c r="C865" s="5" t="n">
        <v>12.0574</v>
      </c>
      <c r="D865" s="1" t="n">
        <f aca="false">LN(B865/B864)</f>
        <v>0.0141231339010862</v>
      </c>
      <c r="E865" s="1" t="n">
        <f aca="false">LN(C865/C864)</f>
        <v>1.65874615382391E-005</v>
      </c>
      <c r="F865" s="1" t="n">
        <f aca="false">B865/B864-1</f>
        <v>0.0142233365260014</v>
      </c>
      <c r="G865" s="1" t="n">
        <f aca="false">C865/C864-1</f>
        <v>1.65875991109399E-005</v>
      </c>
    </row>
    <row r="866" customFormat="false" ht="15" hidden="false" customHeight="false" outlineLevel="0" collapsed="false">
      <c r="A866" s="1" t="s">
        <v>873</v>
      </c>
      <c r="B866" s="5" t="n">
        <v>35.6597</v>
      </c>
      <c r="C866" s="5" t="n">
        <v>12.0577</v>
      </c>
      <c r="D866" s="1" t="n">
        <f aca="false">LN(B866/B865)</f>
        <v>-0.00957829115507112</v>
      </c>
      <c r="E866" s="1" t="n">
        <f aca="false">LN(C866/C865)</f>
        <v>2.48806764240626E-005</v>
      </c>
      <c r="F866" s="1" t="n">
        <f aca="false">B866/B865-1</f>
        <v>-0.00953256543222891</v>
      </c>
      <c r="G866" s="1" t="n">
        <f aca="false">C866/C865-1</f>
        <v>2.48809859506594E-005</v>
      </c>
    </row>
    <row r="867" customFormat="false" ht="15" hidden="false" customHeight="false" outlineLevel="0" collapsed="false">
      <c r="A867" s="1" t="s">
        <v>874</v>
      </c>
      <c r="B867" s="5" t="n">
        <v>35.7002</v>
      </c>
      <c r="C867" s="5" t="n">
        <v>12.0581</v>
      </c>
      <c r="D867" s="1" t="n">
        <f aca="false">LN(B867/B866)</f>
        <v>0.00113509139862763</v>
      </c>
      <c r="E867" s="1" t="n">
        <f aca="false">LN(C867/C866)</f>
        <v>3.31732722974545E-005</v>
      </c>
      <c r="F867" s="1" t="n">
        <f aca="false">B867/B866-1</f>
        <v>0.00113573585868654</v>
      </c>
      <c r="G867" s="1" t="n">
        <f aca="false">C867/C866-1</f>
        <v>3.31738225365363E-005</v>
      </c>
    </row>
    <row r="868" customFormat="false" ht="15" hidden="false" customHeight="false" outlineLevel="0" collapsed="false">
      <c r="A868" s="1" t="s">
        <v>875</v>
      </c>
      <c r="B868" s="5" t="n">
        <v>35.357</v>
      </c>
      <c r="C868" s="5" t="n">
        <v>12.0586</v>
      </c>
      <c r="D868" s="1" t="n">
        <f aca="false">LN(B868/B867)</f>
        <v>-0.00965989846956853</v>
      </c>
      <c r="E868" s="1" t="n">
        <f aca="false">LN(C868/C867)</f>
        <v>4.1465042901471E-005</v>
      </c>
      <c r="F868" s="1" t="n">
        <f aca="false">B868/B867-1</f>
        <v>-0.00961339152161622</v>
      </c>
      <c r="G868" s="1" t="n">
        <f aca="false">C868/C867-1</f>
        <v>4.14659025882447E-005</v>
      </c>
    </row>
    <row r="869" customFormat="false" ht="15" hidden="false" customHeight="false" outlineLevel="0" collapsed="false">
      <c r="A869" s="1" t="s">
        <v>876</v>
      </c>
      <c r="B869" s="5" t="n">
        <v>35.6163</v>
      </c>
      <c r="C869" s="5" t="n">
        <v>12.0591</v>
      </c>
      <c r="D869" s="1" t="n">
        <f aca="false">LN(B869/B868)</f>
        <v>0.00730700569702372</v>
      </c>
      <c r="E869" s="1" t="n">
        <f aca="false">LN(C869/C868)</f>
        <v>4.14633236229873E-005</v>
      </c>
      <c r="F869" s="1" t="n">
        <f aca="false">B869/B868-1</f>
        <v>0.00733376700511923</v>
      </c>
      <c r="G869" s="1" t="n">
        <f aca="false">C869/C868-1</f>
        <v>4.1464183238471E-005</v>
      </c>
    </row>
    <row r="870" customFormat="false" ht="15" hidden="false" customHeight="false" outlineLevel="0" collapsed="false">
      <c r="A870" s="1" t="s">
        <v>877</v>
      </c>
      <c r="B870" s="5" t="n">
        <v>35.9917</v>
      </c>
      <c r="C870" s="5" t="n">
        <v>12.0594</v>
      </c>
      <c r="D870" s="1" t="n">
        <f aca="false">LN(B870/B869)</f>
        <v>0.010484958080284</v>
      </c>
      <c r="E870" s="1" t="n">
        <f aca="false">LN(C870/C869)</f>
        <v>2.48771689795046E-005</v>
      </c>
      <c r="F870" s="1" t="n">
        <f aca="false">B870/B869-1</f>
        <v>0.010540117867381</v>
      </c>
      <c r="G870" s="1" t="n">
        <f aca="false">C870/C869-1</f>
        <v>2.48774784188388E-005</v>
      </c>
    </row>
    <row r="871" customFormat="false" ht="15" hidden="false" customHeight="false" outlineLevel="0" collapsed="false">
      <c r="A871" s="1" t="s">
        <v>878</v>
      </c>
      <c r="B871" s="5" t="n">
        <v>35.9878</v>
      </c>
      <c r="C871" s="5" t="n">
        <v>12.0598</v>
      </c>
      <c r="D871" s="1" t="n">
        <f aca="false">LN(B871/B870)</f>
        <v>-0.000108364187131583</v>
      </c>
      <c r="E871" s="1" t="n">
        <f aca="false">LN(C871/C870)</f>
        <v>3.31685959762577E-005</v>
      </c>
      <c r="F871" s="1" t="n">
        <f aca="false">B871/B870-1</f>
        <v>-0.000108358315945134</v>
      </c>
      <c r="G871" s="1" t="n">
        <f aca="false">C871/C870-1</f>
        <v>3.3169146060219E-005</v>
      </c>
    </row>
    <row r="872" customFormat="false" ht="15" hidden="false" customHeight="false" outlineLevel="0" collapsed="false">
      <c r="A872" s="1" t="s">
        <v>879</v>
      </c>
      <c r="B872" s="5" t="n">
        <v>35.5789</v>
      </c>
      <c r="C872" s="5" t="n">
        <v>12.0599</v>
      </c>
      <c r="D872" s="1" t="n">
        <f aca="false">LN(B872/B871)</f>
        <v>-0.0114272266167145</v>
      </c>
      <c r="E872" s="1" t="n">
        <f aca="false">LN(C872/C871)</f>
        <v>8.29197709780362E-006</v>
      </c>
      <c r="F872" s="1" t="n">
        <f aca="false">B872/B871-1</f>
        <v>-0.0113621838511941</v>
      </c>
      <c r="G872" s="1" t="n">
        <f aca="false">C872/C871-1</f>
        <v>8.29201147634073E-006</v>
      </c>
    </row>
    <row r="873" customFormat="false" ht="15" hidden="false" customHeight="false" outlineLevel="0" collapsed="false">
      <c r="A873" s="1" t="s">
        <v>880</v>
      </c>
      <c r="B873" s="5" t="n">
        <v>35.3773</v>
      </c>
      <c r="C873" s="5" t="n">
        <v>12.0612</v>
      </c>
      <c r="D873" s="1" t="n">
        <f aca="false">LN(B873/B872)</f>
        <v>-0.00568239399700135</v>
      </c>
      <c r="E873" s="1" t="n">
        <f aca="false">LN(C873/C872)</f>
        <v>0.000107789445859267</v>
      </c>
      <c r="F873" s="1" t="n">
        <f aca="false">B873/B872-1</f>
        <v>-0.00566627973321265</v>
      </c>
      <c r="G873" s="1" t="n">
        <f aca="false">C873/C872-1</f>
        <v>0.000107795255350318</v>
      </c>
    </row>
    <row r="874" customFormat="false" ht="15" hidden="false" customHeight="false" outlineLevel="0" collapsed="false">
      <c r="A874" s="1" t="s">
        <v>881</v>
      </c>
      <c r="B874" s="5" t="n">
        <v>34.9542</v>
      </c>
      <c r="C874" s="5" t="n">
        <v>12.0618</v>
      </c>
      <c r="D874" s="1" t="n">
        <f aca="false">LN(B874/B873)</f>
        <v>-0.0120317383840874</v>
      </c>
      <c r="E874" s="1" t="n">
        <f aca="false">LN(C874/C873)</f>
        <v>4.9745056595243E-005</v>
      </c>
      <c r="F874" s="1" t="n">
        <f aca="false">B874/B873-1</f>
        <v>-0.0119596464399487</v>
      </c>
      <c r="G874" s="1" t="n">
        <f aca="false">C874/C873-1</f>
        <v>4.97462939010873E-005</v>
      </c>
    </row>
    <row r="875" customFormat="false" ht="15" hidden="false" customHeight="false" outlineLevel="0" collapsed="false">
      <c r="A875" s="1" t="s">
        <v>882</v>
      </c>
      <c r="B875" s="5" t="n">
        <v>35.0648</v>
      </c>
      <c r="C875" s="5" t="n">
        <v>12.062</v>
      </c>
      <c r="D875" s="1" t="n">
        <f aca="false">LN(B875/B874)</f>
        <v>0.00315914514586455</v>
      </c>
      <c r="E875" s="1" t="n">
        <f aca="false">LN(C875/C874)</f>
        <v>1.65811356423162E-005</v>
      </c>
      <c r="F875" s="1" t="n">
        <f aca="false">B875/B874-1</f>
        <v>0.00316414050385938</v>
      </c>
      <c r="G875" s="1" t="n">
        <f aca="false">C875/C874-1</f>
        <v>1.65812731101056E-005</v>
      </c>
    </row>
    <row r="876" customFormat="false" ht="15" hidden="false" customHeight="false" outlineLevel="0" collapsed="false">
      <c r="A876" s="1" t="s">
        <v>883</v>
      </c>
      <c r="B876" s="5" t="n">
        <v>35.2387</v>
      </c>
      <c r="C876" s="5" t="n">
        <v>12.062</v>
      </c>
      <c r="D876" s="1" t="n">
        <f aca="false">LN(B876/B875)</f>
        <v>0.00494713221022021</v>
      </c>
      <c r="E876" s="1" t="n">
        <f aca="false">LN(C876/C875)</f>
        <v>0</v>
      </c>
      <c r="F876" s="1" t="n">
        <f aca="false">B876/B875-1</f>
        <v>0.00495938947320407</v>
      </c>
      <c r="G876" s="1" t="n">
        <f aca="false">C876/C875-1</f>
        <v>0</v>
      </c>
    </row>
    <row r="877" customFormat="false" ht="15" hidden="false" customHeight="false" outlineLevel="0" collapsed="false">
      <c r="A877" s="1" t="s">
        <v>884</v>
      </c>
      <c r="B877" s="5" t="n">
        <v>35.5384</v>
      </c>
      <c r="C877" s="5" t="n">
        <v>12.063</v>
      </c>
      <c r="D877" s="1" t="n">
        <f aca="false">LN(B877/B876)</f>
        <v>0.00846889152728499</v>
      </c>
      <c r="E877" s="1" t="n">
        <f aca="false">LN(C877/C876)</f>
        <v>8.29015544517682E-005</v>
      </c>
      <c r="F877" s="1" t="n">
        <f aca="false">B877/B876-1</f>
        <v>0.00850485403831591</v>
      </c>
      <c r="G877" s="1" t="n">
        <f aca="false">C877/C876-1</f>
        <v>8.29049908805946E-005</v>
      </c>
    </row>
    <row r="878" customFormat="false" ht="15" hidden="false" customHeight="false" outlineLevel="0" collapsed="false">
      <c r="A878" s="1" t="s">
        <v>885</v>
      </c>
      <c r="B878" s="5" t="n">
        <v>35.3828</v>
      </c>
      <c r="C878" s="5" t="n">
        <v>12.0632</v>
      </c>
      <c r="D878" s="1" t="n">
        <f aca="false">LN(B878/B877)</f>
        <v>-0.00438797565930651</v>
      </c>
      <c r="E878" s="1" t="n">
        <f aca="false">LN(C878/C877)</f>
        <v>1.65794862019911E-005</v>
      </c>
      <c r="F878" s="1" t="n">
        <f aca="false">B878/B877-1</f>
        <v>-0.00437836255993518</v>
      </c>
      <c r="G878" s="1" t="n">
        <f aca="false">C878/C877-1</f>
        <v>1.6579623642432E-005</v>
      </c>
    </row>
    <row r="879" customFormat="false" ht="15" hidden="false" customHeight="false" outlineLevel="0" collapsed="false">
      <c r="A879" s="1" t="s">
        <v>886</v>
      </c>
      <c r="B879" s="5" t="n">
        <v>35.5002</v>
      </c>
      <c r="C879" s="5" t="n">
        <v>12.0636</v>
      </c>
      <c r="D879" s="1" t="n">
        <f aca="false">LN(B879/B878)</f>
        <v>0.00331250391065239</v>
      </c>
      <c r="E879" s="1" t="n">
        <f aca="false">LN(C879/C878)</f>
        <v>3.31581477887226E-005</v>
      </c>
      <c r="F879" s="1" t="n">
        <f aca="false">B879/B878-1</f>
        <v>0.00331799631459351</v>
      </c>
      <c r="G879" s="1" t="n">
        <f aca="false">C879/C878-1</f>
        <v>3.31586975261811E-005</v>
      </c>
    </row>
    <row r="880" customFormat="false" ht="15" hidden="false" customHeight="false" outlineLevel="0" collapsed="false">
      <c r="A880" s="1" t="s">
        <v>887</v>
      </c>
      <c r="B880" s="5" t="n">
        <v>35.6695</v>
      </c>
      <c r="C880" s="5" t="n">
        <v>12.0637</v>
      </c>
      <c r="D880" s="1" t="n">
        <f aca="false">LN(B880/B879)</f>
        <v>0.00475765162268537</v>
      </c>
      <c r="E880" s="1" t="n">
        <f aca="false">LN(C880/C879)</f>
        <v>8.28936515925475E-006</v>
      </c>
      <c r="F880" s="1" t="n">
        <f aca="false">B880/B879-1</f>
        <v>0.00476898721697339</v>
      </c>
      <c r="G880" s="1" t="n">
        <f aca="false">C880/C879-1</f>
        <v>8.28939951613705E-006</v>
      </c>
    </row>
    <row r="881" customFormat="false" ht="15" hidden="false" customHeight="false" outlineLevel="0" collapsed="false">
      <c r="A881" s="1" t="s">
        <v>888</v>
      </c>
      <c r="B881" s="5" t="n">
        <v>35.6166</v>
      </c>
      <c r="C881" s="5" t="n">
        <v>12.0642</v>
      </c>
      <c r="D881" s="1" t="n">
        <f aca="false">LN(B881/B880)</f>
        <v>-0.00148416057858065</v>
      </c>
      <c r="E881" s="1" t="n">
        <f aca="false">LN(C881/C880)</f>
        <v>4.14457951226797E-005</v>
      </c>
      <c r="F881" s="1" t="n">
        <f aca="false">B881/B880-1</f>
        <v>-0.00148305975693519</v>
      </c>
      <c r="G881" s="1" t="n">
        <f aca="false">C881/C880-1</f>
        <v>4.14466540115122E-005</v>
      </c>
    </row>
    <row r="882" customFormat="false" ht="15" hidden="false" customHeight="false" outlineLevel="0" collapsed="false">
      <c r="A882" s="1" t="s">
        <v>889</v>
      </c>
      <c r="B882" s="5" t="n">
        <v>35.9306</v>
      </c>
      <c r="C882" s="5" t="n">
        <v>12.0652</v>
      </c>
      <c r="D882" s="1" t="n">
        <f aca="false">LN(B882/B881)</f>
        <v>0.0087774788107877</v>
      </c>
      <c r="E882" s="1" t="n">
        <f aca="false">LN(C882/C881)</f>
        <v>8.28864373397116E-005</v>
      </c>
      <c r="F882" s="1" t="n">
        <f aca="false">B882/B881-1</f>
        <v>0.00881611383456038</v>
      </c>
      <c r="G882" s="1" t="n">
        <f aca="false">C882/C881-1</f>
        <v>8.28898725153682E-005</v>
      </c>
    </row>
    <row r="883" customFormat="false" ht="15" hidden="false" customHeight="false" outlineLevel="0" collapsed="false">
      <c r="A883" s="1" t="s">
        <v>890</v>
      </c>
      <c r="B883" s="5" t="n">
        <v>36.003</v>
      </c>
      <c r="C883" s="5" t="n">
        <v>12.0655</v>
      </c>
      <c r="D883" s="1" t="n">
        <f aca="false">LN(B883/B882)</f>
        <v>0.00201296819420446</v>
      </c>
      <c r="E883" s="1" t="n">
        <f aca="false">LN(C883/C882)</f>
        <v>2.48645915796703E-005</v>
      </c>
      <c r="F883" s="1" t="n">
        <f aca="false">B883/B882-1</f>
        <v>0.00201499557480256</v>
      </c>
      <c r="G883" s="1" t="n">
        <f aca="false">C883/C882-1</f>
        <v>2.48649007061896E-005</v>
      </c>
    </row>
    <row r="884" customFormat="false" ht="15" hidden="false" customHeight="false" outlineLevel="0" collapsed="false">
      <c r="A884" s="1" t="s">
        <v>891</v>
      </c>
      <c r="B884" s="5" t="n">
        <v>36.0968</v>
      </c>
      <c r="C884" s="5" t="n">
        <v>12.0657</v>
      </c>
      <c r="D884" s="1" t="n">
        <f aca="false">LN(B884/B883)</f>
        <v>0.00260195043314875</v>
      </c>
      <c r="E884" s="1" t="n">
        <f aca="false">LN(C884/C883)</f>
        <v>1.6576050922037E-005</v>
      </c>
      <c r="F884" s="1" t="n">
        <f aca="false">B884/B883-1</f>
        <v>0.00260533844401856</v>
      </c>
      <c r="G884" s="1" t="n">
        <f aca="false">C884/C883-1</f>
        <v>1.65761883055282E-005</v>
      </c>
    </row>
    <row r="885" customFormat="false" ht="15" hidden="false" customHeight="false" outlineLevel="0" collapsed="false">
      <c r="A885" s="1" t="s">
        <v>892</v>
      </c>
      <c r="B885" s="5" t="n">
        <v>35.9647</v>
      </c>
      <c r="C885" s="5" t="n">
        <v>12.0661</v>
      </c>
      <c r="D885" s="1" t="n">
        <f aca="false">LN(B885/B884)</f>
        <v>-0.00366631690910294</v>
      </c>
      <c r="E885" s="1" t="n">
        <f aca="false">LN(C885/C884)</f>
        <v>3.31512775705166E-005</v>
      </c>
      <c r="F885" s="1" t="n">
        <f aca="false">B885/B884-1</f>
        <v>-0.00365960417543942</v>
      </c>
      <c r="G885" s="1" t="n">
        <f aca="false">C885/C884-1</f>
        <v>3.31518270801912E-005</v>
      </c>
    </row>
    <row r="886" customFormat="false" ht="15" hidden="false" customHeight="false" outlineLevel="0" collapsed="false">
      <c r="A886" s="1" t="s">
        <v>893</v>
      </c>
      <c r="B886" s="5" t="n">
        <v>36.0177</v>
      </c>
      <c r="C886" s="5" t="n">
        <v>12.0665</v>
      </c>
      <c r="D886" s="1" t="n">
        <f aca="false">LN(B886/B885)</f>
        <v>0.0014725824528645</v>
      </c>
      <c r="E886" s="1" t="n">
        <f aca="false">LN(C886/C885)</f>
        <v>3.31501785996193E-005</v>
      </c>
      <c r="F886" s="1" t="n">
        <f aca="false">B886/B885-1</f>
        <v>0.00147366723481634</v>
      </c>
      <c r="G886" s="1" t="n">
        <f aca="false">C886/C885-1</f>
        <v>3.31507280728616E-005</v>
      </c>
    </row>
    <row r="887" customFormat="false" ht="15" hidden="false" customHeight="false" outlineLevel="0" collapsed="false">
      <c r="A887" s="1" t="s">
        <v>894</v>
      </c>
      <c r="B887" s="5" t="n">
        <v>35.9808</v>
      </c>
      <c r="C887" s="5" t="n">
        <v>12.0675</v>
      </c>
      <c r="D887" s="1" t="n">
        <f aca="false">LN(B887/B886)</f>
        <v>-0.00102502144435798</v>
      </c>
      <c r="E887" s="1" t="n">
        <f aca="false">LN(C887/C886)</f>
        <v>8.28706389802042E-005</v>
      </c>
      <c r="F887" s="1" t="n">
        <f aca="false">B887/B886-1</f>
        <v>-0.00102449628932433</v>
      </c>
      <c r="G887" s="1" t="n">
        <f aca="false">C887/C886-1</f>
        <v>8.28740728464616E-005</v>
      </c>
    </row>
    <row r="888" customFormat="false" ht="15" hidden="false" customHeight="false" outlineLevel="0" collapsed="false">
      <c r="A888" s="1" t="s">
        <v>895</v>
      </c>
      <c r="B888" s="5" t="n">
        <v>35.8032</v>
      </c>
      <c r="C888" s="5" t="n">
        <v>12.0677</v>
      </c>
      <c r="D888" s="1" t="n">
        <f aca="false">LN(B888/B887)</f>
        <v>-0.00494818796309505</v>
      </c>
      <c r="E888" s="1" t="n">
        <f aca="false">LN(C888/C887)</f>
        <v>1.65733037226953E-005</v>
      </c>
      <c r="F888" s="1" t="n">
        <f aca="false">B888/B887-1</f>
        <v>-0.00493596584845268</v>
      </c>
      <c r="G888" s="1" t="n">
        <f aca="false">C888/C887-1</f>
        <v>1.65734410606522E-005</v>
      </c>
    </row>
    <row r="889" customFormat="false" ht="15" hidden="false" customHeight="false" outlineLevel="0" collapsed="false">
      <c r="A889" s="1" t="s">
        <v>896</v>
      </c>
      <c r="B889" s="5" t="n">
        <v>35.1854</v>
      </c>
      <c r="C889" s="5" t="n">
        <v>12.068</v>
      </c>
      <c r="D889" s="1" t="n">
        <f aca="false">LN(B889/B888)</f>
        <v>-0.017406051052093</v>
      </c>
      <c r="E889" s="1" t="n">
        <f aca="false">LN(C889/C888)</f>
        <v>2.48594405808777E-005</v>
      </c>
      <c r="F889" s="1" t="n">
        <f aca="false">B889/B888-1</f>
        <v>-0.0172554408544486</v>
      </c>
      <c r="G889" s="1" t="n">
        <f aca="false">C889/C888-1</f>
        <v>2.48597495793312E-005</v>
      </c>
    </row>
    <row r="890" customFormat="false" ht="15" hidden="false" customHeight="false" outlineLevel="0" collapsed="false">
      <c r="A890" s="1" t="s">
        <v>897</v>
      </c>
      <c r="B890" s="5" t="n">
        <v>35.3504</v>
      </c>
      <c r="C890" s="5" t="n">
        <v>12.0684</v>
      </c>
      <c r="D890" s="1" t="n">
        <f aca="false">LN(B890/B889)</f>
        <v>0.00467848386104055</v>
      </c>
      <c r="E890" s="1" t="n">
        <f aca="false">LN(C890/C889)</f>
        <v>3.31449594834001E-005</v>
      </c>
      <c r="F890" s="1" t="n">
        <f aca="false">B890/B889-1</f>
        <v>0.00468944505391433</v>
      </c>
      <c r="G890" s="1" t="n">
        <f aca="false">C890/C889-1</f>
        <v>3.31455087836385E-005</v>
      </c>
    </row>
    <row r="891" customFormat="false" ht="15" hidden="false" customHeight="false" outlineLevel="0" collapsed="false">
      <c r="A891" s="1" t="s">
        <v>898</v>
      </c>
      <c r="B891" s="5" t="n">
        <v>35.2222</v>
      </c>
      <c r="C891" s="5" t="n">
        <v>12.0688</v>
      </c>
      <c r="D891" s="1" t="n">
        <f aca="false">LN(B891/B890)</f>
        <v>-0.00363314206978323</v>
      </c>
      <c r="E891" s="1" t="n">
        <f aca="false">LN(C891/C890)</f>
        <v>3.31438609312581E-005</v>
      </c>
      <c r="F891" s="1" t="n">
        <f aca="false">B891/B890-1</f>
        <v>-0.00362655019462299</v>
      </c>
      <c r="G891" s="1" t="n">
        <f aca="false">C891/C890-1</f>
        <v>3.31444101950851E-005</v>
      </c>
    </row>
    <row r="892" customFormat="false" ht="15" hidden="false" customHeight="false" outlineLevel="0" collapsed="false">
      <c r="A892" s="1" t="s">
        <v>899</v>
      </c>
      <c r="B892" s="5" t="n">
        <v>35.2504</v>
      </c>
      <c r="C892" s="5" t="n">
        <v>12.0695</v>
      </c>
      <c r="D892" s="1" t="n">
        <f aca="false">LN(B892/B891)</f>
        <v>0.000800311085589802</v>
      </c>
      <c r="E892" s="1" t="n">
        <f aca="false">LN(C892/C891)</f>
        <v>5.79991134582849E-005</v>
      </c>
      <c r="F892" s="1" t="n">
        <f aca="false">B892/B891-1</f>
        <v>0.000800631419956677</v>
      </c>
      <c r="G892" s="1" t="n">
        <f aca="false">C892/C891-1</f>
        <v>5.80007954393835E-005</v>
      </c>
    </row>
    <row r="893" customFormat="false" ht="15" hidden="false" customHeight="false" outlineLevel="0" collapsed="false">
      <c r="A893" s="1" t="s">
        <v>900</v>
      </c>
      <c r="B893" s="5" t="n">
        <v>34.7274</v>
      </c>
      <c r="C893" s="5" t="n">
        <v>12.0699</v>
      </c>
      <c r="D893" s="1" t="n">
        <f aca="false">LN(B893/B892)</f>
        <v>-0.0149478759886707</v>
      </c>
      <c r="E893" s="1" t="n">
        <f aca="false">LN(C893/C892)</f>
        <v>3.3140840289048E-005</v>
      </c>
      <c r="F893" s="1" t="n">
        <f aca="false">B893/B892-1</f>
        <v>-0.0148367110727821</v>
      </c>
      <c r="G893" s="1" t="n">
        <f aca="false">C893/C892-1</f>
        <v>3.31413894527621E-005</v>
      </c>
    </row>
    <row r="894" customFormat="false" ht="15" hidden="false" customHeight="false" outlineLevel="0" collapsed="false">
      <c r="A894" s="1" t="s">
        <v>901</v>
      </c>
      <c r="B894" s="5" t="n">
        <v>34.9243</v>
      </c>
      <c r="C894" s="5" t="n">
        <v>12.0703</v>
      </c>
      <c r="D894" s="1" t="n">
        <f aca="false">LN(B894/B893)</f>
        <v>0.00565386127003124</v>
      </c>
      <c r="E894" s="1" t="n">
        <f aca="false">LN(C894/C893)</f>
        <v>3.31397420100073E-005</v>
      </c>
      <c r="F894" s="1" t="n">
        <f aca="false">B894/B893-1</f>
        <v>0.00566987450831324</v>
      </c>
      <c r="G894" s="1" t="n">
        <f aca="false">C894/C893-1</f>
        <v>3.31402911373235E-005</v>
      </c>
    </row>
    <row r="895" customFormat="false" ht="15" hidden="false" customHeight="false" outlineLevel="0" collapsed="false">
      <c r="A895" s="1" t="s">
        <v>902</v>
      </c>
      <c r="B895" s="5" t="n">
        <v>35.921</v>
      </c>
      <c r="C895" s="5" t="n">
        <v>12.0706</v>
      </c>
      <c r="D895" s="1" t="n">
        <f aca="false">LN(B895/B894)</f>
        <v>0.0281392206971496</v>
      </c>
      <c r="E895" s="1" t="n">
        <f aca="false">LN(C895/C894)</f>
        <v>2.48540858059092E-005</v>
      </c>
      <c r="F895" s="1" t="n">
        <f aca="false">B895/B894-1</f>
        <v>0.0285388683524079</v>
      </c>
      <c r="G895" s="1" t="n">
        <f aca="false">C895/C894-1</f>
        <v>2.48543946712587E-005</v>
      </c>
    </row>
    <row r="896" customFormat="false" ht="15" hidden="false" customHeight="false" outlineLevel="0" collapsed="false">
      <c r="A896" s="1" t="s">
        <v>903</v>
      </c>
      <c r="B896" s="5" t="n">
        <v>36.0002</v>
      </c>
      <c r="C896" s="5" t="n">
        <v>12.071</v>
      </c>
      <c r="D896" s="1" t="n">
        <f aca="false">LN(B896/B895)</f>
        <v>0.00220241130609785</v>
      </c>
      <c r="E896" s="1" t="n">
        <f aca="false">LN(C896/C895)</f>
        <v>3.31378201970371E-005</v>
      </c>
      <c r="F896" s="1" t="n">
        <f aca="false">B896/B895-1</f>
        <v>0.00220483839536767</v>
      </c>
      <c r="G896" s="1" t="n">
        <f aca="false">C896/C895-1</f>
        <v>3.31383692606657E-005</v>
      </c>
    </row>
    <row r="897" customFormat="false" ht="15" hidden="false" customHeight="false" outlineLevel="0" collapsed="false">
      <c r="A897" s="1" t="s">
        <v>904</v>
      </c>
      <c r="B897" s="5" t="n">
        <v>35.8714</v>
      </c>
      <c r="C897" s="5" t="n">
        <v>12.0718</v>
      </c>
      <c r="D897" s="1" t="n">
        <f aca="false">LN(B897/B896)</f>
        <v>-0.00358417338374481</v>
      </c>
      <c r="E897" s="1" t="n">
        <f aca="false">LN(C897/C896)</f>
        <v>6.62723462310169E-005</v>
      </c>
      <c r="F897" s="1" t="n">
        <f aca="false">B897/B896-1</f>
        <v>-0.00357775790134496</v>
      </c>
      <c r="G897" s="1" t="n">
        <f aca="false">C897/C896-1</f>
        <v>6.62745422914668E-005</v>
      </c>
    </row>
    <row r="898" customFormat="false" ht="15" hidden="false" customHeight="false" outlineLevel="0" collapsed="false">
      <c r="A898" s="1" t="s">
        <v>905</v>
      </c>
      <c r="B898" s="5" t="n">
        <v>36.4888</v>
      </c>
      <c r="C898" s="5" t="n">
        <v>12.0718</v>
      </c>
      <c r="D898" s="1" t="n">
        <f aca="false">LN(B898/B897)</f>
        <v>0.0170650435730045</v>
      </c>
      <c r="E898" s="1" t="n">
        <f aca="false">LN(C898/C897)</f>
        <v>0</v>
      </c>
      <c r="F898" s="1" t="n">
        <f aca="false">B898/B897-1</f>
        <v>0.0172114832429175</v>
      </c>
      <c r="G898" s="1" t="n">
        <f aca="false">C898/C897-1</f>
        <v>0</v>
      </c>
    </row>
    <row r="899" customFormat="false" ht="15" hidden="false" customHeight="false" outlineLevel="0" collapsed="false">
      <c r="A899" s="1" t="s">
        <v>906</v>
      </c>
      <c r="B899" s="5" t="n">
        <v>36.6066</v>
      </c>
      <c r="C899" s="5" t="n">
        <v>12.072</v>
      </c>
      <c r="D899" s="1" t="n">
        <f aca="false">LN(B899/B898)</f>
        <v>0.00322318783356397</v>
      </c>
      <c r="E899" s="1" t="n">
        <f aca="false">LN(C899/C898)</f>
        <v>1.65674003268236E-005</v>
      </c>
      <c r="F899" s="1" t="n">
        <f aca="false">B899/B898-1</f>
        <v>0.00322838788888657</v>
      </c>
      <c r="G899" s="1" t="n">
        <f aca="false">C899/C898-1</f>
        <v>1.65675375669583E-005</v>
      </c>
    </row>
    <row r="900" customFormat="false" ht="15" hidden="false" customHeight="false" outlineLevel="0" collapsed="false">
      <c r="A900" s="1" t="s">
        <v>907</v>
      </c>
      <c r="B900" s="5" t="n">
        <v>36.6661</v>
      </c>
      <c r="C900" s="5" t="n">
        <v>12.0724</v>
      </c>
      <c r="D900" s="1" t="n">
        <f aca="false">LN(B900/B899)</f>
        <v>0.00162407044037196</v>
      </c>
      <c r="E900" s="1" t="n">
        <f aca="false">LN(C900/C899)</f>
        <v>3.31339772400838E-005</v>
      </c>
      <c r="F900" s="1" t="n">
        <f aca="false">B900/B899-1</f>
        <v>0.00162538995700223</v>
      </c>
      <c r="G900" s="1" t="n">
        <f aca="false">C900/C899-1</f>
        <v>3.31345261763705E-005</v>
      </c>
    </row>
    <row r="901" customFormat="false" ht="15" hidden="false" customHeight="false" outlineLevel="0" collapsed="false">
      <c r="A901" s="1" t="s">
        <v>908</v>
      </c>
      <c r="B901" s="5" t="n">
        <v>36.7359</v>
      </c>
      <c r="C901" s="5" t="n">
        <v>12.0727</v>
      </c>
      <c r="D901" s="1" t="n">
        <f aca="false">LN(B901/B900)</f>
        <v>0.00190185610853142</v>
      </c>
      <c r="E901" s="1" t="n">
        <f aca="false">LN(C901/C900)</f>
        <v>2.48497624788543E-005</v>
      </c>
      <c r="F901" s="1" t="n">
        <f aca="false">B901/B900-1</f>
        <v>0.00190366578392576</v>
      </c>
      <c r="G901" s="1" t="n">
        <f aca="false">C901/C900-1</f>
        <v>2.48500712367594E-005</v>
      </c>
    </row>
    <row r="902" customFormat="false" ht="15" hidden="false" customHeight="false" outlineLevel="0" collapsed="false">
      <c r="A902" s="1" t="s">
        <v>909</v>
      </c>
      <c r="B902" s="5" t="n">
        <v>36.578</v>
      </c>
      <c r="C902" s="5" t="n">
        <v>12.0734</v>
      </c>
      <c r="D902" s="1" t="n">
        <f aca="false">LN(B902/B901)</f>
        <v>-0.00430751178557668</v>
      </c>
      <c r="E902" s="1" t="n">
        <f aca="false">LN(C902/C901)</f>
        <v>5.79803777997481E-005</v>
      </c>
      <c r="F902" s="1" t="n">
        <f aca="false">B902/B901-1</f>
        <v>-0.00429824776308729</v>
      </c>
      <c r="G902" s="1" t="n">
        <f aca="false">C902/C901-1</f>
        <v>5.79820586943391E-005</v>
      </c>
    </row>
    <row r="903" customFormat="false" ht="15" hidden="false" customHeight="false" outlineLevel="0" collapsed="false">
      <c r="A903" s="1" t="s">
        <v>910</v>
      </c>
      <c r="B903" s="5" t="n">
        <v>36.6275</v>
      </c>
      <c r="C903" s="5" t="n">
        <v>12.0735</v>
      </c>
      <c r="D903" s="1" t="n">
        <f aca="false">LN(B903/B902)</f>
        <v>0.001352357610947</v>
      </c>
      <c r="E903" s="1" t="n">
        <f aca="false">LN(C903/C902)</f>
        <v>8.28263669459954E-006</v>
      </c>
      <c r="F903" s="1" t="n">
        <f aca="false">B903/B902-1</f>
        <v>0.00135327245885497</v>
      </c>
      <c r="G903" s="1" t="n">
        <f aca="false">C903/C902-1</f>
        <v>8.28267099572955E-006</v>
      </c>
    </row>
    <row r="904" customFormat="false" ht="15" hidden="false" customHeight="false" outlineLevel="0" collapsed="false">
      <c r="A904" s="1" t="s">
        <v>911</v>
      </c>
      <c r="B904" s="5" t="n">
        <v>36.6094</v>
      </c>
      <c r="C904" s="5" t="n">
        <v>12.0737</v>
      </c>
      <c r="D904" s="1" t="n">
        <f aca="false">LN(B904/B903)</f>
        <v>-0.000494286360250422</v>
      </c>
      <c r="E904" s="1" t="n">
        <f aca="false">LN(C904/C903)</f>
        <v>1.65650675859435E-005</v>
      </c>
      <c r="F904" s="1" t="n">
        <f aca="false">B904/B903-1</f>
        <v>-0.000494164220872229</v>
      </c>
      <c r="G904" s="1" t="n">
        <f aca="false">C904/C903-1</f>
        <v>1.65652047874332E-005</v>
      </c>
    </row>
    <row r="905" customFormat="false" ht="15" hidden="false" customHeight="false" outlineLevel="0" collapsed="false">
      <c r="A905" s="1" t="s">
        <v>912</v>
      </c>
      <c r="B905" s="5" t="n">
        <v>36.7004</v>
      </c>
      <c r="C905" s="5" t="n">
        <v>12.0741</v>
      </c>
      <c r="D905" s="1" t="n">
        <f aca="false">LN(B905/B904)</f>
        <v>0.00248261615060961</v>
      </c>
      <c r="E905" s="1" t="n">
        <f aca="false">LN(C905/C904)</f>
        <v>3.31293119899246E-005</v>
      </c>
      <c r="F905" s="1" t="n">
        <f aca="false">B905/B904-1</f>
        <v>0.00248570039388785</v>
      </c>
      <c r="G905" s="1" t="n">
        <f aca="false">C905/C904-1</f>
        <v>3.31298607716413E-005</v>
      </c>
    </row>
    <row r="906" customFormat="false" ht="15" hidden="false" customHeight="false" outlineLevel="0" collapsed="false">
      <c r="A906" s="1" t="s">
        <v>913</v>
      </c>
      <c r="B906" s="5" t="n">
        <v>36.7052</v>
      </c>
      <c r="C906" s="5" t="n">
        <v>12.0745</v>
      </c>
      <c r="D906" s="1" t="n">
        <f aca="false">LN(B906/B905)</f>
        <v>0.000130780213139975</v>
      </c>
      <c r="E906" s="1" t="n">
        <f aca="false">LN(C906/C905)</f>
        <v>3.31282144751234E-005</v>
      </c>
      <c r="F906" s="1" t="n">
        <f aca="false">B906/B905-1</f>
        <v>0.00013078876524486</v>
      </c>
      <c r="G906" s="1" t="n">
        <f aca="false">C906/C905-1</f>
        <v>3.31287632204802E-005</v>
      </c>
    </row>
    <row r="907" customFormat="false" ht="15" hidden="false" customHeight="false" outlineLevel="0" collapsed="false">
      <c r="A907" s="1" t="s">
        <v>914</v>
      </c>
      <c r="B907" s="5" t="n">
        <v>36.7821</v>
      </c>
      <c r="C907" s="5" t="n">
        <v>12.0753</v>
      </c>
      <c r="D907" s="1" t="n">
        <f aca="false">LN(B907/B906)</f>
        <v>0.00209287939737671</v>
      </c>
      <c r="E907" s="1" t="n">
        <f aca="false">LN(C907/C906)</f>
        <v>6.62531366961021E-005</v>
      </c>
      <c r="F907" s="1" t="n">
        <f aca="false">B907/B906-1</f>
        <v>0.00209507099811468</v>
      </c>
      <c r="G907" s="1" t="n">
        <f aca="false">C907/C906-1</f>
        <v>6.62553314836334E-005</v>
      </c>
    </row>
    <row r="908" customFormat="false" ht="15" hidden="false" customHeight="false" outlineLevel="0" collapsed="false">
      <c r="A908" s="1" t="s">
        <v>915</v>
      </c>
      <c r="B908" s="5" t="n">
        <v>36.4571</v>
      </c>
      <c r="C908" s="5" t="n">
        <v>12.0753</v>
      </c>
      <c r="D908" s="1" t="n">
        <f aca="false">LN(B908/B907)</f>
        <v>-0.00887508692816597</v>
      </c>
      <c r="E908" s="1" t="n">
        <f aca="false">LN(C908/C907)</f>
        <v>0</v>
      </c>
      <c r="F908" s="1" t="n">
        <f aca="false">B908/B907-1</f>
        <v>-0.00883581959703228</v>
      </c>
      <c r="G908" s="1" t="n">
        <f aca="false">C908/C907-1</f>
        <v>0</v>
      </c>
    </row>
    <row r="909" customFormat="false" ht="15" hidden="false" customHeight="false" outlineLevel="0" collapsed="false">
      <c r="A909" s="1" t="s">
        <v>916</v>
      </c>
      <c r="B909" s="5" t="n">
        <v>36.3568</v>
      </c>
      <c r="C909" s="5" t="n">
        <v>12.0756</v>
      </c>
      <c r="D909" s="1" t="n">
        <f aca="false">LN(B909/B908)</f>
        <v>-0.00275497023064486</v>
      </c>
      <c r="E909" s="1" t="n">
        <f aca="false">LN(C909/C908)</f>
        <v>2.48437946423646E-005</v>
      </c>
      <c r="F909" s="1" t="n">
        <f aca="false">B909/B908-1</f>
        <v>-0.00275117878273357</v>
      </c>
      <c r="G909" s="1" t="n">
        <f aca="false">C909/C908-1</f>
        <v>2.48441032519864E-005</v>
      </c>
    </row>
    <row r="910" customFormat="false" ht="15" hidden="false" customHeight="false" outlineLevel="0" collapsed="false">
      <c r="A910" s="1" t="s">
        <v>917</v>
      </c>
      <c r="B910" s="5" t="n">
        <v>36.0511</v>
      </c>
      <c r="C910" s="5" t="n">
        <v>12.0759</v>
      </c>
      <c r="D910" s="1" t="n">
        <f aca="false">LN(B910/B909)</f>
        <v>-0.00844388019381144</v>
      </c>
      <c r="E910" s="1" t="n">
        <f aca="false">LN(C910/C909)</f>
        <v>2.48431774438626E-005</v>
      </c>
      <c r="F910" s="1" t="n">
        <f aca="false">B910/B909-1</f>
        <v>-0.00840833076618408</v>
      </c>
      <c r="G910" s="1" t="n">
        <f aca="false">C910/C909-1</f>
        <v>2.48434860381508E-005</v>
      </c>
    </row>
    <row r="911" customFormat="false" ht="15" hidden="false" customHeight="false" outlineLevel="0" collapsed="false">
      <c r="A911" s="1" t="s">
        <v>918</v>
      </c>
      <c r="B911" s="5" t="n">
        <v>35.8341</v>
      </c>
      <c r="C911" s="5" t="n">
        <v>12.0763</v>
      </c>
      <c r="D911" s="1" t="n">
        <f aca="false">LN(B911/B910)</f>
        <v>-0.00603742242201702</v>
      </c>
      <c r="E911" s="1" t="n">
        <f aca="false">LN(C911/C910)</f>
        <v>3.31232765574211E-005</v>
      </c>
      <c r="F911" s="1" t="n">
        <f aca="false">B911/B910-1</f>
        <v>-0.00601923380978664</v>
      </c>
      <c r="G911" s="1" t="n">
        <f aca="false">C911/C910-1</f>
        <v>3.3123825139203E-005</v>
      </c>
    </row>
    <row r="912" customFormat="false" ht="15" hidden="false" customHeight="false" outlineLevel="0" collapsed="false">
      <c r="A912" s="1" t="s">
        <v>919</v>
      </c>
      <c r="B912" s="5" t="n">
        <v>35.3291</v>
      </c>
      <c r="C912" s="5" t="n">
        <v>12.077</v>
      </c>
      <c r="D912" s="1" t="n">
        <f aca="false">LN(B912/B911)</f>
        <v>-0.0141929670743148</v>
      </c>
      <c r="E912" s="1" t="n">
        <f aca="false">LN(C912/C911)</f>
        <v>5.79630940863073E-005</v>
      </c>
      <c r="F912" s="1" t="n">
        <f aca="false">B912/B911-1</f>
        <v>-0.0140927217371164</v>
      </c>
      <c r="G912" s="1" t="n">
        <f aca="false">C912/C911-1</f>
        <v>5.79647739789024E-005</v>
      </c>
    </row>
    <row r="913" customFormat="false" ht="15" hidden="false" customHeight="false" outlineLevel="0" collapsed="false">
      <c r="A913" s="1" t="s">
        <v>920</v>
      </c>
      <c r="B913" s="5" t="n">
        <v>35.3739</v>
      </c>
      <c r="C913" s="5" t="n">
        <v>12.0767</v>
      </c>
      <c r="D913" s="1" t="n">
        <f aca="false">LN(B913/B912)</f>
        <v>0.00126727312831597</v>
      </c>
      <c r="E913" s="1" t="n">
        <f aca="false">LN(C913/C912)</f>
        <v>-2.48409146437085E-005</v>
      </c>
      <c r="F913" s="1" t="n">
        <f aca="false">B913/B912-1</f>
        <v>0.00126807645821714</v>
      </c>
      <c r="G913" s="1" t="n">
        <f aca="false">C913/C912-1</f>
        <v>-2.48406061107431E-005</v>
      </c>
    </row>
    <row r="914" customFormat="false" ht="15" hidden="false" customHeight="false" outlineLevel="0" collapsed="false">
      <c r="A914" s="1" t="s">
        <v>921</v>
      </c>
      <c r="B914" s="5" t="n">
        <v>35.947</v>
      </c>
      <c r="C914" s="5" t="n">
        <v>12.0769</v>
      </c>
      <c r="D914" s="1" t="n">
        <f aca="false">LN(B914/B913)</f>
        <v>0.016071371376357</v>
      </c>
      <c r="E914" s="1" t="n">
        <f aca="false">LN(C914/C913)</f>
        <v>1.65606783257457E-005</v>
      </c>
      <c r="F914" s="1" t="n">
        <f aca="false">B914/B913-1</f>
        <v>0.0162012104970051</v>
      </c>
      <c r="G914" s="1" t="n">
        <f aca="false">C914/C913-1</f>
        <v>1.6560815454536E-005</v>
      </c>
    </row>
    <row r="915" customFormat="false" ht="15" hidden="false" customHeight="false" outlineLevel="0" collapsed="false">
      <c r="A915" s="1" t="s">
        <v>922</v>
      </c>
      <c r="B915" s="5" t="n">
        <v>35.0985</v>
      </c>
      <c r="C915" s="5" t="n">
        <v>12.077</v>
      </c>
      <c r="D915" s="1" t="n">
        <f aca="false">LN(B915/B914)</f>
        <v>-0.0238872369340088</v>
      </c>
      <c r="E915" s="1" t="n">
        <f aca="false">LN(C915/C914)</f>
        <v>8.28023631792999E-006</v>
      </c>
      <c r="F915" s="1" t="n">
        <f aca="false">B915/B914-1</f>
        <v>-0.0236041950649568</v>
      </c>
      <c r="G915" s="1" t="n">
        <f aca="false">C915/C914-1</f>
        <v>8.28027059918135E-006</v>
      </c>
    </row>
    <row r="916" customFormat="false" ht="15" hidden="false" customHeight="false" outlineLevel="0" collapsed="false">
      <c r="A916" s="1" t="s">
        <v>923</v>
      </c>
      <c r="B916" s="5" t="n">
        <v>35.3792</v>
      </c>
      <c r="C916" s="5" t="n">
        <v>12.0772</v>
      </c>
      <c r="D916" s="1" t="n">
        <f aca="false">LN(B916/B915)</f>
        <v>0.00796568231507762</v>
      </c>
      <c r="E916" s="1" t="n">
        <f aca="false">LN(C916/C915)</f>
        <v>1.65602669518511E-005</v>
      </c>
      <c r="F916" s="1" t="n">
        <f aca="false">B916/B915-1</f>
        <v>0.00799749277034612</v>
      </c>
      <c r="G916" s="1" t="n">
        <f aca="false">C916/C915-1</f>
        <v>1.65604040738288E-005</v>
      </c>
    </row>
    <row r="917" customFormat="false" ht="15" hidden="false" customHeight="false" outlineLevel="0" collapsed="false">
      <c r="A917" s="1" t="s">
        <v>924</v>
      </c>
      <c r="B917" s="5" t="n">
        <v>35.3968</v>
      </c>
      <c r="C917" s="5" t="n">
        <v>12.0785</v>
      </c>
      <c r="D917" s="1" t="n">
        <f aca="false">LN(B917/B916)</f>
        <v>0.000497343742590234</v>
      </c>
      <c r="E917" s="1" t="n">
        <f aca="false">LN(C917/C916)</f>
        <v>0.000107635051044301</v>
      </c>
      <c r="F917" s="1" t="n">
        <f aca="false">B917/B916-1</f>
        <v>0.000497467438494992</v>
      </c>
      <c r="G917" s="1" t="n">
        <f aca="false">C917/C916-1</f>
        <v>0.000107640843904244</v>
      </c>
    </row>
    <row r="918" customFormat="false" ht="15" hidden="false" customHeight="false" outlineLevel="0" collapsed="false">
      <c r="A918" s="1" t="s">
        <v>925</v>
      </c>
      <c r="B918" s="5" t="n">
        <v>35.3571</v>
      </c>
      <c r="C918" s="5" t="n">
        <v>12.0787</v>
      </c>
      <c r="D918" s="1" t="n">
        <f aca="false">LN(B918/B917)</f>
        <v>-0.00112219974210004</v>
      </c>
      <c r="E918" s="1" t="n">
        <f aca="false">LN(C918/C917)</f>
        <v>1.65582103890137E-005</v>
      </c>
      <c r="F918" s="1" t="n">
        <f aca="false">B918/B917-1</f>
        <v>-0.00112157031144045</v>
      </c>
      <c r="G918" s="1" t="n">
        <f aca="false">C918/C917-1</f>
        <v>1.6558347476936E-005</v>
      </c>
    </row>
    <row r="919" customFormat="false" ht="15" hidden="false" customHeight="false" outlineLevel="0" collapsed="false">
      <c r="A919" s="1" t="s">
        <v>926</v>
      </c>
      <c r="B919" s="5" t="n">
        <v>35.1032</v>
      </c>
      <c r="C919" s="5" t="n">
        <v>12.0789</v>
      </c>
      <c r="D919" s="1" t="n">
        <f aca="false">LN(B919/B918)</f>
        <v>-0.0072069264240546</v>
      </c>
      <c r="E919" s="1" t="n">
        <f aca="false">LN(C919/C918)</f>
        <v>1.65579362193146E-005</v>
      </c>
      <c r="F919" s="1" t="n">
        <f aca="false">B919/B918-1</f>
        <v>-0.00718101880527533</v>
      </c>
      <c r="G919" s="1" t="n">
        <f aca="false">C919/C918-1</f>
        <v>1.65580733026971E-005</v>
      </c>
    </row>
    <row r="920" customFormat="false" ht="15" hidden="false" customHeight="false" outlineLevel="0" collapsed="false">
      <c r="A920" s="1" t="s">
        <v>927</v>
      </c>
      <c r="B920" s="5" t="n">
        <v>34.7951</v>
      </c>
      <c r="C920" s="5" t="n">
        <v>12.0792</v>
      </c>
      <c r="D920" s="1" t="n">
        <f aca="false">LN(B920/B919)</f>
        <v>-0.00881572213860094</v>
      </c>
      <c r="E920" s="1" t="n">
        <f aca="false">LN(C920/C919)</f>
        <v>2.48363902802045E-005</v>
      </c>
      <c r="F920" s="1" t="n">
        <f aca="false">B920/B919-1</f>
        <v>-0.00877697759748408</v>
      </c>
      <c r="G920" s="1" t="n">
        <f aca="false">C920/C919-1</f>
        <v>2.4836698705899E-005</v>
      </c>
    </row>
    <row r="921" customFormat="false" ht="15" hidden="false" customHeight="false" outlineLevel="0" collapsed="false">
      <c r="A921" s="1" t="s">
        <v>928</v>
      </c>
      <c r="B921" s="5" t="n">
        <v>34.6975</v>
      </c>
      <c r="C921" s="5" t="n">
        <v>12.0801</v>
      </c>
      <c r="D921" s="1" t="n">
        <f aca="false">LN(B921/B920)</f>
        <v>-0.00280893402097171</v>
      </c>
      <c r="E921" s="1" t="n">
        <f aca="false">LN(C921/C920)</f>
        <v>7.45054699776254E-005</v>
      </c>
      <c r="F921" s="1" t="n">
        <f aca="false">B921/B920-1</f>
        <v>-0.00280499265701206</v>
      </c>
      <c r="G921" s="1" t="n">
        <f aca="false">C921/C920-1</f>
        <v>7.45082455790858E-005</v>
      </c>
    </row>
    <row r="922" customFormat="false" ht="15" hidden="false" customHeight="false" outlineLevel="0" collapsed="false">
      <c r="A922" s="1" t="s">
        <v>929</v>
      </c>
      <c r="B922" s="5" t="n">
        <v>33.8774</v>
      </c>
      <c r="C922" s="5" t="n">
        <v>12.0806</v>
      </c>
      <c r="D922" s="1" t="n">
        <f aca="false">LN(B922/B921)</f>
        <v>-0.0239195128491569</v>
      </c>
      <c r="E922" s="1" t="n">
        <f aca="false">LN(C922/C921)</f>
        <v>4.13895292827822E-005</v>
      </c>
      <c r="F922" s="1" t="n">
        <f aca="false">B922/B921-1</f>
        <v>-0.0236357086245406</v>
      </c>
      <c r="G922" s="1" t="n">
        <f aca="false">C922/C921-1</f>
        <v>4.13903858411668E-005</v>
      </c>
    </row>
    <row r="923" customFormat="false" ht="15" hidden="false" customHeight="false" outlineLevel="0" collapsed="false">
      <c r="A923" s="1" t="s">
        <v>930</v>
      </c>
      <c r="B923" s="5" t="n">
        <v>34.3927</v>
      </c>
      <c r="C923" s="5" t="n">
        <v>12.0808</v>
      </c>
      <c r="D923" s="1" t="n">
        <f aca="false">LN(B923/B922)</f>
        <v>0.0150962071587463</v>
      </c>
      <c r="E923" s="1" t="n">
        <f aca="false">LN(C923/C922)</f>
        <v>1.65553320589116E-005</v>
      </c>
      <c r="F923" s="1" t="n">
        <f aca="false">B923/B922-1</f>
        <v>0.0152107304574731</v>
      </c>
      <c r="G923" s="1" t="n">
        <f aca="false">C923/C922-1</f>
        <v>1.65554690991776E-005</v>
      </c>
    </row>
    <row r="924" customFormat="false" ht="15" hidden="false" customHeight="false" outlineLevel="0" collapsed="false">
      <c r="A924" s="1" t="s">
        <v>931</v>
      </c>
      <c r="B924" s="5" t="n">
        <v>33.9755</v>
      </c>
      <c r="C924" s="5" t="n">
        <v>12.0811</v>
      </c>
      <c r="D924" s="1" t="n">
        <f aca="false">LN(B924/B923)</f>
        <v>-0.0122046559250709</v>
      </c>
      <c r="E924" s="1" t="n">
        <f aca="false">LN(C924/C923)</f>
        <v>2.48324842016058E-005</v>
      </c>
      <c r="F924" s="1" t="n">
        <f aca="false">B924/B923-1</f>
        <v>-0.0121304811776918</v>
      </c>
      <c r="G924" s="1" t="n">
        <f aca="false">C924/C923-1</f>
        <v>2.48327925302938E-005</v>
      </c>
    </row>
    <row r="925" customFormat="false" ht="15" hidden="false" customHeight="false" outlineLevel="0" collapsed="false">
      <c r="A925" s="1" t="s">
        <v>932</v>
      </c>
      <c r="B925" s="5" t="n">
        <v>34.2003</v>
      </c>
      <c r="C925" s="5" t="n">
        <v>12.0822</v>
      </c>
      <c r="D925" s="1" t="n">
        <f aca="false">LN(B925/B924)</f>
        <v>0.00659473932753479</v>
      </c>
      <c r="E925" s="1" t="n">
        <f aca="false">LN(C925/C924)</f>
        <v>9.10471666337783E-005</v>
      </c>
      <c r="F925" s="1" t="n">
        <f aca="false">B925/B924-1</f>
        <v>0.00661653250136141</v>
      </c>
      <c r="G925" s="1" t="n">
        <f aca="false">C925/C924-1</f>
        <v>9.10513115528477E-005</v>
      </c>
    </row>
    <row r="926" customFormat="false" ht="15" hidden="false" customHeight="false" outlineLevel="0" collapsed="false">
      <c r="A926" s="1" t="s">
        <v>933</v>
      </c>
      <c r="B926" s="5" t="n">
        <v>34.2228</v>
      </c>
      <c r="C926" s="5" t="n">
        <v>12.0825</v>
      </c>
      <c r="D926" s="1" t="n">
        <f aca="false">LN(B926/B925)</f>
        <v>0.000657672651809212</v>
      </c>
      <c r="E926" s="1" t="n">
        <f aca="false">LN(C926/C925)</f>
        <v>2.48296068243312E-005</v>
      </c>
      <c r="F926" s="1" t="n">
        <f aca="false">B926/B925-1</f>
        <v>0.000657888965886366</v>
      </c>
      <c r="G926" s="1" t="n">
        <f aca="false">C926/C925-1</f>
        <v>2.48299150815701E-005</v>
      </c>
    </row>
    <row r="927" customFormat="false" ht="15" hidden="false" customHeight="false" outlineLevel="0" collapsed="false">
      <c r="A927" s="1" t="s">
        <v>934</v>
      </c>
      <c r="B927" s="5" t="n">
        <v>34.9894</v>
      </c>
      <c r="C927" s="5" t="n">
        <v>12.0828</v>
      </c>
      <c r="D927" s="1" t="n">
        <f aca="false">LN(B927/B926)</f>
        <v>0.0221530698643505</v>
      </c>
      <c r="E927" s="1" t="n">
        <f aca="false">LN(C927/C926)</f>
        <v>2.48289903305725E-005</v>
      </c>
      <c r="F927" s="1" t="n">
        <f aca="false">B927/B926-1</f>
        <v>0.0224002711642533</v>
      </c>
      <c r="G927" s="1" t="n">
        <f aca="false">C927/C926-1</f>
        <v>2.4829298572504E-005</v>
      </c>
    </row>
    <row r="928" customFormat="false" ht="15" hidden="false" customHeight="false" outlineLevel="0" collapsed="false">
      <c r="A928" s="1" t="s">
        <v>935</v>
      </c>
      <c r="B928" s="5" t="n">
        <v>34.9004</v>
      </c>
      <c r="C928" s="5" t="n">
        <v>12.0833</v>
      </c>
      <c r="D928" s="1" t="n">
        <f aca="false">LN(B928/B927)</f>
        <v>-0.00254686801531786</v>
      </c>
      <c r="E928" s="1" t="n">
        <f aca="false">LN(C928/C927)</f>
        <v>4.1380280646882E-005</v>
      </c>
      <c r="F928" s="1" t="n">
        <f aca="false">B928/B927-1</f>
        <v>-0.00254362749861403</v>
      </c>
      <c r="G928" s="1" t="n">
        <f aca="false">C928/C927-1</f>
        <v>4.13811368225048E-005</v>
      </c>
    </row>
    <row r="929" customFormat="false" ht="15" hidden="false" customHeight="false" outlineLevel="0" collapsed="false">
      <c r="A929" s="1" t="s">
        <v>936</v>
      </c>
      <c r="B929" s="5" t="n">
        <v>35.2193</v>
      </c>
      <c r="C929" s="5" t="n">
        <v>12.0838</v>
      </c>
      <c r="D929" s="1" t="n">
        <f aca="false">LN(B929/B928)</f>
        <v>0.00909593733881324</v>
      </c>
      <c r="E929" s="1" t="n">
        <f aca="false">LN(C929/C928)</f>
        <v>4.13785683903447E-005</v>
      </c>
      <c r="F929" s="1" t="n">
        <f aca="false">B929/B928-1</f>
        <v>0.00913743108961507</v>
      </c>
      <c r="G929" s="1" t="n">
        <f aca="false">C929/C928-1</f>
        <v>4.13794244951138E-005</v>
      </c>
    </row>
    <row r="930" customFormat="false" ht="15" hidden="false" customHeight="false" outlineLevel="0" collapsed="false">
      <c r="A930" s="1" t="s">
        <v>937</v>
      </c>
      <c r="B930" s="5" t="n">
        <v>34.9774</v>
      </c>
      <c r="C930" s="5" t="n">
        <v>12.0847</v>
      </c>
      <c r="D930" s="1" t="n">
        <f aca="false">LN(B930/B929)</f>
        <v>-0.00689208915912206</v>
      </c>
      <c r="E930" s="1" t="n">
        <f aca="false">LN(C930/C929)</f>
        <v>7.4477108667431E-005</v>
      </c>
      <c r="F930" s="1" t="n">
        <f aca="false">B930/B929-1</f>
        <v>-0.00686839318214716</v>
      </c>
      <c r="G930" s="1" t="n">
        <f aca="false">C930/C929-1</f>
        <v>7.44798821561421E-005</v>
      </c>
    </row>
    <row r="931" customFormat="false" ht="15" hidden="false" customHeight="false" outlineLevel="0" collapsed="false">
      <c r="A931" s="1" t="s">
        <v>938</v>
      </c>
      <c r="B931" s="5" t="n">
        <v>34.971</v>
      </c>
      <c r="C931" s="5" t="n">
        <v>12.0848</v>
      </c>
      <c r="D931" s="1" t="n">
        <f aca="false">LN(B931/B930)</f>
        <v>-0.000182992034638818</v>
      </c>
      <c r="E931" s="1" t="n">
        <f aca="false">LN(C931/C930)</f>
        <v>8.27489190928861E-006</v>
      </c>
      <c r="F931" s="1" t="n">
        <f aca="false">B931/B930-1</f>
        <v>-0.000182975292617682</v>
      </c>
      <c r="G931" s="1" t="n">
        <f aca="false">C931/C930-1</f>
        <v>8.2749261463011E-006</v>
      </c>
    </row>
    <row r="932" customFormat="false" ht="15" hidden="false" customHeight="false" outlineLevel="0" collapsed="false">
      <c r="A932" s="1" t="s">
        <v>939</v>
      </c>
      <c r="B932" s="5" t="n">
        <v>35.1677</v>
      </c>
      <c r="C932" s="5" t="n">
        <v>12.0851</v>
      </c>
      <c r="D932" s="1" t="n">
        <f aca="false">LN(B932/B931)</f>
        <v>0.00560890109676476</v>
      </c>
      <c r="E932" s="1" t="n">
        <f aca="false">LN(C932/C931)</f>
        <v>2.48242648928323E-005</v>
      </c>
      <c r="F932" s="1" t="n">
        <f aca="false">B932/B931-1</f>
        <v>0.00562466043293042</v>
      </c>
      <c r="G932" s="1" t="n">
        <f aca="false">C932/C931-1</f>
        <v>2.48245730174457E-005</v>
      </c>
    </row>
    <row r="933" customFormat="false" ht="15" hidden="false" customHeight="false" outlineLevel="0" collapsed="false">
      <c r="A933" s="1" t="s">
        <v>940</v>
      </c>
      <c r="B933" s="5" t="n">
        <v>35.3095</v>
      </c>
      <c r="C933" s="5" t="n">
        <v>12.0855</v>
      </c>
      <c r="D933" s="1" t="n">
        <f aca="false">LN(B933/B932)</f>
        <v>0.00402400184293344</v>
      </c>
      <c r="E933" s="1" t="n">
        <f aca="false">LN(C933/C932)</f>
        <v>3.3098061284017E-005</v>
      </c>
      <c r="F933" s="1" t="n">
        <f aca="false">B933/B932-1</f>
        <v>0.0040321090091191</v>
      </c>
      <c r="G933" s="1" t="n">
        <f aca="false">C933/C932-1</f>
        <v>3.30986090308905E-005</v>
      </c>
    </row>
    <row r="934" customFormat="false" ht="15" hidden="false" customHeight="false" outlineLevel="0" collapsed="false">
      <c r="A934" s="1" t="s">
        <v>941</v>
      </c>
      <c r="B934" s="5" t="n">
        <v>34.997</v>
      </c>
      <c r="C934" s="5" t="n">
        <v>12.0857</v>
      </c>
      <c r="D934" s="1" t="n">
        <f aca="false">LN(B934/B933)</f>
        <v>-0.00888970601548291</v>
      </c>
      <c r="E934" s="1" t="n">
        <f aca="false">LN(C934/C933)</f>
        <v>1.65486198455389E-005</v>
      </c>
      <c r="F934" s="1" t="n">
        <f aca="false">B934/B933-1</f>
        <v>-0.00885030940681686</v>
      </c>
      <c r="G934" s="1" t="n">
        <f aca="false">C934/C933-1</f>
        <v>1.65487567747036E-005</v>
      </c>
    </row>
    <row r="935" customFormat="false" ht="15" hidden="false" customHeight="false" outlineLevel="0" collapsed="false">
      <c r="A935" s="1" t="s">
        <v>942</v>
      </c>
      <c r="B935" s="5" t="n">
        <v>34.7441</v>
      </c>
      <c r="C935" s="5" t="n">
        <v>12.0866</v>
      </c>
      <c r="D935" s="1" t="n">
        <f aca="false">LN(B935/B934)</f>
        <v>-0.00725257010684504</v>
      </c>
      <c r="E935" s="1" t="n">
        <f aca="false">LN(C935/C934)</f>
        <v>7.44654005136354E-005</v>
      </c>
      <c r="F935" s="1" t="n">
        <f aca="false">B935/B934-1</f>
        <v>-0.00722633368574444</v>
      </c>
      <c r="G935" s="1" t="n">
        <f aca="false">C935/C934-1</f>
        <v>7.44681731303931E-005</v>
      </c>
    </row>
    <row r="936" customFormat="false" ht="15" hidden="false" customHeight="false" outlineLevel="0" collapsed="false">
      <c r="A936" s="1" t="s">
        <v>943</v>
      </c>
      <c r="B936" s="5" t="n">
        <v>34.8951</v>
      </c>
      <c r="C936" s="5" t="n">
        <v>12.0868</v>
      </c>
      <c r="D936" s="1" t="n">
        <f aca="false">LN(B936/B935)</f>
        <v>0.00433664478191099</v>
      </c>
      <c r="E936" s="1" t="n">
        <f aca="false">LN(C936/C935)</f>
        <v>1.65471137701059E-005</v>
      </c>
      <c r="F936" s="1" t="n">
        <f aca="false">B936/B935-1</f>
        <v>0.00434606163348583</v>
      </c>
      <c r="G936" s="1" t="n">
        <f aca="false">C936/C935-1</f>
        <v>1.6547250674348E-005</v>
      </c>
    </row>
    <row r="937" customFormat="false" ht="15" hidden="false" customHeight="false" outlineLevel="0" collapsed="false">
      <c r="A937" s="1" t="s">
        <v>944</v>
      </c>
      <c r="B937" s="5" t="n">
        <v>34.7189</v>
      </c>
      <c r="C937" s="5" t="n">
        <v>12.0872</v>
      </c>
      <c r="D937" s="1" t="n">
        <f aca="false">LN(B937/B936)</f>
        <v>-0.00506221094247253</v>
      </c>
      <c r="E937" s="1" t="n">
        <f aca="false">LN(C937/C936)</f>
        <v>3.30934061417143E-005</v>
      </c>
      <c r="F937" s="1" t="n">
        <f aca="false">B937/B936-1</f>
        <v>-0.00504941954601079</v>
      </c>
      <c r="G937" s="1" t="n">
        <f aca="false">C937/C936-1</f>
        <v>3.30939537345198E-005</v>
      </c>
    </row>
    <row r="938" customFormat="false" ht="15" hidden="false" customHeight="false" outlineLevel="0" collapsed="false">
      <c r="A938" s="1" t="s">
        <v>945</v>
      </c>
      <c r="B938" s="5" t="n">
        <v>34.4724</v>
      </c>
      <c r="C938" s="5" t="n">
        <v>12.0877</v>
      </c>
      <c r="D938" s="1" t="n">
        <f aca="false">LN(B938/B937)</f>
        <v>-0.00712520339606862</v>
      </c>
      <c r="E938" s="1" t="n">
        <f aca="false">LN(C938/C937)</f>
        <v>4.13652176490753E-005</v>
      </c>
      <c r="F938" s="1" t="n">
        <f aca="false">B938/B937-1</f>
        <v>-0.00709987931645295</v>
      </c>
      <c r="G938" s="1" t="n">
        <f aca="false">C938/C937-1</f>
        <v>4.13660732014876E-005</v>
      </c>
    </row>
    <row r="939" customFormat="false" ht="15" hidden="false" customHeight="false" outlineLevel="0" collapsed="false">
      <c r="A939" s="1" t="s">
        <v>946</v>
      </c>
      <c r="B939" s="5" t="n">
        <v>34.4162</v>
      </c>
      <c r="C939" s="5" t="n">
        <v>12.088</v>
      </c>
      <c r="D939" s="1" t="n">
        <f aca="false">LN(B939/B938)</f>
        <v>-0.00163162010747478</v>
      </c>
      <c r="E939" s="1" t="n">
        <f aca="false">LN(C939/C938)</f>
        <v>2.48183092952074E-005</v>
      </c>
      <c r="F939" s="1" t="n">
        <f aca="false">B939/B938-1</f>
        <v>-0.00163028973903756</v>
      </c>
      <c r="G939" s="1" t="n">
        <f aca="false">C939/C938-1</f>
        <v>2.48186172719933E-005</v>
      </c>
    </row>
    <row r="940" customFormat="false" ht="15" hidden="false" customHeight="false" outlineLevel="0" collapsed="false">
      <c r="A940" s="1" t="s">
        <v>947</v>
      </c>
      <c r="B940" s="5" t="n">
        <v>34.4969</v>
      </c>
      <c r="C940" s="5" t="n">
        <v>12.0892</v>
      </c>
      <c r="D940" s="1" t="n">
        <f aca="false">LN(B940/B939)</f>
        <v>0.0023420811685712</v>
      </c>
      <c r="E940" s="1" t="n">
        <f aca="false">LN(C940/C939)</f>
        <v>9.92670781551461E-005</v>
      </c>
      <c r="F940" s="1" t="n">
        <f aca="false">B940/B939-1</f>
        <v>0.00234482598311248</v>
      </c>
      <c r="G940" s="1" t="n">
        <f aca="false">C940/C939-1</f>
        <v>9.92720052945817E-005</v>
      </c>
    </row>
    <row r="941" customFormat="false" ht="15" hidden="false" customHeight="false" outlineLevel="0" collapsed="false">
      <c r="A941" s="1" t="s">
        <v>948</v>
      </c>
      <c r="B941" s="5" t="n">
        <v>34.0139</v>
      </c>
      <c r="C941" s="5" t="n">
        <v>12.0895</v>
      </c>
      <c r="D941" s="1" t="n">
        <f aca="false">LN(B941/B940)</f>
        <v>-0.0141002003276378</v>
      </c>
      <c r="E941" s="1" t="n">
        <f aca="false">LN(C941/C940)</f>
        <v>2.48152299349224E-005</v>
      </c>
      <c r="F941" s="1" t="n">
        <f aca="false">B941/B940-1</f>
        <v>-0.0140012580840596</v>
      </c>
      <c r="G941" s="1" t="n">
        <f aca="false">C941/C940-1</f>
        <v>2.48155378352877E-005</v>
      </c>
    </row>
    <row r="942" customFormat="false" ht="15" hidden="false" customHeight="false" outlineLevel="0" collapsed="false">
      <c r="A942" s="1" t="s">
        <v>949</v>
      </c>
      <c r="B942" s="5" t="n">
        <v>34.0932</v>
      </c>
      <c r="C942" s="5" t="n">
        <v>12.0897</v>
      </c>
      <c r="D942" s="1" t="n">
        <f aca="false">LN(B942/B941)</f>
        <v>0.00232868631421803</v>
      </c>
      <c r="E942" s="1" t="n">
        <f aca="false">LN(C942/C941)</f>
        <v>1.65431445213454E-005</v>
      </c>
      <c r="F942" s="1" t="n">
        <f aca="false">B942/B941-1</f>
        <v>0.00233139981007779</v>
      </c>
      <c r="G942" s="1" t="n">
        <f aca="false">C942/C941-1</f>
        <v>1.65432813599153E-005</v>
      </c>
    </row>
    <row r="943" customFormat="false" ht="15" hidden="false" customHeight="false" outlineLevel="0" collapsed="false">
      <c r="A943" s="1" t="s">
        <v>950</v>
      </c>
      <c r="B943" s="5" t="n">
        <v>33.8115</v>
      </c>
      <c r="C943" s="5" t="n">
        <v>12.0946</v>
      </c>
      <c r="D943" s="1" t="n">
        <f aca="false">LN(B943/B942)</f>
        <v>-0.00829696960623386</v>
      </c>
      <c r="E943" s="1" t="n">
        <f aca="false">LN(C943/C942)</f>
        <v>0.000405221574910035</v>
      </c>
      <c r="F943" s="1" t="n">
        <f aca="false">B943/B942-1</f>
        <v>-0.00826264475027283</v>
      </c>
      <c r="G943" s="1" t="n">
        <f aca="false">C943/C942-1</f>
        <v>0.000405303688263414</v>
      </c>
    </row>
    <row r="944" customFormat="false" ht="15" hidden="false" customHeight="false" outlineLevel="0" collapsed="false">
      <c r="A944" s="1" t="s">
        <v>951</v>
      </c>
      <c r="B944" s="5" t="n">
        <v>34.2054</v>
      </c>
      <c r="C944" s="5" t="n">
        <v>12.0903</v>
      </c>
      <c r="D944" s="1" t="n">
        <f aca="false">LN(B944/B943)</f>
        <v>0.0115825450333519</v>
      </c>
      <c r="E944" s="1" t="n">
        <f aca="false">LN(C944/C943)</f>
        <v>-0.000355593783336789</v>
      </c>
      <c r="F944" s="1" t="n">
        <f aca="false">B944/B943-1</f>
        <v>0.011649882436449</v>
      </c>
      <c r="G944" s="1" t="n">
        <f aca="false">C944/C943-1</f>
        <v>-0.000355530567360707</v>
      </c>
    </row>
    <row r="945" customFormat="false" ht="15" hidden="false" customHeight="false" outlineLevel="0" collapsed="false">
      <c r="A945" s="1" t="s">
        <v>952</v>
      </c>
      <c r="B945" s="5" t="n">
        <v>34.4169</v>
      </c>
      <c r="C945" s="5" t="n">
        <v>12.0913</v>
      </c>
      <c r="D945" s="1" t="n">
        <f aca="false">LN(B945/B944)</f>
        <v>0.00616419646972813</v>
      </c>
      <c r="E945" s="1" t="n">
        <f aca="false">LN(C945/C944)</f>
        <v>8.27075131977176E-005</v>
      </c>
      <c r="F945" s="1" t="n">
        <f aca="false">B945/B944-1</f>
        <v>0.00618323422617495</v>
      </c>
      <c r="G945" s="1" t="n">
        <f aca="false">C945/C944-1</f>
        <v>8.27109335583831E-005</v>
      </c>
    </row>
    <row r="946" customFormat="false" ht="15" hidden="false" customHeight="false" outlineLevel="0" collapsed="false">
      <c r="A946" s="1" t="s">
        <v>953</v>
      </c>
      <c r="B946" s="5" t="n">
        <v>34.4727</v>
      </c>
      <c r="C946" s="5" t="n">
        <v>12.0919</v>
      </c>
      <c r="D946" s="1" t="n">
        <f aca="false">LN(B946/B945)</f>
        <v>0.00161998363187526</v>
      </c>
      <c r="E946" s="1" t="n">
        <f aca="false">LN(C946/C945)</f>
        <v>4.96212246619692E-005</v>
      </c>
      <c r="F946" s="1" t="n">
        <f aca="false">B946/B945-1</f>
        <v>0.00162129651421261</v>
      </c>
      <c r="G946" s="1" t="n">
        <f aca="false">C946/C945-1</f>
        <v>4.96224558153013E-005</v>
      </c>
    </row>
    <row r="947" customFormat="false" ht="15" hidden="false" customHeight="false" outlineLevel="0" collapsed="false">
      <c r="A947" s="1" t="s">
        <v>954</v>
      </c>
      <c r="B947" s="5" t="n">
        <v>34.6017</v>
      </c>
      <c r="C947" s="5" t="n">
        <v>12.0914</v>
      </c>
      <c r="D947" s="1" t="n">
        <f aca="false">LN(B947/B946)</f>
        <v>0.00373510736172888</v>
      </c>
      <c r="E947" s="1" t="n">
        <f aca="false">LN(C947/C946)</f>
        <v>-4.13508495591687E-005</v>
      </c>
      <c r="F947" s="1" t="n">
        <f aca="false">B947/B946-1</f>
        <v>0.00374209156811034</v>
      </c>
      <c r="G947" s="1" t="n">
        <f aca="false">C947/C946-1</f>
        <v>-4.13499946245732E-005</v>
      </c>
    </row>
    <row r="948" customFormat="false" ht="15" hidden="false" customHeight="false" outlineLevel="0" collapsed="false">
      <c r="A948" s="1" t="s">
        <v>955</v>
      </c>
      <c r="B948" s="5" t="n">
        <v>34.5169</v>
      </c>
      <c r="C948" s="5" t="n">
        <v>12.0916</v>
      </c>
      <c r="D948" s="1" t="n">
        <f aca="false">LN(B948/B947)</f>
        <v>-0.00245375463472271</v>
      </c>
      <c r="E948" s="1" t="n">
        <f aca="false">LN(C948/C947)</f>
        <v>1.65405450113292E-005</v>
      </c>
      <c r="F948" s="1" t="n">
        <f aca="false">B948/B947-1</f>
        <v>-0.00245074663961598</v>
      </c>
      <c r="G948" s="1" t="n">
        <f aca="false">C948/C947-1</f>
        <v>1.65406818068981E-005</v>
      </c>
    </row>
    <row r="949" customFormat="false" ht="15" hidden="false" customHeight="false" outlineLevel="0" collapsed="false">
      <c r="A949" s="1" t="s">
        <v>956</v>
      </c>
      <c r="B949" s="5" t="n">
        <v>34.6326</v>
      </c>
      <c r="C949" s="5" t="n">
        <v>12.0919</v>
      </c>
      <c r="D949" s="1" t="n">
        <f aca="false">LN(B949/B948)</f>
        <v>0.00334637583697899</v>
      </c>
      <c r="E949" s="1" t="n">
        <f aca="false">LN(C949/C948)</f>
        <v>2.48103045478027E-005</v>
      </c>
      <c r="F949" s="1" t="n">
        <f aca="false">B949/B948-1</f>
        <v>0.0033519812034104</v>
      </c>
      <c r="G949" s="1" t="n">
        <f aca="false">C949/C948-1</f>
        <v>2.48106123259539E-005</v>
      </c>
    </row>
    <row r="950" customFormat="false" ht="15" hidden="false" customHeight="false" outlineLevel="0" collapsed="false">
      <c r="A950" s="1" t="s">
        <v>957</v>
      </c>
      <c r="B950" s="5" t="n">
        <v>35.4723</v>
      </c>
      <c r="C950" s="5" t="n">
        <v>12.0928</v>
      </c>
      <c r="D950" s="1" t="n">
        <f aca="false">LN(B950/B949)</f>
        <v>0.0239566752060951</v>
      </c>
      <c r="E950" s="1" t="n">
        <f aca="false">LN(C950/C949)</f>
        <v>7.44272205498485E-005</v>
      </c>
      <c r="F950" s="1" t="n">
        <f aca="false">B950/B949-1</f>
        <v>0.024245941685002</v>
      </c>
      <c r="G950" s="1" t="n">
        <f aca="false">C950/C949-1</f>
        <v>7.4429990324143E-005</v>
      </c>
    </row>
    <row r="951" customFormat="false" ht="15" hidden="false" customHeight="false" outlineLevel="0" collapsed="false">
      <c r="A951" s="1" t="s">
        <v>958</v>
      </c>
      <c r="B951" s="5" t="n">
        <v>35.4935</v>
      </c>
      <c r="C951" s="5" t="n">
        <v>12.0931</v>
      </c>
      <c r="D951" s="1" t="n">
        <f aca="false">LN(B951/B950)</f>
        <v>0.000597470912204146</v>
      </c>
      <c r="E951" s="1" t="n">
        <f aca="false">LN(C951/C950)</f>
        <v>2.48078425871848E-005</v>
      </c>
      <c r="F951" s="1" t="n">
        <f aca="false">B951/B950-1</f>
        <v>0.000597649433501601</v>
      </c>
      <c r="G951" s="1" t="n">
        <f aca="false">C951/C950-1</f>
        <v>2.48081503042563E-005</v>
      </c>
    </row>
    <row r="952" customFormat="false" ht="15" hidden="false" customHeight="false" outlineLevel="0" collapsed="false">
      <c r="A952" s="1" t="s">
        <v>959</v>
      </c>
      <c r="B952" s="5" t="n">
        <v>35.0251</v>
      </c>
      <c r="C952" s="5" t="n">
        <v>12.0937</v>
      </c>
      <c r="D952" s="1" t="n">
        <f aca="false">LN(B952/B951)</f>
        <v>-0.0132846338027347</v>
      </c>
      <c r="E952" s="1" t="n">
        <f aca="false">LN(C952/C951)</f>
        <v>4.96138389637896E-005</v>
      </c>
      <c r="F952" s="1" t="n">
        <f aca="false">B952/B951-1</f>
        <v>-0.0131967825094734</v>
      </c>
      <c r="G952" s="1" t="n">
        <f aca="false">C952/C951-1</f>
        <v>4.96150697506526E-005</v>
      </c>
    </row>
    <row r="953" customFormat="false" ht="15" hidden="false" customHeight="false" outlineLevel="0" collapsed="false">
      <c r="A953" s="1" t="s">
        <v>960</v>
      </c>
      <c r="B953" s="5" t="n">
        <v>34.8885</v>
      </c>
      <c r="C953" s="5" t="n">
        <v>12.0941</v>
      </c>
      <c r="D953" s="1" t="n">
        <f aca="false">LN(B953/B952)</f>
        <v>-0.00390768530939645</v>
      </c>
      <c r="E953" s="1" t="n">
        <f aca="false">LN(C953/C952)</f>
        <v>3.30745251767566E-005</v>
      </c>
      <c r="F953" s="1" t="n">
        <f aca="false">B953/B952-1</f>
        <v>-0.00390006024251188</v>
      </c>
      <c r="G953" s="1" t="n">
        <f aca="false">C953/C952-1</f>
        <v>3.30750721448947E-005</v>
      </c>
    </row>
    <row r="954" customFormat="false" ht="15" hidden="false" customHeight="false" outlineLevel="0" collapsed="false">
      <c r="A954" s="1" t="s">
        <v>961</v>
      </c>
      <c r="B954" s="5" t="n">
        <v>34.4864</v>
      </c>
      <c r="C954" s="5" t="n">
        <v>12.0949</v>
      </c>
      <c r="D954" s="1" t="n">
        <f aca="false">LN(B954/B953)</f>
        <v>-0.0115922185927204</v>
      </c>
      <c r="E954" s="1" t="n">
        <f aca="false">LN(C954/C953)</f>
        <v>6.61457687620669E-005</v>
      </c>
      <c r="F954" s="1" t="n">
        <f aca="false">B954/B953-1</f>
        <v>-0.0115252877022514</v>
      </c>
      <c r="G954" s="1" t="n">
        <f aca="false">C954/C953-1</f>
        <v>6.61479564416645E-005</v>
      </c>
    </row>
    <row r="955" customFormat="false" ht="15" hidden="false" customHeight="false" outlineLevel="0" collapsed="false">
      <c r="A955" s="1" t="s">
        <v>962</v>
      </c>
      <c r="B955" s="5" t="n">
        <v>34.5618</v>
      </c>
      <c r="C955" s="5" t="n">
        <v>12.0952</v>
      </c>
      <c r="D955" s="1" t="n">
        <f aca="false">LN(B955/B954)</f>
        <v>0.00218398249252281</v>
      </c>
      <c r="E955" s="1" t="n">
        <f aca="false">LN(C955/C954)</f>
        <v>2.48035353317859E-005</v>
      </c>
      <c r="F955" s="1" t="n">
        <f aca="false">B955/B954-1</f>
        <v>0.00218636911942083</v>
      </c>
      <c r="G955" s="1" t="n">
        <f aca="false">C955/C954-1</f>
        <v>2.48038429420117E-005</v>
      </c>
    </row>
    <row r="956" customFormat="false" ht="15" hidden="false" customHeight="false" outlineLevel="0" collapsed="false">
      <c r="A956" s="1" t="s">
        <v>963</v>
      </c>
      <c r="B956" s="5" t="n">
        <v>34.1293</v>
      </c>
      <c r="C956" s="5" t="n">
        <v>12.0956</v>
      </c>
      <c r="D956" s="1" t="n">
        <f aca="false">LN(B956/B955)</f>
        <v>-0.0125927730200235</v>
      </c>
      <c r="E956" s="1" t="n">
        <f aca="false">LN(C956/C955)</f>
        <v>3.30704234697692E-005</v>
      </c>
      <c r="F956" s="1" t="n">
        <f aca="false">B956/B955-1</f>
        <v>-0.0125138158313513</v>
      </c>
      <c r="G956" s="1" t="n">
        <f aca="false">C956/C955-1</f>
        <v>3.30709703022514E-005</v>
      </c>
    </row>
    <row r="957" customFormat="false" ht="15" hidden="false" customHeight="false" outlineLevel="0" collapsed="false">
      <c r="A957" s="1" t="s">
        <v>964</v>
      </c>
      <c r="B957" s="5" t="n">
        <v>34.0498</v>
      </c>
      <c r="C957" s="5" t="n">
        <v>12.0957</v>
      </c>
      <c r="D957" s="1" t="n">
        <f aca="false">LN(B957/B956)</f>
        <v>-0.00233209402972877</v>
      </c>
      <c r="E957" s="1" t="n">
        <f aca="false">LN(C957/C956)</f>
        <v>8.26743498704704E-006</v>
      </c>
      <c r="F957" s="1" t="n">
        <f aca="false">B957/B956-1</f>
        <v>-0.00232937681112722</v>
      </c>
      <c r="G957" s="1" t="n">
        <f aca="false">C957/C956-1</f>
        <v>8.26746916238186E-006</v>
      </c>
    </row>
    <row r="958" customFormat="false" ht="15" hidden="false" customHeight="false" outlineLevel="0" collapsed="false">
      <c r="A958" s="1" t="s">
        <v>965</v>
      </c>
      <c r="B958" s="5" t="n">
        <v>33.9505</v>
      </c>
      <c r="C958" s="5" t="n">
        <v>12.096</v>
      </c>
      <c r="D958" s="1" t="n">
        <f aca="false">LN(B958/B957)</f>
        <v>-0.00292057742638947</v>
      </c>
      <c r="E958" s="1" t="n">
        <f aca="false">LN(C958/C957)</f>
        <v>2.4801894866077E-005</v>
      </c>
      <c r="F958" s="1" t="n">
        <f aca="false">B958/B957-1</f>
        <v>-0.00291631668908476</v>
      </c>
      <c r="G958" s="1" t="n">
        <f aca="false">C958/C957-1</f>
        <v>2.48022024356143E-005</v>
      </c>
    </row>
    <row r="959" customFormat="false" ht="15" hidden="false" customHeight="false" outlineLevel="0" collapsed="false">
      <c r="A959" s="1" t="s">
        <v>966</v>
      </c>
      <c r="B959" s="5" t="n">
        <v>33.5463</v>
      </c>
      <c r="C959" s="5" t="n">
        <v>12.0962</v>
      </c>
      <c r="D959" s="1" t="n">
        <f aca="false">LN(B959/B958)</f>
        <v>-0.0119770072601641</v>
      </c>
      <c r="E959" s="1" t="n">
        <f aca="false">LN(C959/C958)</f>
        <v>1.6534254842828E-005</v>
      </c>
      <c r="F959" s="1" t="n">
        <f aca="false">B959/B958-1</f>
        <v>-0.0119055684010544</v>
      </c>
      <c r="G959" s="1" t="n">
        <f aca="false">C959/C958-1</f>
        <v>1.6534391534373E-005</v>
      </c>
    </row>
    <row r="960" customFormat="false" ht="15" hidden="false" customHeight="false" outlineLevel="0" collapsed="false">
      <c r="A960" s="1" t="s">
        <v>967</v>
      </c>
      <c r="B960" s="5" t="n">
        <v>33.945</v>
      </c>
      <c r="C960" s="5" t="n">
        <v>12.097</v>
      </c>
      <c r="D960" s="1" t="n">
        <f aca="false">LN(B960/B959)</f>
        <v>0.0118149935770178</v>
      </c>
      <c r="E960" s="1" t="n">
        <f aca="false">LN(C960/C959)</f>
        <v>6.61342856912516E-005</v>
      </c>
      <c r="F960" s="1" t="n">
        <f aca="false">B960/B959-1</f>
        <v>0.0118850663113368</v>
      </c>
      <c r="G960" s="1" t="n">
        <f aca="false">C960/C959-1</f>
        <v>6.61364726113334E-005</v>
      </c>
    </row>
    <row r="961" customFormat="false" ht="15" hidden="false" customHeight="false" outlineLevel="0" collapsed="false">
      <c r="A961" s="1" t="s">
        <v>968</v>
      </c>
      <c r="B961" s="5" t="n">
        <v>33.8741</v>
      </c>
      <c r="C961" s="5" t="n">
        <v>12.0967</v>
      </c>
      <c r="D961" s="1" t="n">
        <f aca="false">LN(B961/B960)</f>
        <v>-0.00209085717237075</v>
      </c>
      <c r="E961" s="1" t="n">
        <f aca="false">LN(C961/C960)</f>
        <v>-2.47998445888411E-005</v>
      </c>
      <c r="F961" s="1" t="n">
        <f aca="false">B961/B960-1</f>
        <v>-0.00208867285314485</v>
      </c>
      <c r="G961" s="1" t="n">
        <f aca="false">C961/C960-1</f>
        <v>-2.47995370752374E-005</v>
      </c>
    </row>
    <row r="962" customFormat="false" ht="15" hidden="false" customHeight="false" outlineLevel="0" collapsed="false">
      <c r="A962" s="1" t="s">
        <v>969</v>
      </c>
      <c r="B962" s="5" t="n">
        <v>33.9</v>
      </c>
      <c r="C962" s="5" t="n">
        <v>12.0971</v>
      </c>
      <c r="D962" s="1" t="n">
        <f aca="false">LN(B962/B961)</f>
        <v>0.000764303805164923</v>
      </c>
      <c r="E962" s="1" t="n">
        <f aca="false">LN(C962/C961)</f>
        <v>3.30663227799176E-005</v>
      </c>
      <c r="F962" s="1" t="n">
        <f aca="false">B962/B961-1</f>
        <v>0.000764595959745096</v>
      </c>
      <c r="G962" s="1" t="n">
        <f aca="false">C962/C961-1</f>
        <v>3.30668694767944E-005</v>
      </c>
    </row>
    <row r="963" customFormat="false" ht="15" hidden="false" customHeight="false" outlineLevel="0" collapsed="false">
      <c r="A963" s="1" t="s">
        <v>970</v>
      </c>
      <c r="B963" s="5" t="n">
        <v>33.8124</v>
      </c>
      <c r="C963" s="5" t="n">
        <v>12.0977</v>
      </c>
      <c r="D963" s="1" t="n">
        <f aca="false">LN(B963/B962)</f>
        <v>-0.00258741527021455</v>
      </c>
      <c r="E963" s="1" t="n">
        <f aca="false">LN(C963/C962)</f>
        <v>4.95974341695968E-005</v>
      </c>
      <c r="F963" s="1" t="n">
        <f aca="false">B963/B962-1</f>
        <v>-0.00258407079646028</v>
      </c>
      <c r="G963" s="1" t="n">
        <f aca="false">C963/C962-1</f>
        <v>4.95986641426693E-005</v>
      </c>
    </row>
    <row r="964" customFormat="false" ht="15" hidden="false" customHeight="false" outlineLevel="0" collapsed="false">
      <c r="A964" s="1" t="s">
        <v>971</v>
      </c>
      <c r="B964" s="5" t="n">
        <v>33.0458</v>
      </c>
      <c r="C964" s="5" t="n">
        <v>12.0982</v>
      </c>
      <c r="D964" s="1" t="n">
        <f aca="false">LN(B964/B963)</f>
        <v>-0.0229331210754083</v>
      </c>
      <c r="E964" s="1" t="n">
        <f aca="false">LN(C964/C963)</f>
        <v>4.13293161296325E-005</v>
      </c>
      <c r="F964" s="1" t="n">
        <f aca="false">B964/B963-1</f>
        <v>-0.0226721557771704</v>
      </c>
      <c r="G964" s="1" t="n">
        <f aca="false">C964/C963-1</f>
        <v>4.13301701975843E-005</v>
      </c>
    </row>
    <row r="965" customFormat="false" ht="15" hidden="false" customHeight="false" outlineLevel="0" collapsed="false">
      <c r="A965" s="1" t="s">
        <v>972</v>
      </c>
      <c r="B965" s="5" t="n">
        <v>33.0653</v>
      </c>
      <c r="C965" s="5" t="n">
        <v>12.0984</v>
      </c>
      <c r="D965" s="1" t="n">
        <f aca="false">LN(B965/B964)</f>
        <v>0.000589916082639783</v>
      </c>
      <c r="E965" s="1" t="n">
        <f aca="false">LN(C965/C964)</f>
        <v>1.65312481923145E-005</v>
      </c>
      <c r="F965" s="1" t="n">
        <f aca="false">B965/B964-1</f>
        <v>0.000590090117352338</v>
      </c>
      <c r="G965" s="1" t="n">
        <f aca="false">C965/C964-1</f>
        <v>1.65313848341508E-005</v>
      </c>
    </row>
    <row r="966" customFormat="false" ht="15" hidden="false" customHeight="false" outlineLevel="0" collapsed="false">
      <c r="A966" s="1" t="s">
        <v>973</v>
      </c>
      <c r="B966" s="5" t="n">
        <v>32.8544</v>
      </c>
      <c r="C966" s="5" t="n">
        <v>12.0987</v>
      </c>
      <c r="D966" s="1" t="n">
        <f aca="false">LN(B966/B965)</f>
        <v>-0.00639871600091299</v>
      </c>
      <c r="E966" s="1" t="n">
        <f aca="false">LN(C966/C965)</f>
        <v>2.47963598956357E-005</v>
      </c>
      <c r="F966" s="1" t="n">
        <f aca="false">B966/B965-1</f>
        <v>-0.00637828781229877</v>
      </c>
      <c r="G966" s="1" t="n">
        <f aca="false">C966/C965-1</f>
        <v>2.47966673279088E-005</v>
      </c>
    </row>
    <row r="967" customFormat="false" ht="15" hidden="false" customHeight="false" outlineLevel="0" collapsed="false">
      <c r="A967" s="1" t="s">
        <v>974</v>
      </c>
      <c r="B967" s="5" t="n">
        <v>33.2109</v>
      </c>
      <c r="C967" s="5" t="n">
        <v>12.0991</v>
      </c>
      <c r="D967" s="1" t="n">
        <f aca="false">LN(B967/B966)</f>
        <v>0.0107924571699437</v>
      </c>
      <c r="E967" s="1" t="n">
        <f aca="false">LN(C967/C966)</f>
        <v>3.30608567751421E-005</v>
      </c>
      <c r="F967" s="1" t="n">
        <f aca="false">B967/B966-1</f>
        <v>0.0108509058147463</v>
      </c>
      <c r="G967" s="1" t="n">
        <f aca="false">C967/C966-1</f>
        <v>3.30614032912902E-005</v>
      </c>
    </row>
    <row r="968" customFormat="false" ht="15" hidden="false" customHeight="false" outlineLevel="0" collapsed="false">
      <c r="A968" s="1" t="s">
        <v>975</v>
      </c>
      <c r="B968" s="5" t="n">
        <v>33.2648</v>
      </c>
      <c r="C968" s="5" t="n">
        <v>12.1005</v>
      </c>
      <c r="D968" s="1" t="n">
        <f aca="false">LN(B968/B967)</f>
        <v>0.00162164555805777</v>
      </c>
      <c r="E968" s="1" t="n">
        <f aca="false">LN(C968/C967)</f>
        <v>0.000115704391937326</v>
      </c>
      <c r="F968" s="1" t="n">
        <f aca="false">B968/B967-1</f>
        <v>0.00162296113625349</v>
      </c>
      <c r="G968" s="1" t="n">
        <f aca="false">C968/C967-1</f>
        <v>0.000115711085948655</v>
      </c>
    </row>
    <row r="969" customFormat="false" ht="15" hidden="false" customHeight="false" outlineLevel="0" collapsed="false">
      <c r="A969" s="1" t="s">
        <v>976</v>
      </c>
      <c r="B969" s="5" t="n">
        <v>33.1001</v>
      </c>
      <c r="C969" s="5" t="n">
        <v>12.101</v>
      </c>
      <c r="D969" s="1" t="n">
        <f aca="false">LN(B969/B968)</f>
        <v>-0.00496347732402027</v>
      </c>
      <c r="E969" s="1" t="n">
        <f aca="false">LN(C969/C968)</f>
        <v>4.13197529138219E-005</v>
      </c>
      <c r="F969" s="1" t="n">
        <f aca="false">B969/B968-1</f>
        <v>-0.00495117962530978</v>
      </c>
      <c r="G969" s="1" t="n">
        <f aca="false">C969/C968-1</f>
        <v>4.13206065865701E-005</v>
      </c>
    </row>
    <row r="970" customFormat="false" ht="15" hidden="false" customHeight="false" outlineLevel="0" collapsed="false">
      <c r="A970" s="1" t="s">
        <v>977</v>
      </c>
      <c r="B970" s="5" t="n">
        <v>33.5043</v>
      </c>
      <c r="C970" s="5" t="n">
        <v>12.1012</v>
      </c>
      <c r="D970" s="1" t="n">
        <f aca="false">LN(B970/B969)</f>
        <v>0.0121374852762762</v>
      </c>
      <c r="E970" s="1" t="n">
        <f aca="false">LN(C970/C969)</f>
        <v>1.65274231271046E-005</v>
      </c>
      <c r="F970" s="1" t="n">
        <f aca="false">B970/B969-1</f>
        <v>0.0122114434699594</v>
      </c>
      <c r="G970" s="1" t="n">
        <f aca="false">C970/C969-1</f>
        <v>1.65275597057146E-005</v>
      </c>
    </row>
    <row r="971" customFormat="false" ht="15" hidden="false" customHeight="false" outlineLevel="0" collapsed="false">
      <c r="A971" s="1" t="s">
        <v>978</v>
      </c>
      <c r="B971" s="5" t="n">
        <v>33.9057</v>
      </c>
      <c r="C971" s="5" t="n">
        <v>12.1023</v>
      </c>
      <c r="D971" s="1" t="n">
        <f aca="false">LN(B971/B970)</f>
        <v>0.0119093530423458</v>
      </c>
      <c r="E971" s="1" t="n">
        <f aca="false">LN(C971/C970)</f>
        <v>9.0895944863849E-005</v>
      </c>
      <c r="F971" s="1" t="n">
        <f aca="false">B971/B970-1</f>
        <v>0.011980551750074</v>
      </c>
      <c r="G971" s="1" t="n">
        <f aca="false">C971/C970-1</f>
        <v>9.09000760254131E-005</v>
      </c>
    </row>
    <row r="972" customFormat="false" ht="15" hidden="false" customHeight="false" outlineLevel="0" collapsed="false">
      <c r="A972" s="1" t="s">
        <v>979</v>
      </c>
      <c r="B972" s="5" t="n">
        <v>33.911</v>
      </c>
      <c r="C972" s="5" t="n">
        <v>12.1026</v>
      </c>
      <c r="D972" s="1" t="n">
        <f aca="false">LN(B972/B971)</f>
        <v>0.000156303683629233</v>
      </c>
      <c r="E972" s="1" t="n">
        <f aca="false">LN(C972/C971)</f>
        <v>2.47883692983852E-005</v>
      </c>
      <c r="F972" s="1" t="n">
        <f aca="false">B972/B971-1</f>
        <v>0.000156315899686454</v>
      </c>
      <c r="G972" s="1" t="n">
        <f aca="false">C972/C971-1</f>
        <v>2.478867653255E-005</v>
      </c>
    </row>
    <row r="973" customFormat="false" ht="15" hidden="false" customHeight="false" outlineLevel="0" collapsed="false">
      <c r="A973" s="1" t="s">
        <v>980</v>
      </c>
      <c r="B973" s="5" t="n">
        <v>33.8347</v>
      </c>
      <c r="C973" s="5" t="n">
        <v>12.103</v>
      </c>
      <c r="D973" s="1" t="n">
        <f aca="false">LN(B973/B972)</f>
        <v>-0.00225254244215799</v>
      </c>
      <c r="E973" s="1" t="n">
        <f aca="false">LN(C973/C972)</f>
        <v>3.30502032617379E-005</v>
      </c>
      <c r="F973" s="1" t="n">
        <f aca="false">B973/B972-1</f>
        <v>-0.00225000737223924</v>
      </c>
      <c r="G973" s="1" t="n">
        <f aca="false">C973/C972-1</f>
        <v>3.30507494257226E-005</v>
      </c>
    </row>
    <row r="974" customFormat="false" ht="15" hidden="false" customHeight="false" outlineLevel="0" collapsed="false">
      <c r="A974" s="1" t="s">
        <v>981</v>
      </c>
      <c r="B974" s="5" t="n">
        <v>33.7824</v>
      </c>
      <c r="C974" s="5" t="n">
        <v>12.1033</v>
      </c>
      <c r="D974" s="1" t="n">
        <f aca="false">LN(B974/B973)</f>
        <v>-0.00154694627334427</v>
      </c>
      <c r="E974" s="1" t="n">
        <f aca="false">LN(C974/C973)</f>
        <v>2.47869356338752E-005</v>
      </c>
      <c r="F974" s="1" t="n">
        <f aca="false">B974/B973-1</f>
        <v>-0.00154575036870419</v>
      </c>
      <c r="G974" s="1" t="n">
        <f aca="false">C974/C973-1</f>
        <v>2.47872428325024E-005</v>
      </c>
    </row>
    <row r="975" customFormat="false" ht="15" hidden="false" customHeight="false" outlineLevel="0" collapsed="false">
      <c r="A975" s="1" t="s">
        <v>982</v>
      </c>
      <c r="B975" s="5" t="n">
        <v>33.9785</v>
      </c>
      <c r="C975" s="5" t="n">
        <v>12.1036</v>
      </c>
      <c r="D975" s="1" t="n">
        <f aca="false">LN(B975/B974)</f>
        <v>0.00578801484229872</v>
      </c>
      <c r="E975" s="1" t="n">
        <f aca="false">LN(C975/C974)</f>
        <v>2.47863212567889E-005</v>
      </c>
      <c r="F975" s="1" t="n">
        <f aca="false">B975/B974-1</f>
        <v>0.00580479776451637</v>
      </c>
      <c r="G975" s="1" t="n">
        <f aca="false">C975/C974-1</f>
        <v>2.47866284401876E-005</v>
      </c>
    </row>
    <row r="976" customFormat="false" ht="15" hidden="false" customHeight="false" outlineLevel="0" collapsed="false">
      <c r="A976" s="1" t="s">
        <v>983</v>
      </c>
      <c r="B976" s="5" t="n">
        <v>33.6251</v>
      </c>
      <c r="C976" s="5" t="n">
        <v>12.1046</v>
      </c>
      <c r="D976" s="1" t="n">
        <f aca="false">LN(B976/B975)</f>
        <v>-0.0104551597602611</v>
      </c>
      <c r="E976" s="1" t="n">
        <f aca="false">LN(C976/C975)</f>
        <v>8.26166340800626E-005</v>
      </c>
      <c r="F976" s="1" t="n">
        <f aca="false">B976/B975-1</f>
        <v>-0.0104006945568519</v>
      </c>
      <c r="G976" s="1" t="n">
        <f aca="false">C976/C975-1</f>
        <v>8.26200469281613E-005</v>
      </c>
    </row>
    <row r="977" customFormat="false" ht="15" hidden="false" customHeight="false" outlineLevel="0" collapsed="false">
      <c r="A977" s="1" t="s">
        <v>984</v>
      </c>
      <c r="B977" s="5" t="n">
        <v>33.4914</v>
      </c>
      <c r="C977" s="5" t="n">
        <v>12.1063</v>
      </c>
      <c r="D977" s="1" t="n">
        <f aca="false">LN(B977/B976)</f>
        <v>-0.00398412243946616</v>
      </c>
      <c r="E977" s="1" t="n">
        <f aca="false">LN(C977/C976)</f>
        <v>0.000140432615292661</v>
      </c>
      <c r="F977" s="1" t="n">
        <f aca="false">B977/B976-1</f>
        <v>-0.00397619635331958</v>
      </c>
      <c r="G977" s="1" t="n">
        <f aca="false">C977/C976-1</f>
        <v>0.000140442476413982</v>
      </c>
    </row>
    <row r="978" customFormat="false" ht="15" hidden="false" customHeight="false" outlineLevel="0" collapsed="false">
      <c r="A978" s="1" t="s">
        <v>985</v>
      </c>
      <c r="B978" s="5" t="n">
        <v>33.5504</v>
      </c>
      <c r="C978" s="5" t="n">
        <v>12.1066</v>
      </c>
      <c r="D978" s="1" t="n">
        <f aca="false">LN(B978/B977)</f>
        <v>0.00176009639453414</v>
      </c>
      <c r="E978" s="1" t="n">
        <f aca="false">LN(C978/C977)</f>
        <v>2.47801791620786E-005</v>
      </c>
      <c r="F978" s="1" t="n">
        <f aca="false">B978/B977-1</f>
        <v>0.00176164627337183</v>
      </c>
      <c r="G978" s="1" t="n">
        <f aca="false">C978/C977-1</f>
        <v>2.47804861932543E-005</v>
      </c>
    </row>
    <row r="979" customFormat="false" ht="15" hidden="false" customHeight="false" outlineLevel="0" collapsed="false">
      <c r="A979" s="1" t="s">
        <v>986</v>
      </c>
      <c r="B979" s="5" t="n">
        <v>33.6155</v>
      </c>
      <c r="C979" s="5" t="n">
        <v>12.1069</v>
      </c>
      <c r="D979" s="1" t="n">
        <f aca="false">LN(B979/B978)</f>
        <v>0.00193848427209723</v>
      </c>
      <c r="E979" s="1" t="n">
        <f aca="false">LN(C979/C978)</f>
        <v>2.47795651198231E-005</v>
      </c>
      <c r="F979" s="1" t="n">
        <f aca="false">B979/B978-1</f>
        <v>0.00194036434736966</v>
      </c>
      <c r="G979" s="1" t="n">
        <f aca="false">C979/C978-1</f>
        <v>2.47798721357828E-005</v>
      </c>
    </row>
    <row r="980" customFormat="false" ht="15" hidden="false" customHeight="false" outlineLevel="0" collapsed="false">
      <c r="A980" s="1" t="s">
        <v>987</v>
      </c>
      <c r="B980" s="5" t="n">
        <v>33.7156</v>
      </c>
      <c r="C980" s="5" t="n">
        <v>12.1072</v>
      </c>
      <c r="D980" s="1" t="n">
        <f aca="false">LN(B980/B979)</f>
        <v>0.00297336813888349</v>
      </c>
      <c r="E980" s="1" t="n">
        <f aca="false">LN(C980/C979)</f>
        <v>2.47789511084307E-005</v>
      </c>
      <c r="F980" s="1" t="n">
        <f aca="false">B980/B979-1</f>
        <v>0.00297779298240419</v>
      </c>
      <c r="G980" s="1" t="n">
        <f aca="false">C980/C979-1</f>
        <v>2.47792581091755E-005</v>
      </c>
    </row>
    <row r="981" customFormat="false" ht="15" hidden="false" customHeight="false" outlineLevel="0" collapsed="false">
      <c r="A981" s="1" t="s">
        <v>988</v>
      </c>
      <c r="B981" s="5" t="n">
        <v>33.8276</v>
      </c>
      <c r="C981" s="5" t="n">
        <v>12.108</v>
      </c>
      <c r="D981" s="1" t="n">
        <f aca="false">LN(B981/B980)</f>
        <v>0.00331639906467764</v>
      </c>
      <c r="E981" s="1" t="n">
        <f aca="false">LN(C981/C980)</f>
        <v>6.6074201352219E-005</v>
      </c>
      <c r="F981" s="1" t="n">
        <f aca="false">B981/B980-1</f>
        <v>0.00332190440033675</v>
      </c>
      <c r="G981" s="1" t="n">
        <f aca="false">C981/C980-1</f>
        <v>6.60763843003398E-005</v>
      </c>
    </row>
    <row r="982" customFormat="false" ht="15" hidden="false" customHeight="false" outlineLevel="0" collapsed="false">
      <c r="A982" s="1" t="s">
        <v>989</v>
      </c>
      <c r="B982" s="5" t="n">
        <v>34.1151</v>
      </c>
      <c r="C982" s="5" t="n">
        <v>12.1082</v>
      </c>
      <c r="D982" s="1" t="n">
        <f aca="false">LN(B982/B981)</f>
        <v>0.00846306419899635</v>
      </c>
      <c r="E982" s="1" t="n">
        <f aca="false">LN(C982/C981)</f>
        <v>1.65178682042519E-005</v>
      </c>
      <c r="F982" s="1" t="n">
        <f aca="false">B982/B981-1</f>
        <v>0.008498977166574</v>
      </c>
      <c r="G982" s="1" t="n">
        <f aca="false">C982/C981-1</f>
        <v>1.6518004624988E-005</v>
      </c>
    </row>
    <row r="983" customFormat="false" ht="15" hidden="false" customHeight="false" outlineLevel="0" collapsed="false">
      <c r="A983" s="1" t="s">
        <v>990</v>
      </c>
      <c r="B983" s="5" t="n">
        <v>34.3947</v>
      </c>
      <c r="C983" s="5" t="n">
        <v>12.1086</v>
      </c>
      <c r="D983" s="1" t="n">
        <f aca="false">LN(B983/B982)</f>
        <v>0.00816238121694599</v>
      </c>
      <c r="E983" s="1" t="n">
        <f aca="false">LN(C983/C982)</f>
        <v>3.3034917911121E-005</v>
      </c>
      <c r="F983" s="1" t="n">
        <f aca="false">B983/B982-1</f>
        <v>0.00819578427148104</v>
      </c>
      <c r="G983" s="1" t="n">
        <f aca="false">C983/C982-1</f>
        <v>3.30354635700303E-005</v>
      </c>
    </row>
    <row r="984" customFormat="false" ht="15" hidden="false" customHeight="false" outlineLevel="0" collapsed="false">
      <c r="A984" s="1" t="s">
        <v>991</v>
      </c>
      <c r="B984" s="5" t="n">
        <v>34.4373</v>
      </c>
      <c r="C984" s="5" t="n">
        <v>12.1089</v>
      </c>
      <c r="D984" s="1" t="n">
        <f aca="false">LN(B984/B983)</f>
        <v>0.00123779653181939</v>
      </c>
      <c r="E984" s="1" t="n">
        <f aca="false">LN(C984/C983)</f>
        <v>2.47754722836903E-005</v>
      </c>
      <c r="F984" s="1" t="n">
        <f aca="false">B984/B983-1</f>
        <v>0.00123856291812396</v>
      </c>
      <c r="G984" s="1" t="n">
        <f aca="false">C984/C983-1</f>
        <v>2.47757791982384E-005</v>
      </c>
    </row>
    <row r="985" customFormat="false" ht="15" hidden="false" customHeight="false" outlineLevel="0" collapsed="false">
      <c r="A985" s="1" t="s">
        <v>992</v>
      </c>
      <c r="B985" s="5" t="n">
        <v>34.5042</v>
      </c>
      <c r="C985" s="5" t="n">
        <v>12.1092</v>
      </c>
      <c r="D985" s="1" t="n">
        <f aca="false">LN(B985/B984)</f>
        <v>0.00194077648437787</v>
      </c>
      <c r="E985" s="1" t="n">
        <f aca="false">LN(C985/C984)</f>
        <v>2.4774858474795E-005</v>
      </c>
      <c r="F985" s="1" t="n">
        <f aca="false">B985/B984-1</f>
        <v>0.00194266101000951</v>
      </c>
      <c r="G985" s="1" t="n">
        <f aca="false">C985/C984-1</f>
        <v>2.47751653741357E-005</v>
      </c>
    </row>
    <row r="986" customFormat="false" ht="15" hidden="false" customHeight="false" outlineLevel="0" collapsed="false">
      <c r="A986" s="1" t="s">
        <v>993</v>
      </c>
      <c r="B986" s="5" t="n">
        <v>34.5138</v>
      </c>
      <c r="C986" s="5" t="n">
        <v>12.11</v>
      </c>
      <c r="D986" s="1" t="n">
        <f aca="false">LN(B986/B985)</f>
        <v>0.000278188300498857</v>
      </c>
      <c r="E986" s="1" t="n">
        <f aca="false">LN(C986/C985)</f>
        <v>6.60632886546178E-005</v>
      </c>
      <c r="F986" s="1" t="n">
        <f aca="false">B986/B985-1</f>
        <v>0.00027822699845248</v>
      </c>
      <c r="G986" s="1" t="n">
        <f aca="false">C986/C985-1</f>
        <v>6.60654708817265E-005</v>
      </c>
    </row>
    <row r="987" customFormat="false" ht="15" hidden="false" customHeight="false" outlineLevel="0" collapsed="false">
      <c r="A987" s="1" t="s">
        <v>994</v>
      </c>
      <c r="B987" s="5" t="n">
        <v>34.5089</v>
      </c>
      <c r="C987" s="5" t="n">
        <v>12.1104</v>
      </c>
      <c r="D987" s="1" t="n">
        <f aca="false">LN(B987/B986)</f>
        <v>-0.000141982275635093</v>
      </c>
      <c r="E987" s="1" t="n">
        <f aca="false">LN(C987/C986)</f>
        <v>3.30300077651578E-005</v>
      </c>
      <c r="F987" s="1" t="n">
        <f aca="false">B987/B986-1</f>
        <v>-0.000141972196628815</v>
      </c>
      <c r="G987" s="1" t="n">
        <f aca="false">C987/C986-1</f>
        <v>3.30305532618702E-005</v>
      </c>
    </row>
    <row r="988" customFormat="false" ht="15" hidden="false" customHeight="false" outlineLevel="0" collapsed="false">
      <c r="A988" s="1" t="s">
        <v>995</v>
      </c>
      <c r="B988" s="5" t="n">
        <v>34.6579</v>
      </c>
      <c r="C988" s="5" t="n">
        <v>12.1107</v>
      </c>
      <c r="D988" s="1" t="n">
        <f aca="false">LN(B988/B987)</f>
        <v>0.00430843209416618</v>
      </c>
      <c r="E988" s="1" t="n">
        <f aca="false">LN(C988/C987)</f>
        <v>2.47717898868255E-005</v>
      </c>
      <c r="F988" s="1" t="n">
        <f aca="false">B988/B987-1</f>
        <v>0.00431772673136499</v>
      </c>
      <c r="G988" s="1" t="n">
        <f aca="false">C988/C987-1</f>
        <v>2.47720967101461E-005</v>
      </c>
    </row>
    <row r="989" customFormat="false" ht="15" hidden="false" customHeight="false" outlineLevel="0" collapsed="false">
      <c r="A989" s="1" t="s">
        <v>996</v>
      </c>
      <c r="B989" s="5" t="n">
        <v>34.8289</v>
      </c>
      <c r="C989" s="5" t="n">
        <v>12.111</v>
      </c>
      <c r="D989" s="1" t="n">
        <f aca="false">LN(B989/B988)</f>
        <v>0.00492180803245023</v>
      </c>
      <c r="E989" s="1" t="n">
        <f aca="false">LN(C989/C988)</f>
        <v>2.47711762606662E-005</v>
      </c>
      <c r="F989" s="1" t="n">
        <f aca="false">B989/B988-1</f>
        <v>0.00493394002521796</v>
      </c>
      <c r="G989" s="1" t="n">
        <f aca="false">C989/C988-1</f>
        <v>2.47714830687862E-005</v>
      </c>
    </row>
    <row r="990" customFormat="false" ht="15" hidden="false" customHeight="false" outlineLevel="0" collapsed="false">
      <c r="A990" s="1" t="s">
        <v>997</v>
      </c>
      <c r="B990" s="5" t="n">
        <v>35.0084</v>
      </c>
      <c r="C990" s="5" t="n">
        <v>12.1114</v>
      </c>
      <c r="D990" s="1" t="n">
        <f aca="false">LN(B990/B989)</f>
        <v>0.00514053078439843</v>
      </c>
      <c r="E990" s="1" t="n">
        <f aca="false">LN(C990/C989)</f>
        <v>3.30272805366428E-005</v>
      </c>
      <c r="F990" s="1" t="n">
        <f aca="false">B990/B989-1</f>
        <v>0.00515376598169914</v>
      </c>
      <c r="G990" s="1" t="n">
        <f aca="false">C990/C989-1</f>
        <v>3.3027825943277E-005</v>
      </c>
    </row>
    <row r="991" customFormat="false" ht="15" hidden="false" customHeight="false" outlineLevel="0" collapsed="false">
      <c r="A991" s="1" t="s">
        <v>998</v>
      </c>
      <c r="B991" s="5" t="n">
        <v>35.0177</v>
      </c>
      <c r="C991" s="5" t="n">
        <v>12.1123</v>
      </c>
      <c r="D991" s="1" t="n">
        <f aca="false">LN(B991/B990)</f>
        <v>0.000265615250732871</v>
      </c>
      <c r="E991" s="1" t="n">
        <f aca="false">LN(C991/C990)</f>
        <v>7.43073932069414E-005</v>
      </c>
      <c r="F991" s="1" t="n">
        <f aca="false">B991/B990-1</f>
        <v>0.000265650529587047</v>
      </c>
      <c r="G991" s="1" t="n">
        <f aca="false">C991/C990-1</f>
        <v>7.43101540696678E-005</v>
      </c>
    </row>
    <row r="992" customFormat="false" ht="15" hidden="false" customHeight="false" outlineLevel="0" collapsed="false">
      <c r="A992" s="1" t="s">
        <v>999</v>
      </c>
      <c r="B992" s="5" t="n">
        <v>35.0213</v>
      </c>
      <c r="C992" s="5" t="n">
        <v>12.1126</v>
      </c>
      <c r="D992" s="1" t="n">
        <f aca="false">LN(B992/B991)</f>
        <v>0.00010279986873511</v>
      </c>
      <c r="E992" s="1" t="n">
        <f aca="false">LN(C992/C991)</f>
        <v>2.47679041001283E-005</v>
      </c>
      <c r="F992" s="1" t="n">
        <f aca="false">B992/B991-1</f>
        <v>0.000102805152822683</v>
      </c>
      <c r="G992" s="1" t="n">
        <f aca="false">C992/C991-1</f>
        <v>2.47682108271974E-005</v>
      </c>
    </row>
    <row r="993" customFormat="false" ht="15" hidden="false" customHeight="false" outlineLevel="0" collapsed="false">
      <c r="A993" s="1" t="s">
        <v>1000</v>
      </c>
      <c r="B993" s="5" t="n">
        <v>35.1178</v>
      </c>
      <c r="C993" s="5" t="n">
        <v>12.1129</v>
      </c>
      <c r="D993" s="1" t="n">
        <f aca="false">LN(B993/B992)</f>
        <v>0.00275167662229152</v>
      </c>
      <c r="E993" s="1" t="n">
        <f aca="false">LN(C993/C992)</f>
        <v>2.47672906660304E-005</v>
      </c>
      <c r="F993" s="1" t="n">
        <f aca="false">B993/B992-1</f>
        <v>0.00275546595928788</v>
      </c>
      <c r="G993" s="1" t="n">
        <f aca="false">C993/C992-1</f>
        <v>2.4767597377906E-005</v>
      </c>
    </row>
    <row r="994" customFormat="false" ht="15" hidden="false" customHeight="false" outlineLevel="0" collapsed="false">
      <c r="A994" s="1" t="s">
        <v>1001</v>
      </c>
      <c r="B994" s="5" t="n">
        <v>35.0093</v>
      </c>
      <c r="C994" s="5" t="n">
        <v>12.1132</v>
      </c>
      <c r="D994" s="1" t="n">
        <f aca="false">LN(B994/B993)</f>
        <v>-0.00309438395644084</v>
      </c>
      <c r="E994" s="1" t="n">
        <f aca="false">LN(C994/C993)</f>
        <v>2.47666772625735E-005</v>
      </c>
      <c r="F994" s="1" t="n">
        <f aca="false">B994/B993-1</f>
        <v>-0.0030896012848185</v>
      </c>
      <c r="G994" s="1" t="n">
        <f aca="false">C994/C993-1</f>
        <v>2.47669839592568E-005</v>
      </c>
    </row>
    <row r="995" customFormat="false" ht="15" hidden="false" customHeight="false" outlineLevel="0" collapsed="false">
      <c r="A995" s="1" t="s">
        <v>1002</v>
      </c>
      <c r="B995" s="5" t="n">
        <v>34.9858</v>
      </c>
      <c r="C995" s="5" t="n">
        <v>12.1135</v>
      </c>
      <c r="D995" s="1" t="n">
        <f aca="false">LN(B995/B994)</f>
        <v>-0.00067147559994854</v>
      </c>
      <c r="E995" s="1" t="n">
        <f aca="false">LN(C995/C994)</f>
        <v>2.47660638893136E-005</v>
      </c>
      <c r="F995" s="1" t="n">
        <f aca="false">B995/B994-1</f>
        <v>-0.000671250210658503</v>
      </c>
      <c r="G995" s="1" t="n">
        <f aca="false">C995/C994-1</f>
        <v>2.47663705708057E-005</v>
      </c>
    </row>
    <row r="996" customFormat="false" ht="15" hidden="false" customHeight="false" outlineLevel="0" collapsed="false">
      <c r="A996" s="1" t="s">
        <v>1003</v>
      </c>
      <c r="B996" s="5" t="n">
        <v>34.6763</v>
      </c>
      <c r="C996" s="5" t="n">
        <v>12.1144</v>
      </c>
      <c r="D996" s="1" t="n">
        <f aca="false">LN(B996/B995)</f>
        <v>-0.00888580839352192</v>
      </c>
      <c r="E996" s="1" t="n">
        <f aca="false">LN(C996/C995)</f>
        <v>7.4294511733405E-005</v>
      </c>
      <c r="F996" s="1" t="n">
        <f aca="false">B996/B995-1</f>
        <v>-0.00884644627248765</v>
      </c>
      <c r="G996" s="1" t="n">
        <f aca="false">C996/C995-1</f>
        <v>7.429727163899E-005</v>
      </c>
    </row>
    <row r="997" customFormat="false" ht="15" hidden="false" customHeight="false" outlineLevel="0" collapsed="false">
      <c r="A997" s="1" t="s">
        <v>1004</v>
      </c>
      <c r="B997" s="5" t="n">
        <v>34.7558</v>
      </c>
      <c r="C997" s="5" t="n">
        <v>12.1147</v>
      </c>
      <c r="D997" s="1" t="n">
        <f aca="false">LN(B997/B996)</f>
        <v>0.0022900080724163</v>
      </c>
      <c r="E997" s="1" t="n">
        <f aca="false">LN(C997/C996)</f>
        <v>2.47636107006858E-005</v>
      </c>
      <c r="F997" s="1" t="n">
        <f aca="false">B997/B996-1</f>
        <v>0.0022926321435679</v>
      </c>
      <c r="G997" s="1" t="n">
        <f aca="false">C997/C996-1</f>
        <v>2.47639173214242E-005</v>
      </c>
    </row>
    <row r="998" customFormat="false" ht="15" hidden="false" customHeight="false" outlineLevel="0" collapsed="false">
      <c r="A998" s="1" t="s">
        <v>1005</v>
      </c>
      <c r="B998" s="5" t="n">
        <v>35.0664</v>
      </c>
      <c r="C998" s="5" t="n">
        <v>12.1151</v>
      </c>
      <c r="D998" s="1" t="n">
        <f aca="false">LN(B998/B997)</f>
        <v>0.008896942485562</v>
      </c>
      <c r="E998" s="1" t="n">
        <f aca="false">LN(C998/C997)</f>
        <v>3.30171937066332E-005</v>
      </c>
      <c r="F998" s="1" t="n">
        <f aca="false">B998/B997-1</f>
        <v>0.00893663791367194</v>
      </c>
      <c r="G998" s="1" t="n">
        <f aca="false">C998/C997-1</f>
        <v>3.30177387801722E-005</v>
      </c>
    </row>
    <row r="999" customFormat="false" ht="15" hidden="false" customHeight="false" outlineLevel="0" collapsed="false">
      <c r="A999" s="1" t="s">
        <v>1006</v>
      </c>
      <c r="B999" s="5" t="n">
        <v>34.983</v>
      </c>
      <c r="C999" s="5" t="n">
        <v>12.1155</v>
      </c>
      <c r="D999" s="1" t="n">
        <f aca="false">LN(B999/B998)</f>
        <v>-0.00238117783754197</v>
      </c>
      <c r="E999" s="1" t="n">
        <f aca="false">LN(C999/C998)</f>
        <v>3.30161036075319E-005</v>
      </c>
      <c r="F999" s="1" t="n">
        <f aca="false">B999/B998-1</f>
        <v>-0.00237834508247226</v>
      </c>
      <c r="G999" s="1" t="n">
        <f aca="false">C999/C998-1</f>
        <v>3.30166486450789E-005</v>
      </c>
    </row>
    <row r="1000" customFormat="false" ht="15" hidden="false" customHeight="false" outlineLevel="0" collapsed="false">
      <c r="A1000" s="1" t="s">
        <v>1007</v>
      </c>
      <c r="B1000" s="5" t="n">
        <v>34.635</v>
      </c>
      <c r="C1000" s="5" t="n">
        <v>12.1157</v>
      </c>
      <c r="D1000" s="1" t="n">
        <f aca="false">LN(B1000/B999)</f>
        <v>-0.00999749773173714</v>
      </c>
      <c r="E1000" s="1" t="n">
        <f aca="false">LN(C1000/C999)</f>
        <v>1.65076430389639E-005</v>
      </c>
      <c r="F1000" s="1" t="n">
        <f aca="false">B1000/B999-1</f>
        <v>-0.00994768887745479</v>
      </c>
      <c r="G1000" s="1" t="n">
        <f aca="false">C1000/C999-1</f>
        <v>1.6507779290853E-005</v>
      </c>
    </row>
    <row r="1001" customFormat="false" ht="15" hidden="false" customHeight="false" outlineLevel="0" collapsed="false">
      <c r="A1001" s="1" t="s">
        <v>1008</v>
      </c>
      <c r="B1001" s="5" t="n">
        <v>34.6205</v>
      </c>
      <c r="C1001" s="5" t="n">
        <v>12.1167</v>
      </c>
      <c r="D1001" s="1" t="n">
        <f aca="false">LN(B1001/B1000)</f>
        <v>-0.000418739312022041</v>
      </c>
      <c r="E1001" s="1" t="n">
        <f aca="false">LN(C1001/C1000)</f>
        <v>8.25341279086553E-005</v>
      </c>
      <c r="F1001" s="1" t="n">
        <f aca="false">B1001/B1000-1</f>
        <v>-0.000418651652952184</v>
      </c>
      <c r="G1001" s="1" t="n">
        <f aca="false">C1001/C1000-1</f>
        <v>8.25375339434942E-005</v>
      </c>
    </row>
    <row r="1002" customFormat="false" ht="15" hidden="false" customHeight="false" outlineLevel="0" collapsed="false">
      <c r="A1002" s="1" t="s">
        <v>1009</v>
      </c>
      <c r="B1002" s="5" t="n">
        <v>34.8666</v>
      </c>
      <c r="C1002" s="5" t="n">
        <v>12.1172</v>
      </c>
      <c r="D1002" s="1" t="n">
        <f aca="false">LN(B1002/B1001)</f>
        <v>0.00708335875244953</v>
      </c>
      <c r="E1002" s="1" t="n">
        <f aca="false">LN(C1002/C1001)</f>
        <v>4.12645096390738E-005</v>
      </c>
      <c r="F1002" s="1" t="n">
        <f aca="false">B1002/B1001-1</f>
        <v>0.00710850507647209</v>
      </c>
      <c r="G1002" s="1" t="n">
        <f aca="false">C1002/C1001-1</f>
        <v>4.12653610306624E-005</v>
      </c>
    </row>
    <row r="1003" customFormat="false" ht="15" hidden="false" customHeight="false" outlineLevel="0" collapsed="false">
      <c r="A1003" s="1" t="s">
        <v>1010</v>
      </c>
      <c r="B1003" s="5" t="n">
        <v>34.9066</v>
      </c>
      <c r="C1003" s="5" t="n">
        <v>12.1175</v>
      </c>
      <c r="D1003" s="1" t="n">
        <f aca="false">LN(B1003/B1002)</f>
        <v>0.00114657216186429</v>
      </c>
      <c r="E1003" s="1" t="n">
        <f aca="false">LN(C1003/C1002)</f>
        <v>2.47578884833428E-005</v>
      </c>
      <c r="F1003" s="1" t="n">
        <f aca="false">B1003/B1002-1</f>
        <v>0.00114722972701675</v>
      </c>
      <c r="G1003" s="1" t="n">
        <f aca="false">C1003/C1002-1</f>
        <v>2.47581949623932E-005</v>
      </c>
    </row>
    <row r="1004" customFormat="false" ht="15" hidden="false" customHeight="false" outlineLevel="0" collapsed="false">
      <c r="A1004" s="1" t="s">
        <v>1011</v>
      </c>
      <c r="B1004" s="5" t="n">
        <v>35.1969</v>
      </c>
      <c r="C1004" s="5" t="n">
        <v>12.118</v>
      </c>
      <c r="D1004" s="1" t="n">
        <f aca="false">LN(B1004/B1003)</f>
        <v>0.00828208746714318</v>
      </c>
      <c r="E1004" s="1" t="n">
        <f aca="false">LN(C1004/C1003)</f>
        <v>4.12617854034062E-005</v>
      </c>
      <c r="F1004" s="1" t="n">
        <f aca="false">B1004/B1003-1</f>
        <v>0.00831647883208331</v>
      </c>
      <c r="G1004" s="1" t="n">
        <f aca="false">C1004/C1003-1</f>
        <v>4.12626366825819E-005</v>
      </c>
    </row>
    <row r="1005" customFormat="false" ht="15" hidden="false" customHeight="false" outlineLevel="0" collapsed="false">
      <c r="A1005" s="1" t="s">
        <v>1012</v>
      </c>
      <c r="B1005" s="5" t="n">
        <v>35.4743</v>
      </c>
      <c r="C1005" s="5" t="n">
        <v>12.1189</v>
      </c>
      <c r="D1005" s="1" t="n">
        <f aca="false">LN(B1005/B1004)</f>
        <v>0.00785048010164185</v>
      </c>
      <c r="E1005" s="1" t="n">
        <f aca="false">LN(C1005/C1004)</f>
        <v>7.42669236092676E-005</v>
      </c>
      <c r="F1005" s="1" t="n">
        <f aca="false">B1005/B1004-1</f>
        <v>0.00788137591662896</v>
      </c>
      <c r="G1005" s="1" t="n">
        <f aca="false">C1005/C1004-1</f>
        <v>7.42696814655108E-005</v>
      </c>
    </row>
    <row r="1006" customFormat="false" ht="15" hidden="false" customHeight="false" outlineLevel="0" collapsed="false">
      <c r="A1006" s="1" t="s">
        <v>1013</v>
      </c>
      <c r="B1006" s="5" t="n">
        <v>35.2816</v>
      </c>
      <c r="C1006" s="5" t="n">
        <v>12.1192</v>
      </c>
      <c r="D1006" s="1" t="n">
        <f aca="false">LN(B1006/B1005)</f>
        <v>-0.00544690906147867</v>
      </c>
      <c r="E1006" s="1" t="n">
        <f aca="false">LN(C1006/C1005)</f>
        <v>2.47544155700983E-005</v>
      </c>
      <c r="F1006" s="1" t="n">
        <f aca="false">B1006/B1005-1</f>
        <v>-0.00543210154957252</v>
      </c>
      <c r="G1006" s="1" t="n">
        <f aca="false">C1006/C1005-1</f>
        <v>2.47547219631716E-005</v>
      </c>
    </row>
    <row r="1007" customFormat="false" ht="15" hidden="false" customHeight="false" outlineLevel="0" collapsed="false">
      <c r="A1007" s="1" t="s">
        <v>1014</v>
      </c>
      <c r="B1007" s="5" t="n">
        <v>35.3256</v>
      </c>
      <c r="C1007" s="5" t="n">
        <v>12.1196</v>
      </c>
      <c r="D1007" s="1" t="n">
        <f aca="false">LN(B1007/B1006)</f>
        <v>0.00124633198018318</v>
      </c>
      <c r="E1007" s="1" t="n">
        <f aca="false">LN(C1007/C1006)</f>
        <v>3.30049342406637E-005</v>
      </c>
      <c r="F1007" s="1" t="n">
        <f aca="false">B1007/B1006-1</f>
        <v>0.00124710897464975</v>
      </c>
      <c r="G1007" s="1" t="n">
        <f aca="false">C1007/C1006-1</f>
        <v>3.3005478909498E-005</v>
      </c>
    </row>
    <row r="1008" customFormat="false" ht="15" hidden="false" customHeight="false" outlineLevel="0" collapsed="false">
      <c r="A1008" s="1" t="s">
        <v>1015</v>
      </c>
      <c r="B1008" s="5" t="n">
        <v>34.9978</v>
      </c>
      <c r="C1008" s="5" t="n">
        <v>12.1199</v>
      </c>
      <c r="D1008" s="1" t="n">
        <f aca="false">LN(B1008/B1007)</f>
        <v>-0.00932271119338615</v>
      </c>
      <c r="E1008" s="1" t="n">
        <f aca="false">LN(C1008/C1007)</f>
        <v>2.4752985830081E-005</v>
      </c>
      <c r="F1008" s="1" t="n">
        <f aca="false">B1008/B1007-1</f>
        <v>-0.00927938945127627</v>
      </c>
      <c r="G1008" s="1" t="n">
        <f aca="false">C1008/C1007-1</f>
        <v>2.47532921877625E-005</v>
      </c>
    </row>
    <row r="1009" customFormat="false" ht="15" hidden="false" customHeight="false" outlineLevel="0" collapsed="false">
      <c r="A1009" s="1" t="s">
        <v>1016</v>
      </c>
      <c r="B1009" s="5" t="n">
        <v>34.7686</v>
      </c>
      <c r="C1009" s="5" t="n">
        <v>12.1202</v>
      </c>
      <c r="D1009" s="1" t="n">
        <f aca="false">LN(B1009/B1008)</f>
        <v>-0.00657052175775011</v>
      </c>
      <c r="E1009" s="1" t="n">
        <f aca="false">LN(C1009/C1008)</f>
        <v>2.47523731351421E-005</v>
      </c>
      <c r="F1009" s="1" t="n">
        <f aca="false">B1009/B1008-1</f>
        <v>-0.00654898307893637</v>
      </c>
      <c r="G1009" s="1" t="n">
        <f aca="false">C1009/C1008-1</f>
        <v>2.47526794776576E-005</v>
      </c>
    </row>
    <row r="1010" customFormat="false" ht="15" hidden="false" customHeight="false" outlineLevel="0" collapsed="false">
      <c r="A1010" s="1" t="s">
        <v>1017</v>
      </c>
      <c r="B1010" s="5" t="n">
        <v>34.6287</v>
      </c>
      <c r="C1010" s="5" t="n">
        <v>12.1212</v>
      </c>
      <c r="D1010" s="1" t="n">
        <f aca="false">LN(B1010/B1009)</f>
        <v>-0.00403186260897276</v>
      </c>
      <c r="E1010" s="1" t="n">
        <f aca="false">LN(C1010/C1009)</f>
        <v>8.25034858191319E-005</v>
      </c>
      <c r="F1010" s="1" t="n">
        <f aca="false">B1010/B1009-1</f>
        <v>-0.00402374556352558</v>
      </c>
      <c r="G1010" s="1" t="n">
        <f aca="false">C1010/C1009-1</f>
        <v>8.25068893253178E-005</v>
      </c>
    </row>
    <row r="1011" customFormat="false" ht="15" hidden="false" customHeight="false" outlineLevel="0" collapsed="false">
      <c r="A1011" s="1" t="s">
        <v>1018</v>
      </c>
      <c r="B1011" s="5" t="n">
        <v>34.7303</v>
      </c>
      <c r="C1011" s="5" t="n">
        <v>12.1215</v>
      </c>
      <c r="D1011" s="1" t="n">
        <f aca="false">LN(B1011/B1010)</f>
        <v>0.00292968677950769</v>
      </c>
      <c r="E1011" s="1" t="n">
        <f aca="false">LN(C1011/C1010)</f>
        <v>2.47497184730776E-005</v>
      </c>
      <c r="F1011" s="1" t="n">
        <f aca="false">B1011/B1010-1</f>
        <v>0.00293398250584054</v>
      </c>
      <c r="G1011" s="1" t="n">
        <f aca="false">C1011/C1010-1</f>
        <v>2.47500247498866E-005</v>
      </c>
    </row>
    <row r="1012" customFormat="false" ht="15" hidden="false" customHeight="false" outlineLevel="0" collapsed="false">
      <c r="A1012" s="1" t="s">
        <v>1019</v>
      </c>
      <c r="B1012" s="5" t="n">
        <v>34.4979</v>
      </c>
      <c r="C1012" s="5" t="n">
        <v>12.1219</v>
      </c>
      <c r="D1012" s="1" t="n">
        <f aca="false">LN(B1012/B1011)</f>
        <v>-0.00671405216427868</v>
      </c>
      <c r="E1012" s="1" t="n">
        <f aca="false">LN(C1012/C1011)</f>
        <v>3.29986718064883E-005</v>
      </c>
      <c r="F1012" s="1" t="n">
        <f aca="false">B1012/B1011-1</f>
        <v>-0.00669156327471976</v>
      </c>
      <c r="G1012" s="1" t="n">
        <f aca="false">C1012/C1011-1</f>
        <v>3.29992162686477E-005</v>
      </c>
    </row>
    <row r="1013" customFormat="false" ht="15" hidden="false" customHeight="false" outlineLevel="0" collapsed="false">
      <c r="A1013" s="1" t="s">
        <v>1020</v>
      </c>
      <c r="B1013" s="5" t="n">
        <v>34.6863</v>
      </c>
      <c r="C1013" s="5" t="n">
        <v>12.1225</v>
      </c>
      <c r="D1013" s="1" t="n">
        <f aca="false">LN(B1013/B1012)</f>
        <v>0.00544634369418244</v>
      </c>
      <c r="E1013" s="1" t="n">
        <f aca="false">LN(C1013/C1012)</f>
        <v>4.94959660889916E-005</v>
      </c>
      <c r="F1013" s="1" t="n">
        <f aca="false">B1013/B1012-1</f>
        <v>0.00546120198620792</v>
      </c>
      <c r="G1013" s="1" t="n">
        <f aca="false">C1013/C1012-1</f>
        <v>4.9497191034531E-005</v>
      </c>
    </row>
    <row r="1014" customFormat="false" ht="15" hidden="false" customHeight="false" outlineLevel="0" collapsed="false">
      <c r="A1014" s="1" t="s">
        <v>1021</v>
      </c>
      <c r="B1014" s="5" t="n">
        <v>34.6175</v>
      </c>
      <c r="C1014" s="5" t="n">
        <v>12.1228</v>
      </c>
      <c r="D1014" s="1" t="n">
        <f aca="false">LN(B1014/B1013)</f>
        <v>-0.00198546176692006</v>
      </c>
      <c r="E1014" s="1" t="n">
        <f aca="false">LN(C1014/C1013)</f>
        <v>2.47470643807585E-005</v>
      </c>
      <c r="F1014" s="1" t="n">
        <f aca="false">B1014/B1013-1</f>
        <v>-0.00198349204152659</v>
      </c>
      <c r="G1014" s="1" t="n">
        <f aca="false">C1014/C1013-1</f>
        <v>2.47473705918821E-005</v>
      </c>
    </row>
    <row r="1015" customFormat="false" ht="15" hidden="false" customHeight="false" outlineLevel="0" collapsed="false">
      <c r="A1015" s="1" t="s">
        <v>1022</v>
      </c>
      <c r="B1015" s="5" t="n">
        <v>34.5306</v>
      </c>
      <c r="C1015" s="5" t="n">
        <v>12.1238</v>
      </c>
      <c r="D1015" s="1" t="n">
        <f aca="false">LN(B1015/B1014)</f>
        <v>-0.00251344710118189</v>
      </c>
      <c r="E1015" s="1" t="n">
        <f aca="false">LN(C1015/C1014)</f>
        <v>8.2485791869044E-005</v>
      </c>
      <c r="F1015" s="1" t="n">
        <f aca="false">B1015/B1014-1</f>
        <v>-0.0025102910377699</v>
      </c>
      <c r="G1015" s="1" t="n">
        <f aca="false">C1015/C1014-1</f>
        <v>8.24891939155137E-005</v>
      </c>
    </row>
    <row r="1016" customFormat="false" ht="15" hidden="false" customHeight="false" outlineLevel="0" collapsed="false">
      <c r="A1016" s="1" t="s">
        <v>1023</v>
      </c>
      <c r="B1016" s="5" t="n">
        <v>34.5359</v>
      </c>
      <c r="C1016" s="5" t="n">
        <v>12.1241</v>
      </c>
      <c r="D1016" s="1" t="n">
        <f aca="false">LN(B1016/B1015)</f>
        <v>0.000153475274131443</v>
      </c>
      <c r="E1016" s="1" t="n">
        <f aca="false">LN(C1016/C1015)</f>
        <v>2.47444108575185E-005</v>
      </c>
      <c r="F1016" s="1" t="n">
        <f aca="false">B1016/B1015-1</f>
        <v>0.000153487052063861</v>
      </c>
      <c r="G1016" s="1" t="n">
        <f aca="false">C1016/C1015-1</f>
        <v>2.4744717002978E-005</v>
      </c>
    </row>
    <row r="1017" customFormat="false" ht="15" hidden="false" customHeight="false" outlineLevel="0" collapsed="false">
      <c r="A1017" s="1" t="s">
        <v>1024</v>
      </c>
      <c r="B1017" s="5" t="n">
        <v>34.8415</v>
      </c>
      <c r="C1017" s="5" t="n">
        <v>12.1245</v>
      </c>
      <c r="D1017" s="1" t="n">
        <f aca="false">LN(B1017/B1016)</f>
        <v>0.00880984229878984</v>
      </c>
      <c r="E1017" s="1" t="n">
        <f aca="false">LN(C1017/C1016)</f>
        <v>3.29915953940435E-005</v>
      </c>
      <c r="F1017" s="1" t="n">
        <f aca="false">B1017/B1016-1</f>
        <v>0.00884876317107719</v>
      </c>
      <c r="G1017" s="1" t="n">
        <f aca="false">C1017/C1016-1</f>
        <v>3.29921396227118E-005</v>
      </c>
    </row>
    <row r="1018" customFormat="false" ht="15" hidden="false" customHeight="false" outlineLevel="0" collapsed="false">
      <c r="A1018" s="1" t="s">
        <v>1025</v>
      </c>
      <c r="B1018" s="5" t="n">
        <v>34.8119</v>
      </c>
      <c r="C1018" s="5" t="n">
        <v>12.1249</v>
      </c>
      <c r="D1018" s="1" t="n">
        <f aca="false">LN(B1018/B1017)</f>
        <v>-0.000849922668005961</v>
      </c>
      <c r="E1018" s="1" t="n">
        <f aca="false">LN(C1018/C1017)</f>
        <v>3.2990506984618E-005</v>
      </c>
      <c r="F1018" s="1" t="n">
        <f aca="false">B1018/B1017-1</f>
        <v>-0.00084956158603966</v>
      </c>
      <c r="G1018" s="1" t="n">
        <f aca="false">C1018/C1017-1</f>
        <v>3.29910511773779E-005</v>
      </c>
    </row>
    <row r="1019" customFormat="false" ht="15" hidden="false" customHeight="false" outlineLevel="0" collapsed="false">
      <c r="A1019" s="1" t="s">
        <v>1026</v>
      </c>
      <c r="B1019" s="5" t="n">
        <v>34.5876</v>
      </c>
      <c r="C1019" s="5" t="n">
        <v>12.1254</v>
      </c>
      <c r="D1019" s="1" t="n">
        <f aca="false">LN(B1019/B1018)</f>
        <v>-0.00646404602367505</v>
      </c>
      <c r="E1019" s="1" t="n">
        <f aca="false">LN(C1019/C1018)</f>
        <v>4.12366032644052E-005</v>
      </c>
      <c r="F1019" s="1" t="n">
        <f aca="false">B1019/B1018-1</f>
        <v>-0.00644319902102442</v>
      </c>
      <c r="G1019" s="1" t="n">
        <f aca="false">C1019/C1018-1</f>
        <v>4.12374535048166E-005</v>
      </c>
    </row>
    <row r="1020" customFormat="false" ht="15" hidden="false" customHeight="false" outlineLevel="0" collapsed="false">
      <c r="A1020" s="1" t="s">
        <v>1027</v>
      </c>
      <c r="B1020" s="5" t="n">
        <v>34.416</v>
      </c>
      <c r="C1020" s="5" t="n">
        <v>12.1265</v>
      </c>
      <c r="D1020" s="1" t="n">
        <f aca="false">LN(B1020/B1019)</f>
        <v>-0.00497366380141615</v>
      </c>
      <c r="E1020" s="1" t="n">
        <f aca="false">LN(C1020/C1019)</f>
        <v>9.07145420155834E-005</v>
      </c>
      <c r="F1020" s="1" t="n">
        <f aca="false">B1020/B1019-1</f>
        <v>-0.00496131561600122</v>
      </c>
      <c r="G1020" s="1" t="n">
        <f aca="false">C1020/C1019-1</f>
        <v>9.07186567040696E-005</v>
      </c>
    </row>
    <row r="1021" customFormat="false" ht="15" hidden="false" customHeight="false" outlineLevel="0" collapsed="false">
      <c r="A1021" s="1" t="s">
        <v>1028</v>
      </c>
      <c r="B1021" s="5" t="n">
        <v>34.7201</v>
      </c>
      <c r="C1021" s="5" t="n">
        <v>12.1269</v>
      </c>
      <c r="D1021" s="1" t="n">
        <f aca="false">LN(B1021/B1020)</f>
        <v>0.00879719744695944</v>
      </c>
      <c r="E1021" s="1" t="n">
        <f aca="false">LN(C1021/C1020)</f>
        <v>3.29850660143535E-005</v>
      </c>
      <c r="F1021" s="1" t="n">
        <f aca="false">B1021/B1020-1</f>
        <v>0.00883600650860084</v>
      </c>
      <c r="G1021" s="1" t="n">
        <f aca="false">C1021/C1020-1</f>
        <v>3.29856100276249E-005</v>
      </c>
    </row>
    <row r="1022" customFormat="false" ht="15" hidden="false" customHeight="false" outlineLevel="0" collapsed="false">
      <c r="A1022" s="1" t="s">
        <v>1029</v>
      </c>
      <c r="B1022" s="5" t="n">
        <v>34.6461</v>
      </c>
      <c r="C1022" s="5" t="n">
        <v>12.1273</v>
      </c>
      <c r="D1022" s="1" t="n">
        <f aca="false">LN(B1022/B1021)</f>
        <v>-0.00213360478366496</v>
      </c>
      <c r="E1022" s="1" t="n">
        <f aca="false">LN(C1022/C1021)</f>
        <v>3.29839780356732E-005</v>
      </c>
      <c r="F1022" s="1" t="n">
        <f aca="false">B1022/B1021-1</f>
        <v>-0.00213133026690604</v>
      </c>
      <c r="G1022" s="1" t="n">
        <f aca="false">C1022/C1021-1</f>
        <v>3.29845220130576E-005</v>
      </c>
    </row>
    <row r="1023" customFormat="false" ht="15" hidden="false" customHeight="false" outlineLevel="0" collapsed="false">
      <c r="A1023" s="1" t="s">
        <v>1030</v>
      </c>
      <c r="B1023" s="5" t="n">
        <v>34.8169</v>
      </c>
      <c r="C1023" s="5" t="n">
        <v>12.1275</v>
      </c>
      <c r="D1023" s="1" t="n">
        <f aca="false">LN(B1023/B1022)</f>
        <v>0.00491773589452198</v>
      </c>
      <c r="E1023" s="1" t="n">
        <f aca="false">LN(C1023/C1022)</f>
        <v>1.6491581048235E-005</v>
      </c>
      <c r="F1023" s="1" t="n">
        <f aca="false">B1023/B1022-1</f>
        <v>0.00492984780393746</v>
      </c>
      <c r="G1023" s="1" t="n">
        <f aca="false">C1023/C1022-1</f>
        <v>1.64917170351053E-005</v>
      </c>
    </row>
    <row r="1024" customFormat="false" ht="15" hidden="false" customHeight="false" outlineLevel="0" collapsed="false">
      <c r="A1024" s="1" t="s">
        <v>1031</v>
      </c>
      <c r="B1024" s="5" t="n">
        <v>35.1758</v>
      </c>
      <c r="C1024" s="5" t="n">
        <v>12.1277</v>
      </c>
      <c r="D1024" s="1" t="n">
        <f aca="false">LN(B1024/B1023)</f>
        <v>0.010255445084363</v>
      </c>
      <c r="E1024" s="1" t="n">
        <f aca="false">LN(C1024/C1023)</f>
        <v>1.64913090804977E-005</v>
      </c>
      <c r="F1024" s="1" t="n">
        <f aca="false">B1024/B1023-1</f>
        <v>0.0103082123911091</v>
      </c>
      <c r="G1024" s="1" t="n">
        <f aca="false">C1024/C1023-1</f>
        <v>1.64914450628828E-005</v>
      </c>
    </row>
    <row r="1025" customFormat="false" ht="15" hidden="false" customHeight="false" outlineLevel="0" collapsed="false">
      <c r="A1025" s="1" t="s">
        <v>1032</v>
      </c>
      <c r="B1025" s="5" t="n">
        <v>34.6768</v>
      </c>
      <c r="C1025" s="5" t="n">
        <v>12.129</v>
      </c>
      <c r="D1025" s="1" t="n">
        <f aca="false">LN(B1025/B1024)</f>
        <v>-0.0142874707155529</v>
      </c>
      <c r="E1025" s="1" t="n">
        <f aca="false">LN(C1025/C1024)</f>
        <v>0.000107186880428327</v>
      </c>
      <c r="F1025" s="1" t="n">
        <f aca="false">B1025/B1024-1</f>
        <v>-0.0141858891624356</v>
      </c>
      <c r="G1025" s="1" t="n">
        <f aca="false">C1025/C1024-1</f>
        <v>0.000107192625147245</v>
      </c>
    </row>
    <row r="1026" customFormat="false" ht="15" hidden="false" customHeight="false" outlineLevel="0" collapsed="false">
      <c r="A1026" s="1" t="s">
        <v>1033</v>
      </c>
      <c r="B1026" s="5" t="n">
        <v>34.8475</v>
      </c>
      <c r="C1026" s="5" t="n">
        <v>12.1292</v>
      </c>
      <c r="D1026" s="1" t="n">
        <f aca="false">LN(B1026/B1025)</f>
        <v>0.00491052316990364</v>
      </c>
      <c r="E1026" s="1" t="n">
        <f aca="false">LN(C1026/C1025)</f>
        <v>1.6489269608232E-005</v>
      </c>
      <c r="F1026" s="1" t="n">
        <f aca="false">B1026/B1025-1</f>
        <v>0.00492259954782437</v>
      </c>
      <c r="G1026" s="1" t="n">
        <f aca="false">C1026/C1025-1</f>
        <v>1.64894055569853E-005</v>
      </c>
    </row>
    <row r="1027" customFormat="false" ht="15" hidden="false" customHeight="false" outlineLevel="0" collapsed="false">
      <c r="A1027" s="1" t="s">
        <v>1034</v>
      </c>
      <c r="B1027" s="5" t="n">
        <v>34.7514</v>
      </c>
      <c r="C1027" s="5" t="n">
        <v>12.1297</v>
      </c>
      <c r="D1027" s="1" t="n">
        <f aca="false">LN(B1027/B1026)</f>
        <v>-0.00276153965284951</v>
      </c>
      <c r="E1027" s="1" t="n">
        <f aca="false">LN(C1027/C1026)</f>
        <v>4.1221984514521E-005</v>
      </c>
      <c r="F1027" s="1" t="n">
        <f aca="false">B1027/B1026-1</f>
        <v>-0.00275773010976399</v>
      </c>
      <c r="G1027" s="1" t="n">
        <f aca="false">C1027/C1026-1</f>
        <v>4.12228341521992E-005</v>
      </c>
    </row>
    <row r="1028" customFormat="false" ht="15" hidden="false" customHeight="false" outlineLevel="0" collapsed="false">
      <c r="A1028" s="1" t="s">
        <v>1035</v>
      </c>
      <c r="B1028" s="5" t="n">
        <v>34.8428</v>
      </c>
      <c r="C1028" s="5" t="n">
        <v>12.13</v>
      </c>
      <c r="D1028" s="1" t="n">
        <f aca="false">LN(B1028/B1027)</f>
        <v>0.00262665717976131</v>
      </c>
      <c r="E1028" s="1" t="n">
        <f aca="false">LN(C1028/C1027)</f>
        <v>2.47323750924546E-005</v>
      </c>
      <c r="F1028" s="1" t="n">
        <f aca="false">B1028/B1027-1</f>
        <v>0.00263010986607726</v>
      </c>
      <c r="G1028" s="1" t="n">
        <f aca="false">C1028/C1027-1</f>
        <v>2.47326809401649E-005</v>
      </c>
    </row>
    <row r="1029" customFormat="false" ht="15" hidden="false" customHeight="false" outlineLevel="0" collapsed="false">
      <c r="A1029" s="1" t="s">
        <v>1036</v>
      </c>
      <c r="B1029" s="5" t="n">
        <v>34.924</v>
      </c>
      <c r="C1029" s="5" t="n">
        <v>12.1303</v>
      </c>
      <c r="D1029" s="1" t="n">
        <f aca="false">LN(B1029/B1028)</f>
        <v>0.0023277557997451</v>
      </c>
      <c r="E1029" s="1" t="n">
        <f aca="false">LN(C1029/C1028)</f>
        <v>2.47317634171067E-005</v>
      </c>
      <c r="F1029" s="1" t="n">
        <f aca="false">B1029/B1028-1</f>
        <v>0.00233046712663754</v>
      </c>
      <c r="G1029" s="1" t="n">
        <f aca="false">C1029/C1028-1</f>
        <v>2.47320692496889E-005</v>
      </c>
    </row>
    <row r="1030" customFormat="false" ht="15" hidden="false" customHeight="false" outlineLevel="0" collapsed="false">
      <c r="A1030" s="1" t="s">
        <v>1037</v>
      </c>
      <c r="B1030" s="5" t="n">
        <v>35.0526</v>
      </c>
      <c r="C1030" s="5" t="n">
        <v>12.1314</v>
      </c>
      <c r="D1030" s="1" t="n">
        <f aca="false">LN(B1030/B1029)</f>
        <v>0.00367551852408066</v>
      </c>
      <c r="E1030" s="1" t="n">
        <f aca="false">LN(C1030/C1029)</f>
        <v>9.06778997971105E-005</v>
      </c>
      <c r="F1030" s="1" t="n">
        <f aca="false">B1030/B1029-1</f>
        <v>0.00368228152559835</v>
      </c>
      <c r="G1030" s="1" t="n">
        <f aca="false">C1030/C1029-1</f>
        <v>9.06820111621354E-005</v>
      </c>
    </row>
    <row r="1031" customFormat="false" ht="15" hidden="false" customHeight="false" outlineLevel="0" collapsed="false">
      <c r="A1031" s="1" t="s">
        <v>1038</v>
      </c>
      <c r="B1031" s="5" t="n">
        <v>35.2143</v>
      </c>
      <c r="C1031" s="5" t="n">
        <v>12.1316</v>
      </c>
      <c r="D1031" s="1" t="n">
        <f aca="false">LN(B1031/B1030)</f>
        <v>0.00460245963422042</v>
      </c>
      <c r="E1031" s="1" t="n">
        <f aca="false">LN(C1031/C1030)</f>
        <v>1.64860075016972E-005</v>
      </c>
      <c r="F1031" s="1" t="n">
        <f aca="false">B1031/B1030-1</f>
        <v>0.00461306721897947</v>
      </c>
      <c r="G1031" s="1" t="n">
        <f aca="false">C1031/C1030-1</f>
        <v>1.64861433966657E-005</v>
      </c>
    </row>
    <row r="1032" customFormat="false" ht="15" hidden="false" customHeight="false" outlineLevel="0" collapsed="false">
      <c r="A1032" s="1" t="s">
        <v>1039</v>
      </c>
      <c r="B1032" s="5" t="n">
        <v>35.193</v>
      </c>
      <c r="C1032" s="5" t="n">
        <v>12.1319</v>
      </c>
      <c r="D1032" s="1" t="n">
        <f aca="false">LN(B1032/B1031)</f>
        <v>-0.000605050915169503</v>
      </c>
      <c r="E1032" s="1" t="n">
        <f aca="false">LN(C1032/C1031)</f>
        <v>2.47285016600826E-005</v>
      </c>
      <c r="F1032" s="1" t="n">
        <f aca="false">B1032/B1031-1</f>
        <v>-0.000604867908775786</v>
      </c>
      <c r="G1032" s="1" t="n">
        <f aca="false">C1032/C1031-1</f>
        <v>2.4728807412E-005</v>
      </c>
    </row>
    <row r="1033" customFormat="false" ht="15" hidden="false" customHeight="false" outlineLevel="0" collapsed="false">
      <c r="A1033" s="1" t="s">
        <v>1040</v>
      </c>
      <c r="B1033" s="5" t="n">
        <v>35.0745</v>
      </c>
      <c r="C1033" s="5" t="n">
        <v>12.1323</v>
      </c>
      <c r="D1033" s="1" t="n">
        <f aca="false">LN(B1033/B1032)</f>
        <v>-0.00337282847227235</v>
      </c>
      <c r="E1033" s="1" t="n">
        <f aca="false">LN(C1033/C1032)</f>
        <v>3.29703843552503E-005</v>
      </c>
      <c r="F1033" s="1" t="n">
        <f aca="false">B1033/B1032-1</f>
        <v>-0.00336714687579909</v>
      </c>
      <c r="G1033" s="1" t="n">
        <f aca="false">C1033/C1032-1</f>
        <v>3.2970927884346E-005</v>
      </c>
    </row>
    <row r="1034" customFormat="false" ht="15" hidden="false" customHeight="false" outlineLevel="0" collapsed="false">
      <c r="A1034" s="1" t="s">
        <v>1041</v>
      </c>
      <c r="B1034" s="5" t="n">
        <v>35.1175</v>
      </c>
      <c r="C1034" s="5" t="n">
        <v>12.1325</v>
      </c>
      <c r="D1034" s="1" t="n">
        <f aca="false">LN(B1034/B1033)</f>
        <v>0.00122521100350735</v>
      </c>
      <c r="E1034" s="1" t="n">
        <f aca="false">LN(C1034/C1033)</f>
        <v>1.64847845441392E-005</v>
      </c>
      <c r="F1034" s="1" t="n">
        <f aca="false">B1034/B1033-1</f>
        <v>0.00122596188113877</v>
      </c>
      <c r="G1034" s="1" t="n">
        <f aca="false">C1034/C1033-1</f>
        <v>1.64849204189466E-005</v>
      </c>
    </row>
    <row r="1035" customFormat="false" ht="15" hidden="false" customHeight="false" outlineLevel="0" collapsed="false">
      <c r="A1035" s="1" t="s">
        <v>1042</v>
      </c>
      <c r="B1035" s="5" t="n">
        <v>35.4122</v>
      </c>
      <c r="C1035" s="5" t="n">
        <v>12.1341</v>
      </c>
      <c r="D1035" s="1" t="n">
        <f aca="false">LN(B1035/B1034)</f>
        <v>0.00835681181293053</v>
      </c>
      <c r="E1035" s="1" t="n">
        <f aca="false">LN(C1035/C1034)</f>
        <v>0.000131868494335373</v>
      </c>
      <c r="F1035" s="1" t="n">
        <f aca="false">B1035/B1034-1</f>
        <v>0.00839182743646316</v>
      </c>
      <c r="G1035" s="1" t="n">
        <f aca="false">C1035/C1034-1</f>
        <v>0.000131877189367469</v>
      </c>
    </row>
    <row r="1036" customFormat="false" ht="15" hidden="false" customHeight="false" outlineLevel="0" collapsed="false">
      <c r="A1036" s="1" t="s">
        <v>1043</v>
      </c>
      <c r="B1036" s="5" t="n">
        <v>35.5227</v>
      </c>
      <c r="C1036" s="5" t="n">
        <v>12.1345</v>
      </c>
      <c r="D1036" s="1" t="n">
        <f aca="false">LN(B1036/B1035)</f>
        <v>0.00311553521274364</v>
      </c>
      <c r="E1036" s="1" t="n">
        <f aca="false">LN(C1036/C1035)</f>
        <v>3.29644066847874E-005</v>
      </c>
      <c r="F1036" s="1" t="n">
        <f aca="false">B1036/B1035-1</f>
        <v>0.0031203935366908</v>
      </c>
      <c r="G1036" s="1" t="n">
        <f aca="false">C1036/C1035-1</f>
        <v>3.29649500168117E-005</v>
      </c>
    </row>
    <row r="1037" customFormat="false" ht="15" hidden="false" customHeight="false" outlineLevel="0" collapsed="false">
      <c r="A1037" s="1" t="s">
        <v>1044</v>
      </c>
      <c r="B1037" s="5" t="n">
        <v>35.4414</v>
      </c>
      <c r="C1037" s="5" t="n">
        <v>12.1349</v>
      </c>
      <c r="D1037" s="1" t="n">
        <f aca="false">LN(B1037/B1036)</f>
        <v>-0.00229130040595556</v>
      </c>
      <c r="E1037" s="1" t="n">
        <f aca="false">LN(C1037/C1036)</f>
        <v>3.29633200687275E-005</v>
      </c>
      <c r="F1037" s="1" t="n">
        <f aca="false">B1037/B1036-1</f>
        <v>-0.00228867738094229</v>
      </c>
      <c r="G1037" s="1" t="n">
        <f aca="false">C1037/C1036-1</f>
        <v>3.29638633649321E-005</v>
      </c>
    </row>
    <row r="1038" customFormat="false" ht="15" hidden="false" customHeight="false" outlineLevel="0" collapsed="false">
      <c r="A1038" s="1" t="s">
        <v>1045</v>
      </c>
      <c r="B1038" s="5" t="n">
        <v>35.4866</v>
      </c>
      <c r="C1038" s="5" t="n">
        <v>12.1354</v>
      </c>
      <c r="D1038" s="1" t="n">
        <f aca="false">LN(B1038/B1037)</f>
        <v>0.00127453209222577</v>
      </c>
      <c r="E1038" s="1" t="n">
        <f aca="false">LN(C1038/C1037)</f>
        <v>4.12026221407728E-005</v>
      </c>
      <c r="F1038" s="1" t="n">
        <f aca="false">B1038/B1037-1</f>
        <v>0.00127534465342793</v>
      </c>
      <c r="G1038" s="1" t="n">
        <f aca="false">C1038/C1037-1</f>
        <v>4.12034709804665E-005</v>
      </c>
    </row>
    <row r="1039" customFormat="false" ht="15" hidden="false" customHeight="false" outlineLevel="0" collapsed="false">
      <c r="A1039" s="1" t="s">
        <v>1046</v>
      </c>
      <c r="B1039" s="5" t="n">
        <v>35.7081</v>
      </c>
      <c r="C1039" s="5" t="n">
        <v>12.1373</v>
      </c>
      <c r="D1039" s="1" t="n">
        <f aca="false">LN(B1039/B1038)</f>
        <v>0.00622239337120867</v>
      </c>
      <c r="E1039" s="1" t="n">
        <f aca="false">LN(C1039/C1038)</f>
        <v>0.000156554483339632</v>
      </c>
      <c r="F1039" s="1" t="n">
        <f aca="false">B1039/B1038-1</f>
        <v>0.00624179267667224</v>
      </c>
      <c r="G1039" s="1" t="n">
        <f aca="false">C1039/C1038-1</f>
        <v>0.000156566738632291</v>
      </c>
    </row>
    <row r="1040" customFormat="false" ht="15" hidden="false" customHeight="false" outlineLevel="0" collapsed="false">
      <c r="A1040" s="1" t="s">
        <v>1047</v>
      </c>
      <c r="B1040" s="5" t="n">
        <v>35.7556</v>
      </c>
      <c r="C1040" s="5" t="n">
        <v>12.1377</v>
      </c>
      <c r="D1040" s="1" t="n">
        <f aca="false">LN(B1040/B1039)</f>
        <v>0.00132934642328953</v>
      </c>
      <c r="E1040" s="1" t="n">
        <f aca="false">LN(C1040/C1039)</f>
        <v>3.29557157599394E-005</v>
      </c>
      <c r="F1040" s="1" t="n">
        <f aca="false">B1040/B1039-1</f>
        <v>0.00133023039590463</v>
      </c>
      <c r="G1040" s="1" t="n">
        <f aca="false">C1040/C1039-1</f>
        <v>3.29562588055055E-005</v>
      </c>
    </row>
    <row r="1041" customFormat="false" ht="15" hidden="false" customHeight="false" outlineLevel="0" collapsed="false">
      <c r="A1041" s="1" t="s">
        <v>1048</v>
      </c>
      <c r="B1041" s="5" t="n">
        <v>35.7342</v>
      </c>
      <c r="C1041" s="5" t="n">
        <v>12.1381</v>
      </c>
      <c r="D1041" s="1" t="n">
        <f aca="false">LN(B1041/B1040)</f>
        <v>-0.000598686823552273</v>
      </c>
      <c r="E1041" s="1" t="n">
        <f aca="false">LN(C1041/C1040)</f>
        <v>3.29546297165042E-005</v>
      </c>
      <c r="F1041" s="1" t="n">
        <f aca="false">B1041/B1040-1</f>
        <v>-0.000598507646354718</v>
      </c>
      <c r="G1041" s="1" t="n">
        <f aca="false">C1041/C1040-1</f>
        <v>3.29551727262789E-005</v>
      </c>
    </row>
    <row r="1042" customFormat="false" ht="15" hidden="false" customHeight="false" outlineLevel="0" collapsed="false">
      <c r="A1042" s="1" t="s">
        <v>1049</v>
      </c>
      <c r="B1042" s="5" t="n">
        <v>35.7288</v>
      </c>
      <c r="C1042" s="5" t="n">
        <v>12.1392</v>
      </c>
      <c r="D1042" s="1" t="n">
        <f aca="false">LN(B1042/B1041)</f>
        <v>-0.000151127156998175</v>
      </c>
      <c r="E1042" s="1" t="n">
        <f aca="false">LN(C1042/C1041)</f>
        <v>9.06196323934303E-005</v>
      </c>
      <c r="F1042" s="1" t="n">
        <f aca="false">B1042/B1041-1</f>
        <v>-0.000151115737864638</v>
      </c>
      <c r="G1042" s="1" t="n">
        <f aca="false">C1042/C1041-1</f>
        <v>9.06237384763475E-005</v>
      </c>
    </row>
    <row r="1043" customFormat="false" ht="15" hidden="false" customHeight="false" outlineLevel="0" collapsed="false">
      <c r="A1043" s="1" t="s">
        <v>1050</v>
      </c>
      <c r="B1043" s="5" t="n">
        <v>35.7383</v>
      </c>
      <c r="C1043" s="5" t="n">
        <v>12.1395</v>
      </c>
      <c r="D1043" s="1" t="n">
        <f aca="false">LN(B1043/B1042)</f>
        <v>0.000265856598517576</v>
      </c>
      <c r="E1043" s="1" t="n">
        <f aca="false">LN(C1043/C1042)</f>
        <v>2.47130200557786E-005</v>
      </c>
      <c r="F1043" s="1" t="n">
        <f aca="false">B1043/B1042-1</f>
        <v>0.000265891941515051</v>
      </c>
      <c r="G1043" s="1" t="n">
        <f aca="false">C1043/C1042-1</f>
        <v>2.47133254249743E-005</v>
      </c>
    </row>
    <row r="1044" customFormat="false" ht="15" hidden="false" customHeight="false" outlineLevel="0" collapsed="false">
      <c r="A1044" s="1" t="s">
        <v>1051</v>
      </c>
      <c r="B1044" s="5" t="n">
        <v>35.8148</v>
      </c>
      <c r="C1044" s="5" t="n">
        <v>12.1399</v>
      </c>
      <c r="D1044" s="1" t="n">
        <f aca="false">LN(B1044/B1043)</f>
        <v>0.00213827295107664</v>
      </c>
      <c r="E1044" s="1" t="n">
        <f aca="false">LN(C1044/C1043)</f>
        <v>3.29497434069599E-005</v>
      </c>
      <c r="F1044" s="1" t="n">
        <f aca="false">B1044/B1043-1</f>
        <v>0.00214056068699398</v>
      </c>
      <c r="G1044" s="1" t="n">
        <f aca="false">C1044/C1043-1</f>
        <v>3.29502862557174E-005</v>
      </c>
    </row>
    <row r="1045" customFormat="false" ht="15" hidden="false" customHeight="false" outlineLevel="0" collapsed="false">
      <c r="A1045" s="1" t="s">
        <v>1052</v>
      </c>
      <c r="B1045" s="5" t="n">
        <v>35.7878</v>
      </c>
      <c r="C1045" s="5" t="n">
        <v>12.1403</v>
      </c>
      <c r="D1045" s="1" t="n">
        <f aca="false">LN(B1045/B1044)</f>
        <v>-0.000754162594087777</v>
      </c>
      <c r="E1045" s="1" t="n">
        <f aca="false">LN(C1045/C1044)</f>
        <v>3.29486577569682E-005</v>
      </c>
      <c r="F1045" s="1" t="n">
        <f aca="false">B1045/B1044-1</f>
        <v>-0.000753878284954879</v>
      </c>
      <c r="G1045" s="1" t="n">
        <f aca="false">C1045/C1044-1</f>
        <v>3.29492005699539E-005</v>
      </c>
    </row>
    <row r="1046" customFormat="false" ht="15" hidden="false" customHeight="false" outlineLevel="0" collapsed="false">
      <c r="A1046" s="1" t="s">
        <v>1053</v>
      </c>
      <c r="B1046" s="5" t="n">
        <v>35.6335</v>
      </c>
      <c r="C1046" s="5" t="n">
        <v>12.1407</v>
      </c>
      <c r="D1046" s="1" t="n">
        <f aca="false">LN(B1046/B1045)</f>
        <v>-0.00432084658389992</v>
      </c>
      <c r="E1046" s="1" t="n">
        <f aca="false">LN(C1046/C1045)</f>
        <v>3.29475721789155E-005</v>
      </c>
      <c r="F1046" s="1" t="n">
        <f aca="false">B1046/B1045-1</f>
        <v>-0.00431152515661759</v>
      </c>
      <c r="G1046" s="1" t="n">
        <f aca="false">C1046/C1045-1</f>
        <v>3.29481149561328E-005</v>
      </c>
    </row>
    <row r="1047" customFormat="false" ht="15" hidden="false" customHeight="false" outlineLevel="0" collapsed="false">
      <c r="A1047" s="1" t="s">
        <v>1054</v>
      </c>
      <c r="B1047" s="5" t="n">
        <v>35.6104</v>
      </c>
      <c r="C1047" s="5" t="n">
        <v>12.1418</v>
      </c>
      <c r="D1047" s="1" t="n">
        <f aca="false">LN(B1047/B1046)</f>
        <v>-0.000648476594052429</v>
      </c>
      <c r="E1047" s="1" t="n">
        <f aca="false">LN(C1047/C1046)</f>
        <v>9.06002265625576E-005</v>
      </c>
      <c r="F1047" s="1" t="n">
        <f aca="false">B1047/B1046-1</f>
        <v>-0.000648266378548312</v>
      </c>
      <c r="G1047" s="1" t="n">
        <f aca="false">C1047/C1046-1</f>
        <v>9.06043308870341E-005</v>
      </c>
    </row>
    <row r="1048" customFormat="false" ht="15" hidden="false" customHeight="false" outlineLevel="0" collapsed="false">
      <c r="A1048" s="1" t="s">
        <v>1055</v>
      </c>
      <c r="B1048" s="5" t="n">
        <v>35.8127</v>
      </c>
      <c r="C1048" s="5" t="n">
        <v>12.1421</v>
      </c>
      <c r="D1048" s="1" t="n">
        <f aca="false">LN(B1048/B1047)</f>
        <v>0.00566484907522387</v>
      </c>
      <c r="E1048" s="1" t="n">
        <f aca="false">LN(C1048/C1047)</f>
        <v>2.47077281668335E-005</v>
      </c>
      <c r="F1048" s="1" t="n">
        <f aca="false">B1048/B1047-1</f>
        <v>0.00568092467369086</v>
      </c>
      <c r="G1048" s="1" t="n">
        <f aca="false">C1048/C1047-1</f>
        <v>2.4708033405263E-005</v>
      </c>
    </row>
    <row r="1049" customFormat="false" ht="15" hidden="false" customHeight="false" outlineLevel="0" collapsed="false">
      <c r="A1049" s="1" t="s">
        <v>1056</v>
      </c>
      <c r="B1049" s="5" t="n">
        <v>35.9474</v>
      </c>
      <c r="C1049" s="5" t="n">
        <v>12.1429</v>
      </c>
      <c r="D1049" s="1" t="n">
        <f aca="false">LN(B1049/B1048)</f>
        <v>0.00375417977967177</v>
      </c>
      <c r="E1049" s="1" t="n">
        <f aca="false">LN(C1049/C1048)</f>
        <v>6.5884290738247E-005</v>
      </c>
      <c r="F1049" s="1" t="n">
        <f aca="false">B1049/B1048-1</f>
        <v>0.00376123553934793</v>
      </c>
      <c r="G1049" s="1" t="n">
        <f aca="false">C1049/C1048-1</f>
        <v>6.58864611557952E-005</v>
      </c>
    </row>
    <row r="1050" customFormat="false" ht="15" hidden="false" customHeight="false" outlineLevel="0" collapsed="false">
      <c r="A1050" s="1" t="s">
        <v>1057</v>
      </c>
      <c r="B1050" s="5" t="n">
        <v>35.9907</v>
      </c>
      <c r="C1050" s="5" t="n">
        <v>12.1435</v>
      </c>
      <c r="D1050" s="1" t="n">
        <f aca="false">LN(B1050/B1049)</f>
        <v>0.00120381286770332</v>
      </c>
      <c r="E1050" s="1" t="n">
        <f aca="false">LN(C1050/C1049)</f>
        <v>4.94103695996035E-005</v>
      </c>
      <c r="F1050" s="1" t="n">
        <f aca="false">B1050/B1049-1</f>
        <v>0.00120453774125506</v>
      </c>
      <c r="G1050" s="1" t="n">
        <f aca="false">C1050/C1049-1</f>
        <v>4.94115903120207E-005</v>
      </c>
    </row>
    <row r="1051" customFormat="false" ht="15" hidden="false" customHeight="false" outlineLevel="0" collapsed="false">
      <c r="A1051" s="1" t="s">
        <v>1058</v>
      </c>
      <c r="B1051" s="5" t="n">
        <v>35.7653</v>
      </c>
      <c r="C1051" s="5" t="n">
        <v>12.145</v>
      </c>
      <c r="D1051" s="1" t="n">
        <f aca="false">LN(B1051/B1050)</f>
        <v>-0.00628242213489203</v>
      </c>
      <c r="E1051" s="1" t="n">
        <f aca="false">LN(C1051/C1050)</f>
        <v>0.000123515243996609</v>
      </c>
      <c r="F1051" s="1" t="n">
        <f aca="false">B1051/B1050-1</f>
        <v>-0.00626272898276481</v>
      </c>
      <c r="G1051" s="1" t="n">
        <f aca="false">C1051/C1050-1</f>
        <v>0.000123522872318427</v>
      </c>
    </row>
    <row r="1052" customFormat="false" ht="15" hidden="false" customHeight="false" outlineLevel="0" collapsed="false">
      <c r="A1052" s="1" t="s">
        <v>1059</v>
      </c>
      <c r="B1052" s="5" t="n">
        <v>35.447</v>
      </c>
      <c r="C1052" s="5" t="n">
        <v>12.1455</v>
      </c>
      <c r="D1052" s="1" t="n">
        <f aca="false">LN(B1052/B1051)</f>
        <v>-0.00893952645107893</v>
      </c>
      <c r="E1052" s="1" t="n">
        <f aca="false">LN(C1052/C1051)</f>
        <v>4.11683580058088E-005</v>
      </c>
      <c r="F1052" s="1" t="n">
        <f aca="false">B1052/B1051-1</f>
        <v>-0.00889968768610916</v>
      </c>
      <c r="G1052" s="1" t="n">
        <f aca="false">C1052/C1051-1</f>
        <v>4.11692054342883E-005</v>
      </c>
    </row>
    <row r="1053" customFormat="false" ht="15" hidden="false" customHeight="false" outlineLevel="0" collapsed="false">
      <c r="A1053" s="1" t="s">
        <v>1060</v>
      </c>
      <c r="B1053" s="5" t="n">
        <v>35.2702</v>
      </c>
      <c r="C1053" s="5" t="n">
        <v>12.1459</v>
      </c>
      <c r="D1053" s="1" t="n">
        <f aca="false">LN(B1053/B1052)</f>
        <v>-0.00500020838958231</v>
      </c>
      <c r="E1053" s="1" t="n">
        <f aca="false">LN(C1053/C1052)</f>
        <v>3.29334661678172E-005</v>
      </c>
      <c r="F1053" s="1" t="n">
        <f aca="false">B1053/B1052-1</f>
        <v>-0.00498772815753101</v>
      </c>
      <c r="G1053" s="1" t="n">
        <f aca="false">C1053/C1052-1</f>
        <v>3.29340084803675E-005</v>
      </c>
    </row>
    <row r="1054" customFormat="false" ht="15" hidden="false" customHeight="false" outlineLevel="0" collapsed="false">
      <c r="A1054" s="1" t="s">
        <v>1061</v>
      </c>
      <c r="B1054" s="5" t="n">
        <v>35.3458</v>
      </c>
      <c r="C1054" s="5" t="n">
        <v>12.1464</v>
      </c>
      <c r="D1054" s="1" t="n">
        <f aca="false">LN(B1054/B1053)</f>
        <v>0.00214115862928304</v>
      </c>
      <c r="E1054" s="1" t="n">
        <f aca="false">LN(C1054/C1053)</f>
        <v>4.11653075313949E-005</v>
      </c>
      <c r="F1054" s="1" t="n">
        <f aca="false">B1054/B1053-1</f>
        <v>0.00214345254634218</v>
      </c>
      <c r="G1054" s="1" t="n">
        <f aca="false">C1054/C1053-1</f>
        <v>4.11661548342934E-005</v>
      </c>
    </row>
    <row r="1055" customFormat="false" ht="15" hidden="false" customHeight="false" outlineLevel="0" collapsed="false">
      <c r="A1055" s="1" t="s">
        <v>1062</v>
      </c>
      <c r="B1055" s="5" t="n">
        <v>35.1836</v>
      </c>
      <c r="C1055" s="5" t="n">
        <v>12.1475</v>
      </c>
      <c r="D1055" s="1" t="n">
        <f aca="false">LN(B1055/B1054)</f>
        <v>-0.00459950845892478</v>
      </c>
      <c r="E1055" s="1" t="n">
        <f aca="false">LN(C1055/C1054)</f>
        <v>9.05577120801293E-005</v>
      </c>
      <c r="F1055" s="1" t="n">
        <f aca="false">B1055/B1054-1</f>
        <v>-0.00458894691872869</v>
      </c>
      <c r="G1055" s="1" t="n">
        <f aca="false">C1055/C1054-1</f>
        <v>9.05618125535135E-005</v>
      </c>
    </row>
    <row r="1056" customFormat="false" ht="15" hidden="false" customHeight="false" outlineLevel="0" collapsed="false">
      <c r="A1056" s="1" t="s">
        <v>1063</v>
      </c>
      <c r="B1056" s="5" t="n">
        <v>35.0647</v>
      </c>
      <c r="C1056" s="5" t="n">
        <v>12.1479</v>
      </c>
      <c r="D1056" s="1" t="n">
        <f aca="false">LN(B1056/B1055)</f>
        <v>-0.00338513853121519</v>
      </c>
      <c r="E1056" s="1" t="n">
        <f aca="false">LN(C1056/C1055)</f>
        <v>3.29280439946977E-005</v>
      </c>
      <c r="F1056" s="1" t="n">
        <f aca="false">B1056/B1055-1</f>
        <v>-0.00337941540945208</v>
      </c>
      <c r="G1056" s="1" t="n">
        <f aca="false">C1056/C1055-1</f>
        <v>3.29285861286888E-005</v>
      </c>
    </row>
    <row r="1057" customFormat="false" ht="15" hidden="false" customHeight="false" outlineLevel="0" collapsed="false">
      <c r="A1057" s="1" t="s">
        <v>1064</v>
      </c>
      <c r="B1057" s="5" t="n">
        <v>34.8104</v>
      </c>
      <c r="C1057" s="5" t="n">
        <v>12.1483</v>
      </c>
      <c r="D1057" s="1" t="n">
        <f aca="false">LN(B1057/B1056)</f>
        <v>-0.00727873370435977</v>
      </c>
      <c r="E1057" s="1" t="n">
        <f aca="false">LN(C1057/C1056)</f>
        <v>3.29269597746026E-005</v>
      </c>
      <c r="F1057" s="1" t="n">
        <f aca="false">B1057/B1056-1</f>
        <v>-0.00725230787658249</v>
      </c>
      <c r="G1057" s="1" t="n">
        <f aca="false">C1057/C1056-1</f>
        <v>3.29275018728925E-005</v>
      </c>
    </row>
    <row r="1058" customFormat="false" ht="15" hidden="false" customHeight="false" outlineLevel="0" collapsed="false">
      <c r="A1058" s="1" t="s">
        <v>1065</v>
      </c>
      <c r="B1058" s="5" t="n">
        <v>34.6392</v>
      </c>
      <c r="C1058" s="5" t="n">
        <v>12.1486</v>
      </c>
      <c r="D1058" s="1" t="n">
        <f aca="false">LN(B1058/B1057)</f>
        <v>-0.00493020396887699</v>
      </c>
      <c r="E1058" s="1" t="n">
        <f aca="false">LN(C1058/C1057)</f>
        <v>2.46945083541761E-005</v>
      </c>
      <c r="F1058" s="1" t="n">
        <f aca="false">B1058/B1057-1</f>
        <v>-0.00491807046170112</v>
      </c>
      <c r="G1058" s="1" t="n">
        <f aca="false">C1058/C1057-1</f>
        <v>2.46948132660574E-005</v>
      </c>
    </row>
    <row r="1059" customFormat="false" ht="15" hidden="false" customHeight="false" outlineLevel="0" collapsed="false">
      <c r="A1059" s="1" t="s">
        <v>1066</v>
      </c>
      <c r="B1059" s="5" t="n">
        <v>34.4926</v>
      </c>
      <c r="C1059" s="5" t="n">
        <v>12.1489</v>
      </c>
      <c r="D1059" s="1" t="n">
        <f aca="false">LN(B1059/B1058)</f>
        <v>-0.00424118046249599</v>
      </c>
      <c r="E1059" s="1" t="n">
        <f aca="false">LN(C1059/C1058)</f>
        <v>2.46938985503728E-005</v>
      </c>
      <c r="F1059" s="1" t="n">
        <f aca="false">B1059/B1058-1</f>
        <v>-0.00423219935795283</v>
      </c>
      <c r="G1059" s="1" t="n">
        <f aca="false">C1059/C1058-1</f>
        <v>2.46942034471953E-005</v>
      </c>
    </row>
    <row r="1060" customFormat="false" ht="15" hidden="false" customHeight="false" outlineLevel="0" collapsed="false">
      <c r="A1060" s="1" t="s">
        <v>1067</v>
      </c>
      <c r="B1060" s="5" t="n">
        <v>34.5981</v>
      </c>
      <c r="C1060" s="5" t="n">
        <v>12.1504</v>
      </c>
      <c r="D1060" s="1" t="n">
        <f aca="false">LN(B1060/B1059)</f>
        <v>0.00305395898426037</v>
      </c>
      <c r="E1060" s="1" t="n">
        <f aca="false">LN(C1060/C1059)</f>
        <v>0.000123460346751063</v>
      </c>
      <c r="F1060" s="1" t="n">
        <f aca="false">B1060/B1059-1</f>
        <v>0.00305862706783477</v>
      </c>
      <c r="G1060" s="1" t="n">
        <f aca="false">C1060/C1059-1</f>
        <v>0.000123467968293323</v>
      </c>
    </row>
    <row r="1061" customFormat="false" ht="15" hidden="false" customHeight="false" outlineLevel="0" collapsed="false">
      <c r="A1061" s="1" t="s">
        <v>1068</v>
      </c>
      <c r="B1061" s="5" t="n">
        <v>34.9632</v>
      </c>
      <c r="C1061" s="5" t="n">
        <v>12.1507</v>
      </c>
      <c r="D1061" s="1" t="n">
        <f aca="false">LN(B1061/B1060)</f>
        <v>0.0104973125181159</v>
      </c>
      <c r="E1061" s="1" t="n">
        <f aca="false">LN(C1061/C1060)</f>
        <v>2.4690240360801E-005</v>
      </c>
      <c r="F1061" s="1" t="n">
        <f aca="false">B1061/B1060-1</f>
        <v>0.0105526025995646</v>
      </c>
      <c r="G1061" s="1" t="n">
        <f aca="false">C1061/C1060-1</f>
        <v>2.46905451672941E-005</v>
      </c>
    </row>
    <row r="1062" customFormat="false" ht="15" hidden="false" customHeight="false" outlineLevel="0" collapsed="false">
      <c r="A1062" s="1" t="s">
        <v>1069</v>
      </c>
      <c r="B1062" s="5" t="n">
        <v>34.5608</v>
      </c>
      <c r="C1062" s="5" t="n">
        <v>12.1511</v>
      </c>
      <c r="D1062" s="1" t="n">
        <f aca="false">LN(B1062/B1061)</f>
        <v>-0.011575987963118</v>
      </c>
      <c r="E1062" s="1" t="n">
        <f aca="false">LN(C1062/C1061)</f>
        <v>3.2919372230464E-005</v>
      </c>
      <c r="F1062" s="1" t="n">
        <f aca="false">B1062/B1061-1</f>
        <v>-0.0115092440051254</v>
      </c>
      <c r="G1062" s="1" t="n">
        <f aca="false">C1062/C1061-1</f>
        <v>3.29199140789438E-005</v>
      </c>
    </row>
    <row r="1063" customFormat="false" ht="15" hidden="false" customHeight="false" outlineLevel="0" collapsed="false">
      <c r="A1063" s="1" t="s">
        <v>1070</v>
      </c>
      <c r="B1063" s="5" t="n">
        <v>34.6121</v>
      </c>
      <c r="C1063" s="5" t="n">
        <v>12.1516</v>
      </c>
      <c r="D1063" s="1" t="n">
        <f aca="false">LN(B1063/B1062)</f>
        <v>0.00148324009561559</v>
      </c>
      <c r="E1063" s="1" t="n">
        <f aca="false">LN(C1063/C1062)</f>
        <v>4.11476914146644E-005</v>
      </c>
      <c r="F1063" s="1" t="n">
        <f aca="false">B1063/B1062-1</f>
        <v>0.00148434064026293</v>
      </c>
      <c r="G1063" s="1" t="n">
        <f aca="false">C1063/C1062-1</f>
        <v>4.11485379925303E-005</v>
      </c>
    </row>
    <row r="1064" customFormat="false" ht="15" hidden="false" customHeight="false" outlineLevel="0" collapsed="false">
      <c r="A1064" s="1" t="s">
        <v>1071</v>
      </c>
      <c r="B1064" s="5" t="n">
        <v>34.8296</v>
      </c>
      <c r="C1064" s="5" t="n">
        <v>12.1527</v>
      </c>
      <c r="D1064" s="1" t="n">
        <f aca="false">LN(B1064/B1063)</f>
        <v>0.00626426804769022</v>
      </c>
      <c r="E1064" s="1" t="n">
        <f aca="false">LN(C1064/C1063)</f>
        <v>9.05189617270054E-005</v>
      </c>
      <c r="F1064" s="1" t="n">
        <f aca="false">B1064/B1063-1</f>
        <v>0.00628392960843183</v>
      </c>
      <c r="G1064" s="1" t="n">
        <f aca="false">C1064/C1063-1</f>
        <v>9.05230586918382E-005</v>
      </c>
    </row>
    <row r="1065" customFormat="false" ht="15" hidden="false" customHeight="false" outlineLevel="0" collapsed="false">
      <c r="A1065" s="1" t="s">
        <v>1072</v>
      </c>
      <c r="B1065" s="5" t="n">
        <v>35.0093</v>
      </c>
      <c r="C1065" s="5" t="n">
        <v>12.1531</v>
      </c>
      <c r="D1065" s="1" t="n">
        <f aca="false">LN(B1065/B1064)</f>
        <v>0.00514614051994511</v>
      </c>
      <c r="E1065" s="1" t="n">
        <f aca="false">LN(C1065/C1064)</f>
        <v>3.29139546969594E-005</v>
      </c>
      <c r="F1065" s="1" t="n">
        <f aca="false">B1065/B1064-1</f>
        <v>0.00515940464432574</v>
      </c>
      <c r="G1065" s="1" t="n">
        <f aca="false">C1065/C1064-1</f>
        <v>3.29144963671091E-005</v>
      </c>
    </row>
    <row r="1066" customFormat="false" ht="15" hidden="false" customHeight="false" outlineLevel="0" collapsed="false">
      <c r="A1066" s="1" t="s">
        <v>1073</v>
      </c>
      <c r="B1066" s="5" t="n">
        <v>34.6975</v>
      </c>
      <c r="C1066" s="5" t="n">
        <v>12.1535</v>
      </c>
      <c r="D1066" s="1" t="n">
        <f aca="false">LN(B1066/B1065)</f>
        <v>-0.00894610223148174</v>
      </c>
      <c r="E1066" s="1" t="n">
        <f aca="false">LN(C1066/C1065)</f>
        <v>3.29128714040768E-005</v>
      </c>
      <c r="F1066" s="1" t="n">
        <f aca="false">B1066/B1065-1</f>
        <v>-0.00890620492269212</v>
      </c>
      <c r="G1066" s="1" t="n">
        <f aca="false">C1066/C1065-1</f>
        <v>3.29134130385711E-005</v>
      </c>
    </row>
    <row r="1067" customFormat="false" ht="15" hidden="false" customHeight="false" outlineLevel="0" collapsed="false">
      <c r="A1067" s="1" t="s">
        <v>1074</v>
      </c>
      <c r="B1067" s="5" t="n">
        <v>34.7595</v>
      </c>
      <c r="C1067" s="5" t="n">
        <v>12.1539</v>
      </c>
      <c r="D1067" s="1" t="n">
        <f aca="false">LN(B1067/B1066)</f>
        <v>0.00178527769605047</v>
      </c>
      <c r="E1067" s="1" t="n">
        <f aca="false">LN(C1067/C1066)</f>
        <v>3.29117881826891E-005</v>
      </c>
      <c r="F1067" s="1" t="n">
        <f aca="false">B1067/B1066-1</f>
        <v>0.0017868722530443</v>
      </c>
      <c r="G1067" s="1" t="n">
        <f aca="false">C1067/C1066-1</f>
        <v>3.29123297815315E-005</v>
      </c>
    </row>
    <row r="1068" customFormat="false" ht="15" hidden="false" customHeight="false" outlineLevel="0" collapsed="false">
      <c r="A1068" s="1" t="s">
        <v>1075</v>
      </c>
      <c r="B1068" s="5" t="n">
        <v>34.6943</v>
      </c>
      <c r="C1068" s="5" t="n">
        <v>12.1544</v>
      </c>
      <c r="D1068" s="1" t="n">
        <f aca="false">LN(B1068/B1067)</f>
        <v>-0.00187750761377179</v>
      </c>
      <c r="E1068" s="1" t="n">
        <f aca="false">LN(C1068/C1067)</f>
        <v>4.11382120568056E-005</v>
      </c>
      <c r="F1068" s="1" t="n">
        <f aca="false">B1068/B1067-1</f>
        <v>-0.00187574619888098</v>
      </c>
      <c r="G1068" s="1" t="n">
        <f aca="false">C1068/C1067-1</f>
        <v>4.11390582446547E-005</v>
      </c>
    </row>
    <row r="1069" customFormat="false" ht="15" hidden="false" customHeight="false" outlineLevel="0" collapsed="false">
      <c r="A1069" s="1" t="s">
        <v>1076</v>
      </c>
      <c r="B1069" s="5" t="n">
        <v>35.1114</v>
      </c>
      <c r="C1069" s="5" t="n">
        <v>12.156</v>
      </c>
      <c r="D1069" s="1" t="n">
        <f aca="false">LN(B1069/B1068)</f>
        <v>0.0119504557348092</v>
      </c>
      <c r="E1069" s="1" t="n">
        <f aca="false">LN(C1069/C1068)</f>
        <v>0.000131630907127057</v>
      </c>
      <c r="F1069" s="1" t="n">
        <f aca="false">B1069/B1068-1</f>
        <v>0.0120221477303191</v>
      </c>
      <c r="G1069" s="1" t="n">
        <f aca="false">C1069/C1068-1</f>
        <v>0.000131639570855047</v>
      </c>
    </row>
    <row r="1070" customFormat="false" ht="15" hidden="false" customHeight="false" outlineLevel="0" collapsed="false">
      <c r="A1070" s="1" t="s">
        <v>1077</v>
      </c>
      <c r="B1070" s="5" t="n">
        <v>35.3475</v>
      </c>
      <c r="C1070" s="5" t="n">
        <v>12.1564</v>
      </c>
      <c r="D1070" s="1" t="n">
        <f aca="false">LN(B1070/B1069)</f>
        <v>0.00670180441891301</v>
      </c>
      <c r="E1070" s="1" t="n">
        <f aca="false">LN(C1070/C1069)</f>
        <v>3.29050196636447E-005</v>
      </c>
      <c r="F1070" s="1" t="n">
        <f aca="false">B1070/B1069-1</f>
        <v>0.00672431176199173</v>
      </c>
      <c r="G1070" s="1" t="n">
        <f aca="false">C1070/C1069-1</f>
        <v>3.29055610397422E-005</v>
      </c>
    </row>
    <row r="1071" customFormat="false" ht="15" hidden="false" customHeight="false" outlineLevel="0" collapsed="false">
      <c r="A1071" s="1" t="s">
        <v>1078</v>
      </c>
      <c r="B1071" s="5" t="n">
        <v>35.401</v>
      </c>
      <c r="C1071" s="5" t="n">
        <v>12.1569</v>
      </c>
      <c r="D1071" s="1" t="n">
        <f aca="false">LN(B1071/B1070)</f>
        <v>0.00151239984445723</v>
      </c>
      <c r="E1071" s="1" t="n">
        <f aca="false">LN(C1071/C1070)</f>
        <v>4.11297520346249E-005</v>
      </c>
      <c r="F1071" s="1" t="n">
        <f aca="false">B1071/B1070-1</f>
        <v>0.00151354409788551</v>
      </c>
      <c r="G1071" s="1" t="n">
        <f aca="false">C1071/C1070-1</f>
        <v>4.11305978744725E-005</v>
      </c>
    </row>
    <row r="1072" customFormat="false" ht="15" hidden="false" customHeight="false" outlineLevel="0" collapsed="false">
      <c r="A1072" s="1" t="s">
        <v>1079</v>
      </c>
      <c r="B1072" s="5" t="n">
        <v>35.3582</v>
      </c>
      <c r="C1072" s="5" t="n">
        <v>12.1572</v>
      </c>
      <c r="D1072" s="1" t="n">
        <f aca="false">LN(B1072/B1071)</f>
        <v>-0.00120973683195093</v>
      </c>
      <c r="E1072" s="1" t="n">
        <f aca="false">LN(C1072/C1071)</f>
        <v>2.46770392500459E-005</v>
      </c>
      <c r="F1072" s="1" t="n">
        <f aca="false">B1072/B1071-1</f>
        <v>-0.00120900539532798</v>
      </c>
      <c r="G1072" s="1" t="n">
        <f aca="false">C1072/C1071-1</f>
        <v>2.46773437306835E-005</v>
      </c>
    </row>
    <row r="1073" customFormat="false" ht="15" hidden="false" customHeight="false" outlineLevel="0" collapsed="false">
      <c r="A1073" s="1" t="s">
        <v>1080</v>
      </c>
      <c r="B1073" s="5" t="n">
        <v>35.6034</v>
      </c>
      <c r="C1073" s="5" t="n">
        <v>12.1583</v>
      </c>
      <c r="D1073" s="1" t="n">
        <f aca="false">LN(B1073/B1072)</f>
        <v>0.00691080741922646</v>
      </c>
      <c r="E1073" s="1" t="n">
        <f aca="false">LN(C1073/C1072)</f>
        <v>9.04772676483515E-005</v>
      </c>
      <c r="F1073" s="1" t="n">
        <f aca="false">B1073/B1072-1</f>
        <v>0.00693474215316403</v>
      </c>
      <c r="G1073" s="1" t="n">
        <f aca="false">C1073/C1072-1</f>
        <v>9.04813608397781E-005</v>
      </c>
    </row>
    <row r="1074" customFormat="false" ht="15" hidden="false" customHeight="false" outlineLevel="0" collapsed="false">
      <c r="A1074" s="1" t="s">
        <v>1081</v>
      </c>
      <c r="B1074" s="5" t="n">
        <v>35.7675</v>
      </c>
      <c r="C1074" s="5" t="n">
        <v>12.1585</v>
      </c>
      <c r="D1074" s="1" t="n">
        <f aca="false">LN(B1074/B1073)</f>
        <v>0.00459852094276086</v>
      </c>
      <c r="E1074" s="1" t="n">
        <f aca="false">LN(C1074/C1073)</f>
        <v>1.64495328335532E-005</v>
      </c>
      <c r="F1074" s="1" t="n">
        <f aca="false">B1074/B1073-1</f>
        <v>0.00460911036586387</v>
      </c>
      <c r="G1074" s="1" t="n">
        <f aca="false">C1074/C1073-1</f>
        <v>1.64496681278603E-005</v>
      </c>
    </row>
    <row r="1075" customFormat="false" ht="15" hidden="false" customHeight="false" outlineLevel="0" collapsed="false">
      <c r="A1075" s="1" t="s">
        <v>1082</v>
      </c>
      <c r="B1075" s="5" t="n">
        <v>35.7572</v>
      </c>
      <c r="C1075" s="5" t="n">
        <v>12.159</v>
      </c>
      <c r="D1075" s="1" t="n">
        <f aca="false">LN(B1075/B1074)</f>
        <v>-0.000288012394912493</v>
      </c>
      <c r="E1075" s="1" t="n">
        <f aca="false">LN(C1075/C1074)</f>
        <v>4.1122648304299E-005</v>
      </c>
      <c r="F1075" s="1" t="n">
        <f aca="false">B1075/B1074-1</f>
        <v>-0.000287970923324221</v>
      </c>
      <c r="G1075" s="1" t="n">
        <f aca="false">C1075/C1074-1</f>
        <v>4.11234938519911E-005</v>
      </c>
    </row>
    <row r="1076" customFormat="false" ht="15" hidden="false" customHeight="false" outlineLevel="0" collapsed="false">
      <c r="A1076" s="1" t="s">
        <v>1083</v>
      </c>
      <c r="B1076" s="5" t="n">
        <v>35.7939</v>
      </c>
      <c r="C1076" s="5" t="n">
        <v>12.1594</v>
      </c>
      <c r="D1076" s="1" t="n">
        <f aca="false">LN(B1076/B1075)</f>
        <v>0.00102584036355665</v>
      </c>
      <c r="E1076" s="1" t="n">
        <f aca="false">LN(C1076/C1075)</f>
        <v>3.28969011149153E-005</v>
      </c>
      <c r="F1076" s="1" t="n">
        <f aca="false">B1076/B1075-1</f>
        <v>0.00102636671775214</v>
      </c>
      <c r="G1076" s="1" t="n">
        <f aca="false">C1076/C1075-1</f>
        <v>3.28974422239003E-005</v>
      </c>
    </row>
    <row r="1077" customFormat="false" ht="15" hidden="false" customHeight="false" outlineLevel="0" collapsed="false">
      <c r="A1077" s="1" t="s">
        <v>1084</v>
      </c>
      <c r="B1077" s="5" t="n">
        <v>35.7394</v>
      </c>
      <c r="C1077" s="5" t="n">
        <v>12.1598</v>
      </c>
      <c r="D1077" s="1" t="n">
        <f aca="false">LN(B1077/B1076)</f>
        <v>-0.00152376614933541</v>
      </c>
      <c r="E1077" s="1" t="n">
        <f aca="false">LN(C1077/C1076)</f>
        <v>3.28958189444128E-005</v>
      </c>
      <c r="F1077" s="1" t="n">
        <f aca="false">B1077/B1076-1</f>
        <v>-0.0015226058071347</v>
      </c>
      <c r="G1077" s="1" t="n">
        <f aca="false">C1077/C1076-1</f>
        <v>3.28963600177978E-005</v>
      </c>
    </row>
    <row r="1078" customFormat="false" ht="15" hidden="false" customHeight="false" outlineLevel="0" collapsed="false">
      <c r="A1078" s="1" t="s">
        <v>1085</v>
      </c>
      <c r="B1078" s="5" t="n">
        <v>35.6273</v>
      </c>
      <c r="C1078" s="5" t="n">
        <v>12.1609</v>
      </c>
      <c r="D1078" s="1" t="n">
        <f aca="false">LN(B1078/B1077)</f>
        <v>-0.00314152376933502</v>
      </c>
      <c r="E1078" s="1" t="n">
        <f aca="false">LN(C1078/C1077)</f>
        <v>9.04579227364682E-005</v>
      </c>
      <c r="F1078" s="1" t="n">
        <f aca="false">B1078/B1077-1</f>
        <v>-0.00313659434685543</v>
      </c>
      <c r="G1078" s="1" t="n">
        <f aca="false">C1078/C1077-1</f>
        <v>9.04620141777279E-005</v>
      </c>
    </row>
    <row r="1079" customFormat="false" ht="15" hidden="false" customHeight="false" outlineLevel="0" collapsed="false">
      <c r="A1079" s="1" t="s">
        <v>1086</v>
      </c>
      <c r="B1079" s="5" t="n">
        <v>36.0551</v>
      </c>
      <c r="C1079" s="5" t="n">
        <v>12.1613</v>
      </c>
      <c r="D1079" s="1" t="n">
        <f aca="false">LN(B1079/B1078)</f>
        <v>0.0119361259969753</v>
      </c>
      <c r="E1079" s="1" t="n">
        <f aca="false">LN(C1079/C1078)</f>
        <v>3.28917614389902E-005</v>
      </c>
      <c r="F1079" s="1" t="n">
        <f aca="false">B1079/B1078-1</f>
        <v>0.0120076458221645</v>
      </c>
      <c r="G1079" s="1" t="n">
        <f aca="false">C1079/C1078-1</f>
        <v>3.28923023789063E-005</v>
      </c>
    </row>
    <row r="1080" customFormat="false" ht="15" hidden="false" customHeight="false" outlineLevel="0" collapsed="false">
      <c r="A1080" s="1" t="s">
        <v>1087</v>
      </c>
      <c r="B1080" s="5" t="n">
        <v>36.6194</v>
      </c>
      <c r="C1080" s="5" t="n">
        <v>12.1618</v>
      </c>
      <c r="D1080" s="1" t="n">
        <f aca="false">LN(B1080/B1079)</f>
        <v>0.0155298307174863</v>
      </c>
      <c r="E1080" s="1" t="n">
        <f aca="false">LN(C1080/C1079)</f>
        <v>4.11131804802797E-005</v>
      </c>
      <c r="F1080" s="1" t="n">
        <f aca="false">B1080/B1079-1</f>
        <v>0.0156510452058098</v>
      </c>
      <c r="G1080" s="1" t="n">
        <f aca="false">C1080/C1079-1</f>
        <v>4.11140256386666E-005</v>
      </c>
    </row>
    <row r="1081" customFormat="false" ht="15" hidden="false" customHeight="false" outlineLevel="0" collapsed="false">
      <c r="A1081" s="1" t="s">
        <v>1088</v>
      </c>
      <c r="B1081" s="5" t="n">
        <v>36.9188</v>
      </c>
      <c r="C1081" s="5" t="n">
        <v>12.1625</v>
      </c>
      <c r="D1081" s="1" t="n">
        <f aca="false">LN(B1081/B1080)</f>
        <v>0.00814275177508043</v>
      </c>
      <c r="E1081" s="1" t="n">
        <f aca="false">LN(C1081/C1080)</f>
        <v>5.75556131271208E-005</v>
      </c>
      <c r="F1081" s="1" t="n">
        <f aca="false">B1081/B1080-1</f>
        <v>0.00817599414517978</v>
      </c>
      <c r="G1081" s="1" t="n">
        <f aca="false">C1081/C1080-1</f>
        <v>5.75572694831994E-005</v>
      </c>
    </row>
    <row r="1082" customFormat="false" ht="15" hidden="false" customHeight="false" outlineLevel="0" collapsed="false">
      <c r="A1082" s="1" t="s">
        <v>1089</v>
      </c>
      <c r="B1082" s="5" t="n">
        <v>36.8473</v>
      </c>
      <c r="C1082" s="5" t="n">
        <v>12.163</v>
      </c>
      <c r="D1082" s="1" t="n">
        <f aca="false">LN(B1082/B1081)</f>
        <v>-0.00193856046046934</v>
      </c>
      <c r="E1082" s="1" t="n">
        <f aca="false">LN(C1082/C1081)</f>
        <v>4.11091241758835E-005</v>
      </c>
      <c r="F1082" s="1" t="n">
        <f aca="false">B1082/B1081-1</f>
        <v>-0.0019366826657421</v>
      </c>
      <c r="G1082" s="1" t="n">
        <f aca="false">C1082/C1081-1</f>
        <v>4.11099691675076E-005</v>
      </c>
    </row>
    <row r="1083" customFormat="false" ht="15" hidden="false" customHeight="false" outlineLevel="0" collapsed="false">
      <c r="A1083" s="1" t="s">
        <v>1090</v>
      </c>
      <c r="B1083" s="5" t="n">
        <v>36.8303</v>
      </c>
      <c r="C1083" s="5" t="n">
        <v>12.1642</v>
      </c>
      <c r="D1083" s="1" t="n">
        <f aca="false">LN(B1083/B1082)</f>
        <v>-0.000461469980066706</v>
      </c>
      <c r="E1083" s="1" t="n">
        <f aca="false">LN(C1083/C1082)</f>
        <v>9.86550035329314E-005</v>
      </c>
      <c r="F1083" s="1" t="n">
        <f aca="false">B1083/B1082-1</f>
        <v>-0.000461363519172253</v>
      </c>
      <c r="G1083" s="1" t="n">
        <f aca="false">C1083/C1082-1</f>
        <v>9.86598700978281E-005</v>
      </c>
    </row>
    <row r="1084" customFormat="false" ht="15" hidden="false" customHeight="false" outlineLevel="0" collapsed="false">
      <c r="A1084" s="1" t="s">
        <v>1091</v>
      </c>
      <c r="B1084" s="5" t="n">
        <v>36.95</v>
      </c>
      <c r="C1084" s="5" t="n">
        <v>12.1646</v>
      </c>
      <c r="D1084" s="1" t="n">
        <f aca="false">LN(B1084/B1083)</f>
        <v>0.00324477143687918</v>
      </c>
      <c r="E1084" s="1" t="n">
        <f aca="false">LN(C1084/C1083)</f>
        <v>3.28828384496687E-005</v>
      </c>
      <c r="F1084" s="1" t="n">
        <f aca="false">B1084/B1083-1</f>
        <v>0.00325004140612495</v>
      </c>
      <c r="G1084" s="1" t="n">
        <f aca="false">C1084/C1083-1</f>
        <v>3.28833790961269E-005</v>
      </c>
    </row>
    <row r="1085" customFormat="false" ht="15" hidden="false" customHeight="false" outlineLevel="0" collapsed="false">
      <c r="A1085" s="1" t="s">
        <v>1092</v>
      </c>
      <c r="B1085" s="5" t="n">
        <v>36.9314</v>
      </c>
      <c r="C1085" s="5" t="n">
        <v>12.165</v>
      </c>
      <c r="D1085" s="1" t="n">
        <f aca="false">LN(B1085/B1084)</f>
        <v>-0.000503509689663802</v>
      </c>
      <c r="E1085" s="1" t="n">
        <f aca="false">LN(C1085/C1084)</f>
        <v>3.28817572039364E-005</v>
      </c>
      <c r="F1085" s="1" t="n">
        <f aca="false">B1085/B1084-1</f>
        <v>-0.000503382949932463</v>
      </c>
      <c r="G1085" s="1" t="n">
        <f aca="false">C1085/C1084-1</f>
        <v>3.28822978148402E-005</v>
      </c>
    </row>
    <row r="1086" customFormat="false" ht="15" hidden="false" customHeight="false" outlineLevel="0" collapsed="false">
      <c r="A1086" s="1" t="s">
        <v>1093</v>
      </c>
      <c r="B1086" s="5" t="n">
        <v>37.1598</v>
      </c>
      <c r="C1086" s="5" t="n">
        <v>12.1653</v>
      </c>
      <c r="D1086" s="1" t="n">
        <f aca="false">LN(B1086/B1085)</f>
        <v>0.00616539409528294</v>
      </c>
      <c r="E1086" s="1" t="n">
        <f aca="false">LN(C1086/C1085)</f>
        <v>2.46606083785975E-005</v>
      </c>
      <c r="F1086" s="1" t="n">
        <f aca="false">B1086/B1085-1</f>
        <v>0.00618443925765067</v>
      </c>
      <c r="G1086" s="1" t="n">
        <f aca="false">C1086/C1085-1</f>
        <v>2.46609124538999E-005</v>
      </c>
    </row>
    <row r="1087" customFormat="false" ht="15" hidden="false" customHeight="false" outlineLevel="0" collapsed="false">
      <c r="A1087" s="1" t="s">
        <v>1094</v>
      </c>
      <c r="B1087" s="5" t="n">
        <v>37.1087</v>
      </c>
      <c r="C1087" s="5" t="n">
        <v>12.1657</v>
      </c>
      <c r="D1087" s="1" t="n">
        <f aca="false">LN(B1087/B1086)</f>
        <v>-0.00137608832987495</v>
      </c>
      <c r="E1087" s="1" t="n">
        <f aca="false">LN(C1087/C1086)</f>
        <v>3.28798651954259E-005</v>
      </c>
      <c r="F1087" s="1" t="n">
        <f aca="false">B1087/B1086-1</f>
        <v>-0.00137514195447763</v>
      </c>
      <c r="G1087" s="1" t="n">
        <f aca="false">C1087/C1086-1</f>
        <v>3.28804057441179E-005</v>
      </c>
    </row>
    <row r="1088" customFormat="false" ht="15" hidden="false" customHeight="false" outlineLevel="0" collapsed="false">
      <c r="A1088" s="1" t="s">
        <v>1095</v>
      </c>
      <c r="B1088" s="5" t="n">
        <v>37.3946</v>
      </c>
      <c r="C1088" s="5" t="n">
        <v>12.167</v>
      </c>
      <c r="D1088" s="1" t="n">
        <f aca="false">LN(B1088/B1087)</f>
        <v>0.00767486549927167</v>
      </c>
      <c r="E1088" s="1" t="n">
        <f aca="false">LN(C1088/C1087)</f>
        <v>0.000106852096252066</v>
      </c>
      <c r="F1088" s="1" t="n">
        <f aca="false">B1088/B1087-1</f>
        <v>0.00770439277042834</v>
      </c>
      <c r="G1088" s="1" t="n">
        <f aca="false">C1088/C1087-1</f>
        <v>0.000106857805140637</v>
      </c>
    </row>
    <row r="1089" customFormat="false" ht="15" hidden="false" customHeight="false" outlineLevel="0" collapsed="false">
      <c r="A1089" s="1" t="s">
        <v>1096</v>
      </c>
      <c r="B1089" s="5" t="n">
        <v>37.1638</v>
      </c>
      <c r="C1089" s="5" t="n">
        <v>12.1676</v>
      </c>
      <c r="D1089" s="1" t="n">
        <f aca="false">LN(B1089/B1088)</f>
        <v>-0.00619113975668087</v>
      </c>
      <c r="E1089" s="1" t="n">
        <f aca="false">LN(C1089/C1088)</f>
        <v>4.93125015510515E-005</v>
      </c>
      <c r="F1089" s="1" t="n">
        <f aca="false">B1089/B1088-1</f>
        <v>-0.00617201414107904</v>
      </c>
      <c r="G1089" s="1" t="n">
        <f aca="false">C1089/C1088-1</f>
        <v>4.93137174324421E-005</v>
      </c>
    </row>
    <row r="1090" customFormat="false" ht="15" hidden="false" customHeight="false" outlineLevel="0" collapsed="false">
      <c r="A1090" s="1" t="s">
        <v>1097</v>
      </c>
      <c r="B1090" s="5" t="n">
        <v>37.2321</v>
      </c>
      <c r="C1090" s="5" t="n">
        <v>12.1685</v>
      </c>
      <c r="D1090" s="1" t="n">
        <f aca="false">LN(B1090/B1089)</f>
        <v>0.00183612320540762</v>
      </c>
      <c r="E1090" s="1" t="n">
        <f aca="false">LN(C1090/C1089)</f>
        <v>7.3964193145943E-005</v>
      </c>
      <c r="F1090" s="1" t="n">
        <f aca="false">B1090/B1089-1</f>
        <v>0.00183780991179594</v>
      </c>
      <c r="G1090" s="1" t="n">
        <f aca="false">C1090/C1089-1</f>
        <v>7.39669285643174E-005</v>
      </c>
    </row>
    <row r="1091" customFormat="false" ht="15" hidden="false" customHeight="false" outlineLevel="0" collapsed="false">
      <c r="A1091" s="1" t="s">
        <v>1098</v>
      </c>
      <c r="B1091" s="5" t="n">
        <v>36.8887</v>
      </c>
      <c r="C1091" s="5" t="n">
        <v>12.1685</v>
      </c>
      <c r="D1091" s="1" t="n">
        <f aca="false">LN(B1091/B1090)</f>
        <v>-0.00926602133272177</v>
      </c>
      <c r="E1091" s="1" t="n">
        <f aca="false">LN(C1091/C1090)</f>
        <v>0</v>
      </c>
      <c r="F1091" s="1" t="n">
        <f aca="false">B1091/B1090-1</f>
        <v>-0.00922322404591747</v>
      </c>
      <c r="G1091" s="1" t="n">
        <f aca="false">C1091/C1090-1</f>
        <v>0</v>
      </c>
    </row>
    <row r="1092" customFormat="false" ht="15" hidden="false" customHeight="false" outlineLevel="0" collapsed="false">
      <c r="A1092" s="1" t="s">
        <v>1099</v>
      </c>
      <c r="B1092" s="5" t="n">
        <v>37.0221</v>
      </c>
      <c r="C1092" s="5" t="n">
        <v>12.1689</v>
      </c>
      <c r="D1092" s="1" t="n">
        <f aca="false">LN(B1092/B1091)</f>
        <v>0.00360976054525892</v>
      </c>
      <c r="E1092" s="1" t="n">
        <f aca="false">LN(C1092/C1091)</f>
        <v>3.28712187856585E-005</v>
      </c>
      <c r="F1092" s="1" t="n">
        <f aca="false">B1092/B1091-1</f>
        <v>0.00361628357735566</v>
      </c>
      <c r="G1092" s="1" t="n">
        <f aca="false">C1092/C1091-1</f>
        <v>3.28717590500904E-005</v>
      </c>
    </row>
    <row r="1093" customFormat="false" ht="15" hidden="false" customHeight="false" outlineLevel="0" collapsed="false">
      <c r="A1093" s="1" t="s">
        <v>1100</v>
      </c>
      <c r="B1093" s="5" t="n">
        <v>36.932</v>
      </c>
      <c r="C1093" s="5" t="n">
        <v>12.1701</v>
      </c>
      <c r="D1093" s="1" t="n">
        <f aca="false">LN(B1093/B1092)</f>
        <v>-0.00243664772010918</v>
      </c>
      <c r="E1093" s="1" t="n">
        <f aca="false">LN(C1093/C1092)</f>
        <v>9.86071737516389E-005</v>
      </c>
      <c r="F1093" s="1" t="n">
        <f aca="false">B1093/B1092-1</f>
        <v>-0.00243368150375045</v>
      </c>
      <c r="G1093" s="1" t="n">
        <f aca="false">C1093/C1092-1</f>
        <v>9.86120355987996E-005</v>
      </c>
    </row>
    <row r="1094" customFormat="false" ht="15" hidden="false" customHeight="false" outlineLevel="0" collapsed="false">
      <c r="A1094" s="1" t="s">
        <v>1101</v>
      </c>
      <c r="B1094" s="5" t="n">
        <v>36.6473</v>
      </c>
      <c r="C1094" s="5" t="n">
        <v>12.1704</v>
      </c>
      <c r="D1094" s="1" t="n">
        <f aca="false">LN(B1094/B1093)</f>
        <v>-0.00773862814140947</v>
      </c>
      <c r="E1094" s="1" t="n">
        <f aca="false">LN(C1094/C1093)</f>
        <v>2.46502742356116E-005</v>
      </c>
      <c r="F1094" s="1" t="n">
        <f aca="false">B1094/B1093-1</f>
        <v>-0.00770876204917148</v>
      </c>
      <c r="G1094" s="1" t="n">
        <f aca="false">C1094/C1093-1</f>
        <v>2.46505780561179E-005</v>
      </c>
    </row>
    <row r="1095" customFormat="false" ht="15" hidden="false" customHeight="false" outlineLevel="0" collapsed="false">
      <c r="A1095" s="1" t="s">
        <v>1102</v>
      </c>
      <c r="B1095" s="5" t="n">
        <v>37.1083</v>
      </c>
      <c r="C1095" s="5" t="n">
        <v>12.1706</v>
      </c>
      <c r="D1095" s="1" t="n">
        <f aca="false">LN(B1095/B1094)</f>
        <v>0.0125009084994523</v>
      </c>
      <c r="E1095" s="1" t="n">
        <f aca="false">LN(C1095/C1094)</f>
        <v>1.643317858781E-005</v>
      </c>
      <c r="F1095" s="1" t="n">
        <f aca="false">B1095/B1094-1</f>
        <v>0.0125793714680209</v>
      </c>
      <c r="G1095" s="1" t="n">
        <f aca="false">C1095/C1094-1</f>
        <v>1.64333136132289E-005</v>
      </c>
    </row>
    <row r="1096" customFormat="false" ht="15" hidden="false" customHeight="false" outlineLevel="0" collapsed="false">
      <c r="A1096" s="1" t="s">
        <v>1103</v>
      </c>
      <c r="B1096" s="5" t="n">
        <v>37.0779</v>
      </c>
      <c r="C1096" s="5" t="n">
        <v>12.1711</v>
      </c>
      <c r="D1096" s="1" t="n">
        <f aca="false">LN(B1096/B1095)</f>
        <v>-0.000819559478759788</v>
      </c>
      <c r="E1096" s="1" t="n">
        <f aca="false">LN(C1096/C1095)</f>
        <v>4.10817650426272E-005</v>
      </c>
      <c r="F1096" s="1" t="n">
        <f aca="false">B1096/B1095-1</f>
        <v>-0.000819223731618024</v>
      </c>
      <c r="G1096" s="1" t="n">
        <f aca="false">C1096/C1095-1</f>
        <v>4.10826089098926E-005</v>
      </c>
    </row>
    <row r="1097" customFormat="false" ht="15" hidden="false" customHeight="false" outlineLevel="0" collapsed="false">
      <c r="A1097" s="1" t="s">
        <v>1104</v>
      </c>
      <c r="B1097" s="5" t="n">
        <v>36.8485</v>
      </c>
      <c r="C1097" s="5" t="n">
        <v>12.1717</v>
      </c>
      <c r="D1097" s="1" t="n">
        <f aca="false">LN(B1097/B1096)</f>
        <v>-0.00620619254590643</v>
      </c>
      <c r="E1097" s="1" t="n">
        <f aca="false">LN(C1097/C1096)</f>
        <v>4.92958903758477E-005</v>
      </c>
      <c r="F1097" s="1" t="n">
        <f aca="false">B1097/B1096-1</f>
        <v>-0.00618697391168321</v>
      </c>
      <c r="G1097" s="1" t="n">
        <f aca="false">C1097/C1096-1</f>
        <v>4.92971054382174E-005</v>
      </c>
    </row>
    <row r="1098" customFormat="false" ht="15" hidden="false" customHeight="false" outlineLevel="0" collapsed="false">
      <c r="A1098" s="1" t="s">
        <v>1105</v>
      </c>
      <c r="B1098" s="5" t="n">
        <v>36.8305</v>
      </c>
      <c r="C1098" s="5" t="n">
        <v>12.1731</v>
      </c>
      <c r="D1098" s="1" t="n">
        <f aca="false">LN(B1098/B1097)</f>
        <v>-0.000488605989715019</v>
      </c>
      <c r="E1098" s="1" t="n">
        <f aca="false">LN(C1098/C1097)</f>
        <v>0.000115014294760467</v>
      </c>
      <c r="F1098" s="1" t="n">
        <f aca="false">B1098/B1097-1</f>
        <v>-0.000488486641247343</v>
      </c>
      <c r="G1098" s="1" t="n">
        <f aca="false">C1098/C1097-1</f>
        <v>0.000115020909158048</v>
      </c>
    </row>
    <row r="1099" customFormat="false" ht="15" hidden="false" customHeight="false" outlineLevel="0" collapsed="false">
      <c r="A1099" s="1" t="s">
        <v>1106</v>
      </c>
      <c r="B1099" s="5" t="n">
        <v>36.705</v>
      </c>
      <c r="C1099" s="5" t="n">
        <v>12.1737</v>
      </c>
      <c r="D1099" s="1" t="n">
        <f aca="false">LN(B1099/B1098)</f>
        <v>-0.00341332069129848</v>
      </c>
      <c r="E1099" s="1" t="n">
        <f aca="false">LN(C1099/C1098)</f>
        <v>4.92877914241021E-005</v>
      </c>
      <c r="F1099" s="1" t="n">
        <f aca="false">B1099/B1098-1</f>
        <v>-0.00340750193453798</v>
      </c>
      <c r="G1099" s="1" t="n">
        <f aca="false">C1099/C1098-1</f>
        <v>4.92890060872497E-005</v>
      </c>
    </row>
    <row r="1100" customFormat="false" ht="15" hidden="false" customHeight="false" outlineLevel="0" collapsed="false">
      <c r="A1100" s="1" t="s">
        <v>1107</v>
      </c>
      <c r="B1100" s="5" t="n">
        <v>36.7568</v>
      </c>
      <c r="C1100" s="5" t="n">
        <v>12.1739</v>
      </c>
      <c r="D1100" s="1" t="n">
        <f aca="false">LN(B1100/B1099)</f>
        <v>0.00141025699302475</v>
      </c>
      <c r="E1100" s="1" t="n">
        <f aca="false">LN(C1100/C1099)</f>
        <v>1.64287239812678E-005</v>
      </c>
      <c r="F1100" s="1" t="n">
        <f aca="false">B1100/B1099-1</f>
        <v>0.00141125187304181</v>
      </c>
      <c r="G1100" s="1" t="n">
        <f aca="false">C1100/C1099-1</f>
        <v>1.64288589334927E-005</v>
      </c>
    </row>
    <row r="1101" customFormat="false" ht="15" hidden="false" customHeight="false" outlineLevel="0" collapsed="false">
      <c r="A1101" s="1" t="s">
        <v>1108</v>
      </c>
      <c r="B1101" s="5" t="n">
        <v>36.9965</v>
      </c>
      <c r="C1101" s="5" t="n">
        <v>12.1745</v>
      </c>
      <c r="D1101" s="1" t="n">
        <f aca="false">LN(B1101/B1100)</f>
        <v>0.00650007101950952</v>
      </c>
      <c r="E1101" s="1" t="n">
        <f aca="false">LN(C1101/C1100)</f>
        <v>4.92845525884416E-005</v>
      </c>
      <c r="F1101" s="1" t="n">
        <f aca="false">B1101/B1100-1</f>
        <v>0.00652124232795015</v>
      </c>
      <c r="G1101" s="1" t="n">
        <f aca="false">C1101/C1100-1</f>
        <v>4.92857670919555E-005</v>
      </c>
    </row>
    <row r="1102" customFormat="false" ht="15" hidden="false" customHeight="false" outlineLevel="0" collapsed="false">
      <c r="A1102" s="1" t="s">
        <v>1109</v>
      </c>
      <c r="B1102" s="5" t="n">
        <v>36.7637</v>
      </c>
      <c r="C1102" s="5" t="n">
        <v>12.1755</v>
      </c>
      <c r="D1102" s="1" t="n">
        <f aca="false">LN(B1102/B1101)</f>
        <v>-0.00631236826938512</v>
      </c>
      <c r="E1102" s="1" t="n">
        <f aca="false">LN(C1102/C1101)</f>
        <v>8.21355236601076E-005</v>
      </c>
      <c r="F1102" s="1" t="n">
        <f aca="false">B1102/B1101-1</f>
        <v>-0.00629248712716057</v>
      </c>
      <c r="G1102" s="1" t="n">
        <f aca="false">C1102/C1101-1</f>
        <v>8.2138896874584E-005</v>
      </c>
    </row>
    <row r="1103" customFormat="false" ht="15" hidden="false" customHeight="false" outlineLevel="0" collapsed="false">
      <c r="A1103" s="1" t="s">
        <v>1110</v>
      </c>
      <c r="B1103" s="5" t="n">
        <v>36.7275</v>
      </c>
      <c r="C1103" s="5" t="n">
        <v>12.1758</v>
      </c>
      <c r="D1103" s="1" t="n">
        <f aca="false">LN(B1103/B1102)</f>
        <v>-0.000985152043448709</v>
      </c>
      <c r="E1103" s="1" t="n">
        <f aca="false">LN(C1103/C1102)</f>
        <v>2.46393416382126E-005</v>
      </c>
      <c r="F1103" s="1" t="n">
        <f aca="false">B1103/B1102-1</f>
        <v>-0.000984666940487489</v>
      </c>
      <c r="G1103" s="1" t="n">
        <f aca="false">C1103/C1102-1</f>
        <v>2.46396451892839E-005</v>
      </c>
    </row>
    <row r="1104" customFormat="false" ht="15" hidden="false" customHeight="false" outlineLevel="0" collapsed="false">
      <c r="A1104" s="1" t="s">
        <v>1111</v>
      </c>
      <c r="B1104" s="5" t="n">
        <v>36.6863</v>
      </c>
      <c r="C1104" s="5" t="n">
        <v>12.1763</v>
      </c>
      <c r="D1104" s="1" t="n">
        <f aca="false">LN(B1104/B1103)</f>
        <v>-0.00112240489731584</v>
      </c>
      <c r="E1104" s="1" t="n">
        <f aca="false">LN(C1104/C1103)</f>
        <v>4.10642203399191E-005</v>
      </c>
      <c r="F1104" s="1" t="n">
        <f aca="false">B1104/B1103-1</f>
        <v>-0.00112177523653922</v>
      </c>
      <c r="G1104" s="1" t="n">
        <f aca="false">C1104/C1103-1</f>
        <v>4.10650634865561E-005</v>
      </c>
    </row>
    <row r="1105" customFormat="false" ht="15" hidden="false" customHeight="false" outlineLevel="0" collapsed="false">
      <c r="A1105" s="1" t="s">
        <v>1112</v>
      </c>
      <c r="B1105" s="5" t="n">
        <v>36.7877</v>
      </c>
      <c r="C1105" s="5" t="n">
        <v>12.1767</v>
      </c>
      <c r="D1105" s="1" t="n">
        <f aca="false">LN(B1105/B1104)</f>
        <v>0.00276016180897335</v>
      </c>
      <c r="E1105" s="1" t="n">
        <f aca="false">LN(C1105/C1104)</f>
        <v>3.28501622007927E-005</v>
      </c>
      <c r="F1105" s="1" t="n">
        <f aca="false">B1105/B1104-1</f>
        <v>0.00276397456271127</v>
      </c>
      <c r="G1105" s="1" t="n">
        <f aca="false">C1105/C1104-1</f>
        <v>3.28507017732793E-005</v>
      </c>
    </row>
    <row r="1106" customFormat="false" ht="15" hidden="false" customHeight="false" outlineLevel="0" collapsed="false">
      <c r="A1106" s="1" t="s">
        <v>1113</v>
      </c>
      <c r="B1106" s="5" t="n">
        <v>36.4739</v>
      </c>
      <c r="C1106" s="5" t="n">
        <v>12.1772</v>
      </c>
      <c r="D1106" s="1" t="n">
        <f aca="false">LN(B1106/B1105)</f>
        <v>-0.00856661386222484</v>
      </c>
      <c r="E1106" s="1" t="n">
        <f aca="false">LN(C1106/C1105)</f>
        <v>4.10611852777809E-005</v>
      </c>
      <c r="F1106" s="1" t="n">
        <f aca="false">B1106/B1105-1</f>
        <v>-0.00853002498117583</v>
      </c>
      <c r="G1106" s="1" t="n">
        <f aca="false">C1106/C1105-1</f>
        <v>4.10620282997876E-005</v>
      </c>
    </row>
    <row r="1107" customFormat="false" ht="15" hidden="false" customHeight="false" outlineLevel="0" collapsed="false">
      <c r="A1107" s="1" t="s">
        <v>1114</v>
      </c>
      <c r="B1107" s="5" t="n">
        <v>36.323</v>
      </c>
      <c r="C1107" s="5" t="n">
        <v>12.1786</v>
      </c>
      <c r="D1107" s="1" t="n">
        <f aca="false">LN(B1107/B1106)</f>
        <v>-0.00414578687096194</v>
      </c>
      <c r="E1107" s="1" t="n">
        <f aca="false">LN(C1107/C1106)</f>
        <v>0.000114962349957065</v>
      </c>
      <c r="F1107" s="1" t="n">
        <f aca="false">B1107/B1106-1</f>
        <v>-0.00413720496025927</v>
      </c>
      <c r="G1107" s="1" t="n">
        <f aca="false">C1107/C1106-1</f>
        <v>0.000114968958381256</v>
      </c>
    </row>
    <row r="1108" customFormat="false" ht="15" hidden="false" customHeight="false" outlineLevel="0" collapsed="false">
      <c r="A1108" s="1" t="s">
        <v>1115</v>
      </c>
      <c r="B1108" s="5" t="n">
        <v>36.4663</v>
      </c>
      <c r="C1108" s="5" t="n">
        <v>12.179</v>
      </c>
      <c r="D1108" s="1" t="n">
        <f aca="false">LN(B1108/B1107)</f>
        <v>0.00393739698369794</v>
      </c>
      <c r="E1108" s="1" t="n">
        <f aca="false">LN(C1108/C1107)</f>
        <v>3.28439583568541E-005</v>
      </c>
      <c r="F1108" s="1" t="n">
        <f aca="false">B1108/B1107-1</f>
        <v>0.00394515871486378</v>
      </c>
      <c r="G1108" s="1" t="n">
        <f aca="false">C1108/C1107-1</f>
        <v>3.28444977255593E-005</v>
      </c>
    </row>
    <row r="1109" customFormat="false" ht="15" hidden="false" customHeight="false" outlineLevel="0" collapsed="false">
      <c r="A1109" s="1" t="s">
        <v>1116</v>
      </c>
      <c r="B1109" s="5" t="n">
        <v>36.2609</v>
      </c>
      <c r="C1109" s="5" t="n">
        <v>12.1795</v>
      </c>
      <c r="D1109" s="1" t="n">
        <f aca="false">LN(B1109/B1108)</f>
        <v>-0.00564852066683185</v>
      </c>
      <c r="E1109" s="1" t="n">
        <f aca="false">LN(C1109/C1108)</f>
        <v>4.10534310462642E-005</v>
      </c>
      <c r="F1109" s="1" t="n">
        <f aca="false">B1109/B1108-1</f>
        <v>-0.00563259776835046</v>
      </c>
      <c r="G1109" s="1" t="n">
        <f aca="false">C1109/C1108-1</f>
        <v>4.10542737498965E-005</v>
      </c>
    </row>
    <row r="1110" customFormat="false" ht="15" hidden="false" customHeight="false" outlineLevel="0" collapsed="false">
      <c r="A1110" s="1" t="s">
        <v>1117</v>
      </c>
      <c r="B1110" s="5" t="n">
        <v>35.8953</v>
      </c>
      <c r="C1110" s="5" t="n">
        <v>12.18</v>
      </c>
      <c r="D1110" s="1" t="n">
        <f aca="false">LN(B1110/B1109)</f>
        <v>-0.0101336580542737</v>
      </c>
      <c r="E1110" s="1" t="n">
        <f aca="false">LN(C1110/C1109)</f>
        <v>4.10517457311756E-005</v>
      </c>
      <c r="F1110" s="1" t="n">
        <f aca="false">B1110/B1109-1</f>
        <v>-0.0100824855422783</v>
      </c>
      <c r="G1110" s="1" t="n">
        <f aca="false">C1110/C1109-1</f>
        <v>4.10525883656199E-005</v>
      </c>
    </row>
    <row r="1111" customFormat="false" ht="15" hidden="false" customHeight="false" outlineLevel="0" collapsed="false">
      <c r="A1111" s="1" t="s">
        <v>1118</v>
      </c>
      <c r="B1111" s="5" t="n">
        <v>35.4258</v>
      </c>
      <c r="C1111" s="5" t="n">
        <v>12.1813</v>
      </c>
      <c r="D1111" s="1" t="n">
        <f aca="false">LN(B1111/B1110)</f>
        <v>-0.013165999460089</v>
      </c>
      <c r="E1111" s="1" t="n">
        <f aca="false">LN(C1111/C1110)</f>
        <v>0.000106726652619841</v>
      </c>
      <c r="F1111" s="1" t="n">
        <f aca="false">B1111/B1110-1</f>
        <v>-0.013079706813984</v>
      </c>
      <c r="G1111" s="1" t="n">
        <f aca="false">C1111/C1110-1</f>
        <v>0.000106732348111649</v>
      </c>
    </row>
    <row r="1112" customFormat="false" ht="15" hidden="false" customHeight="false" outlineLevel="0" collapsed="false">
      <c r="A1112" s="1" t="s">
        <v>1119</v>
      </c>
      <c r="B1112" s="5" t="n">
        <v>35.5466</v>
      </c>
      <c r="C1112" s="5" t="n">
        <v>12.182</v>
      </c>
      <c r="D1112" s="1" t="n">
        <f aca="false">LN(B1112/B1111)</f>
        <v>0.00340414348829832</v>
      </c>
      <c r="E1112" s="1" t="n">
        <f aca="false">LN(C1112/C1111)</f>
        <v>5.74634799220964E-005</v>
      </c>
      <c r="F1112" s="1" t="n">
        <f aca="false">B1112/B1111-1</f>
        <v>0.00340994416498708</v>
      </c>
      <c r="G1112" s="1" t="n">
        <f aca="false">C1112/C1111-1</f>
        <v>5.74651309794838E-005</v>
      </c>
    </row>
    <row r="1113" customFormat="false" ht="15" hidden="false" customHeight="false" outlineLevel="0" collapsed="false">
      <c r="A1113" s="1" t="s">
        <v>1120</v>
      </c>
      <c r="B1113" s="5" t="n">
        <v>35.4967</v>
      </c>
      <c r="C1113" s="5" t="n">
        <v>12.1847</v>
      </c>
      <c r="D1113" s="1" t="n">
        <f aca="false">LN(B1113/B1112)</f>
        <v>-0.00140477731766555</v>
      </c>
      <c r="E1113" s="1" t="n">
        <f aca="false">LN(C1113/C1112)</f>
        <v>0.000221613924827652</v>
      </c>
      <c r="F1113" s="1" t="n">
        <f aca="false">B1113/B1112-1</f>
        <v>-0.00140379107987831</v>
      </c>
      <c r="G1113" s="1" t="n">
        <f aca="false">C1113/C1112-1</f>
        <v>0.000221638483007602</v>
      </c>
    </row>
    <row r="1114" customFormat="false" ht="15" hidden="false" customHeight="false" outlineLevel="0" collapsed="false">
      <c r="A1114" s="1" t="s">
        <v>1121</v>
      </c>
      <c r="B1114" s="5" t="n">
        <v>35.4023</v>
      </c>
      <c r="C1114" s="5" t="n">
        <v>12.1865</v>
      </c>
      <c r="D1114" s="1" t="n">
        <f aca="false">LN(B1114/B1113)</f>
        <v>-0.00266294463348378</v>
      </c>
      <c r="E1114" s="1" t="n">
        <f aca="false">LN(C1114/C1113)</f>
        <v>0.000147715336403044</v>
      </c>
      <c r="F1114" s="1" t="n">
        <f aca="false">B1114/B1113-1</f>
        <v>-0.00265940214160754</v>
      </c>
      <c r="G1114" s="1" t="n">
        <f aca="false">C1114/C1113-1</f>
        <v>0.000147726246850555</v>
      </c>
    </row>
    <row r="1115" customFormat="false" ht="15" hidden="false" customHeight="false" outlineLevel="0" collapsed="false">
      <c r="A1115" s="1" t="s">
        <v>1122</v>
      </c>
      <c r="B1115" s="5" t="n">
        <v>35.1095</v>
      </c>
      <c r="C1115" s="5" t="n">
        <v>12.1868</v>
      </c>
      <c r="D1115" s="1" t="n">
        <f aca="false">LN(B1115/B1114)</f>
        <v>-0.00830504065862325</v>
      </c>
      <c r="E1115" s="1" t="n">
        <f aca="false">LN(C1115/C1114)</f>
        <v>2.46171015015491E-005</v>
      </c>
      <c r="F1115" s="1" t="n">
        <f aca="false">B1115/B1114-1</f>
        <v>-0.00827064908212183</v>
      </c>
      <c r="G1115" s="1" t="n">
        <f aca="false">C1115/C1114-1</f>
        <v>2.46174045048786E-005</v>
      </c>
    </row>
    <row r="1116" customFormat="false" ht="15" hidden="false" customHeight="false" outlineLevel="0" collapsed="false">
      <c r="A1116" s="1" t="s">
        <v>1123</v>
      </c>
      <c r="B1116" s="5" t="n">
        <v>34.4165</v>
      </c>
      <c r="C1116" s="5" t="n">
        <v>12.1881</v>
      </c>
      <c r="D1116" s="1" t="n">
        <f aca="false">LN(B1116/B1115)</f>
        <v>-0.0199356485756502</v>
      </c>
      <c r="E1116" s="1" t="n">
        <f aca="false">LN(C1116/C1115)</f>
        <v>0.000106667104376538</v>
      </c>
      <c r="F1116" s="1" t="n">
        <f aca="false">B1116/B1115-1</f>
        <v>-0.0197382474828749</v>
      </c>
      <c r="G1116" s="1" t="n">
        <f aca="false">C1116/C1115-1</f>
        <v>0.000106672793514395</v>
      </c>
    </row>
    <row r="1117" customFormat="false" ht="15" hidden="false" customHeight="false" outlineLevel="0" collapsed="false">
      <c r="A1117" s="1" t="s">
        <v>1124</v>
      </c>
      <c r="B1117" s="5" t="n">
        <v>34.4282</v>
      </c>
      <c r="C1117" s="5" t="n">
        <v>12.1882</v>
      </c>
      <c r="D1117" s="1" t="n">
        <f aca="false">LN(B1117/B1116)</f>
        <v>0.000339895449108922</v>
      </c>
      <c r="E1117" s="1" t="n">
        <f aca="false">LN(C1117/C1116)</f>
        <v>8.20469062163687E-006</v>
      </c>
      <c r="F1117" s="1" t="n">
        <f aca="false">B1117/B1116-1</f>
        <v>0.000339953220112266</v>
      </c>
      <c r="G1117" s="1" t="n">
        <f aca="false">C1117/C1116-1</f>
        <v>8.20472428020302E-006</v>
      </c>
    </row>
    <row r="1118" customFormat="false" ht="15" hidden="false" customHeight="false" outlineLevel="0" collapsed="false">
      <c r="A1118" s="1" t="s">
        <v>1125</v>
      </c>
      <c r="B1118" s="5" t="n">
        <v>34.12</v>
      </c>
      <c r="C1118" s="5" t="n">
        <v>12.1886</v>
      </c>
      <c r="D1118" s="1" t="n">
        <f aca="false">LN(B1118/B1117)</f>
        <v>-0.00899227337192559</v>
      </c>
      <c r="E1118" s="1" t="n">
        <f aca="false">LN(C1118/C1117)</f>
        <v>3.28180893337081E-005</v>
      </c>
      <c r="F1118" s="1" t="n">
        <f aca="false">B1118/B1117-1</f>
        <v>-0.00895196379711982</v>
      </c>
      <c r="G1118" s="1" t="n">
        <f aca="false">C1118/C1117-1</f>
        <v>3.28186278530929E-005</v>
      </c>
    </row>
    <row r="1119" customFormat="false" ht="15" hidden="false" customHeight="false" outlineLevel="0" collapsed="false">
      <c r="A1119" s="1" t="s">
        <v>1126</v>
      </c>
      <c r="B1119" s="5" t="n">
        <v>34.7774</v>
      </c>
      <c r="C1119" s="5" t="n">
        <v>12.1888</v>
      </c>
      <c r="D1119" s="1" t="n">
        <f aca="false">LN(B1119/B1118)</f>
        <v>0.0190840279016485</v>
      </c>
      <c r="E1119" s="1" t="n">
        <f aca="false">LN(C1119/C1118)</f>
        <v>1.64086407906078E-005</v>
      </c>
      <c r="F1119" s="1" t="n">
        <f aca="false">B1119/B1118-1</f>
        <v>0.0192672919109027</v>
      </c>
      <c r="G1119" s="1" t="n">
        <f aca="false">C1119/C1118-1</f>
        <v>1.64087754130904E-005</v>
      </c>
    </row>
    <row r="1120" customFormat="false" ht="15" hidden="false" customHeight="false" outlineLevel="0" collapsed="false">
      <c r="A1120" s="1" t="s">
        <v>1127</v>
      </c>
      <c r="B1120" s="5" t="n">
        <v>34.9126</v>
      </c>
      <c r="C1120" s="5" t="n">
        <v>12.1898</v>
      </c>
      <c r="D1120" s="1" t="n">
        <f aca="false">LN(B1120/B1119)</f>
        <v>0.00388004504568228</v>
      </c>
      <c r="E1120" s="1" t="n">
        <f aca="false">LN(C1120/C1119)</f>
        <v>8.20391655435002E-005</v>
      </c>
      <c r="F1120" s="1" t="n">
        <f aca="false">B1120/B1119-1</f>
        <v>0.00388758216542917</v>
      </c>
      <c r="G1120" s="1" t="n">
        <f aca="false">C1120/C1119-1</f>
        <v>8.20425308478701E-005</v>
      </c>
    </row>
    <row r="1121" customFormat="false" ht="15" hidden="false" customHeight="false" outlineLevel="0" collapsed="false">
      <c r="A1121" s="1" t="s">
        <v>1128</v>
      </c>
      <c r="B1121" s="5" t="n">
        <v>34.6121</v>
      </c>
      <c r="C1121" s="5" t="n">
        <v>12.19</v>
      </c>
      <c r="D1121" s="1" t="n">
        <f aca="false">LN(B1121/B1120)</f>
        <v>-0.00864446365910478</v>
      </c>
      <c r="E1121" s="1" t="n">
        <f aca="false">LN(C1121/C1120)</f>
        <v>1.6407025488574E-005</v>
      </c>
      <c r="F1121" s="1" t="n">
        <f aca="false">B1121/B1120-1</f>
        <v>-0.00860720771297463</v>
      </c>
      <c r="G1121" s="1" t="n">
        <f aca="false">C1121/C1120-1</f>
        <v>1.64071600845528E-005</v>
      </c>
    </row>
    <row r="1122" customFormat="false" ht="15" hidden="false" customHeight="false" outlineLevel="0" collapsed="false">
      <c r="A1122" s="1" t="s">
        <v>1129</v>
      </c>
      <c r="B1122" s="5" t="n">
        <v>34.9397</v>
      </c>
      <c r="C1122" s="5" t="n">
        <v>12.1903</v>
      </c>
      <c r="D1122" s="1" t="n">
        <f aca="false">LN(B1122/B1121)</f>
        <v>0.00942038660966332</v>
      </c>
      <c r="E1122" s="1" t="n">
        <f aca="false">LN(C1122/C1121)</f>
        <v>2.46100335119097E-005</v>
      </c>
      <c r="F1122" s="1" t="n">
        <f aca="false">B1122/B1121-1</f>
        <v>0.00946489811366558</v>
      </c>
      <c r="G1122" s="1" t="n">
        <f aca="false">C1122/C1121-1</f>
        <v>2.46103363412686E-005</v>
      </c>
    </row>
    <row r="1123" customFormat="false" ht="15" hidden="false" customHeight="false" outlineLevel="0" collapsed="false">
      <c r="A1123" s="1" t="s">
        <v>1130</v>
      </c>
      <c r="B1123" s="5" t="n">
        <v>34.8673</v>
      </c>
      <c r="C1123" s="5" t="n">
        <v>12.1907</v>
      </c>
      <c r="D1123" s="1" t="n">
        <f aca="false">LN(B1123/B1122)</f>
        <v>-0.00207429128767968</v>
      </c>
      <c r="E1123" s="1" t="n">
        <f aca="false">LN(C1123/C1122)</f>
        <v>3.28124359160883E-005</v>
      </c>
      <c r="F1123" s="1" t="n">
        <f aca="false">B1123/B1122-1</f>
        <v>-0.00207214143223899</v>
      </c>
      <c r="G1123" s="1" t="n">
        <f aca="false">C1123/C1122-1</f>
        <v>3.28129742499517E-005</v>
      </c>
    </row>
    <row r="1124" customFormat="false" ht="15" hidden="false" customHeight="false" outlineLevel="0" collapsed="false">
      <c r="A1124" s="1" t="s">
        <v>1131</v>
      </c>
      <c r="B1124" s="5" t="n">
        <v>35.2136</v>
      </c>
      <c r="C1124" s="5" t="n">
        <v>12.191</v>
      </c>
      <c r="D1124" s="1" t="n">
        <f aca="false">LN(B1124/B1123)</f>
        <v>0.00988294438751677</v>
      </c>
      <c r="E1124" s="1" t="n">
        <f aca="false">LN(C1124/C1123)</f>
        <v>2.46086204010853E-005</v>
      </c>
      <c r="F1124" s="1" t="n">
        <f aca="false">B1124/B1123-1</f>
        <v>0.00993194196281322</v>
      </c>
      <c r="G1124" s="1" t="n">
        <f aca="false">C1124/C1123-1</f>
        <v>2.46089231956681E-005</v>
      </c>
    </row>
    <row r="1125" customFormat="false" ht="15" hidden="false" customHeight="false" outlineLevel="0" collapsed="false">
      <c r="A1125" s="1" t="s">
        <v>1132</v>
      </c>
      <c r="B1125" s="5" t="n">
        <v>34.6658</v>
      </c>
      <c r="C1125" s="5" t="n">
        <v>12.1921</v>
      </c>
      <c r="D1125" s="1" t="n">
        <f aca="false">LN(B1125/B1124)</f>
        <v>-0.0156787614604471</v>
      </c>
      <c r="E1125" s="1" t="n">
        <f aca="false">LN(C1125/C1124)</f>
        <v>9.0226427381718E-005</v>
      </c>
      <c r="F1125" s="1" t="n">
        <f aca="false">B1125/B1124-1</f>
        <v>-0.015556489538133</v>
      </c>
      <c r="G1125" s="1" t="n">
        <f aca="false">C1125/C1124-1</f>
        <v>9.02304979082391E-005</v>
      </c>
    </row>
    <row r="1126" customFormat="false" ht="15" hidden="false" customHeight="false" outlineLevel="0" collapsed="false">
      <c r="A1126" s="1" t="s">
        <v>1133</v>
      </c>
      <c r="B1126" s="5" t="n">
        <v>34.4649</v>
      </c>
      <c r="C1126" s="5" t="n">
        <v>12.1926</v>
      </c>
      <c r="D1126" s="1" t="n">
        <f aca="false">LN(B1126/B1125)</f>
        <v>-0.00581219532162145</v>
      </c>
      <c r="E1126" s="1" t="n">
        <f aca="false">LN(C1126/C1125)</f>
        <v>4.10093214245613E-005</v>
      </c>
      <c r="F1126" s="1" t="n">
        <f aca="false">B1126/B1125-1</f>
        <v>-0.00579533719112202</v>
      </c>
      <c r="G1126" s="1" t="n">
        <f aca="false">C1126/C1125-1</f>
        <v>4.10101623182779E-005</v>
      </c>
    </row>
    <row r="1127" customFormat="false" ht="15" hidden="false" customHeight="false" outlineLevel="0" collapsed="false">
      <c r="A1127" s="1" t="s">
        <v>1134</v>
      </c>
      <c r="B1127" s="5" t="n">
        <v>34.5302</v>
      </c>
      <c r="C1127" s="5" t="n">
        <v>12.1933</v>
      </c>
      <c r="D1127" s="1" t="n">
        <f aca="false">LN(B1127/B1126)</f>
        <v>0.00189288861086186</v>
      </c>
      <c r="E1127" s="1" t="n">
        <f aca="false">LN(C1127/C1126)</f>
        <v>5.7410224776701E-005</v>
      </c>
      <c r="F1127" s="1" t="n">
        <f aca="false">B1127/B1126-1</f>
        <v>0.00189468125542214</v>
      </c>
      <c r="G1127" s="1" t="n">
        <f aca="false">C1127/C1126-1</f>
        <v>5.74118727751927E-005</v>
      </c>
    </row>
    <row r="1128" customFormat="false" ht="15" hidden="false" customHeight="false" outlineLevel="0" collapsed="false">
      <c r="A1128" s="1" t="s">
        <v>1135</v>
      </c>
      <c r="B1128" s="5" t="n">
        <v>35.0828</v>
      </c>
      <c r="C1128" s="5" t="n">
        <v>12.1938</v>
      </c>
      <c r="D1128" s="1" t="n">
        <f aca="false">LN(B1128/B1127)</f>
        <v>0.0158766784285954</v>
      </c>
      <c r="E1128" s="1" t="n">
        <f aca="false">LN(C1128/C1127)</f>
        <v>4.10052855869762E-005</v>
      </c>
      <c r="F1128" s="1" t="n">
        <f aca="false">B1128/B1127-1</f>
        <v>0.0160033825462929</v>
      </c>
      <c r="G1128" s="1" t="n">
        <f aca="false">C1128/C1127-1</f>
        <v>4.10061263151906E-005</v>
      </c>
    </row>
    <row r="1129" customFormat="false" ht="15" hidden="false" customHeight="false" outlineLevel="0" collapsed="false">
      <c r="A1129" s="1" t="s">
        <v>1136</v>
      </c>
      <c r="B1129" s="5" t="n">
        <v>35.5194</v>
      </c>
      <c r="C1129" s="5" t="n">
        <v>12.1942</v>
      </c>
      <c r="D1129" s="1" t="n">
        <f aca="false">LN(B1129/B1128)</f>
        <v>0.0123680442108142</v>
      </c>
      <c r="E1129" s="1" t="n">
        <f aca="false">LN(C1129/C1128)</f>
        <v>3.2803017880751E-005</v>
      </c>
      <c r="F1129" s="1" t="n">
        <f aca="false">B1129/B1128-1</f>
        <v>0.0124448447672363</v>
      </c>
      <c r="G1129" s="1" t="n">
        <f aca="false">C1129/C1128-1</f>
        <v>3.2803555905625E-005</v>
      </c>
    </row>
    <row r="1130" customFormat="false" ht="15" hidden="false" customHeight="false" outlineLevel="0" collapsed="false">
      <c r="A1130" s="1" t="s">
        <v>1137</v>
      </c>
      <c r="B1130" s="5" t="n">
        <v>35.4717</v>
      </c>
      <c r="C1130" s="5" t="n">
        <v>12.195</v>
      </c>
      <c r="D1130" s="1" t="n">
        <f aca="false">LN(B1130/B1129)</f>
        <v>-0.00134383062604676</v>
      </c>
      <c r="E1130" s="1" t="n">
        <f aca="false">LN(C1130/C1129)</f>
        <v>6.5602807823701E-005</v>
      </c>
      <c r="F1130" s="1" t="n">
        <f aca="false">B1130/B1129-1</f>
        <v>-0.00134292809000147</v>
      </c>
      <c r="G1130" s="1" t="n">
        <f aca="false">C1130/C1129-1</f>
        <v>6.56049597349551E-005</v>
      </c>
    </row>
    <row r="1131" customFormat="false" ht="15" hidden="false" customHeight="false" outlineLevel="0" collapsed="false">
      <c r="A1131" s="1" t="s">
        <v>1138</v>
      </c>
      <c r="B1131" s="5" t="n">
        <v>35.1687</v>
      </c>
      <c r="C1131" s="5" t="n">
        <v>12.1953</v>
      </c>
      <c r="D1131" s="1" t="n">
        <f aca="false">LN(B1131/B1130)</f>
        <v>-0.00857871298164247</v>
      </c>
      <c r="E1131" s="1" t="n">
        <f aca="false">LN(C1131/C1130)</f>
        <v>2.45999434213926E-005</v>
      </c>
      <c r="F1131" s="1" t="n">
        <f aca="false">B1131/B1130-1</f>
        <v>-0.00854202082223288</v>
      </c>
      <c r="G1131" s="1" t="n">
        <f aca="false">C1131/C1130-1</f>
        <v>2.46002460024819E-005</v>
      </c>
    </row>
    <row r="1132" customFormat="false" ht="15" hidden="false" customHeight="false" outlineLevel="0" collapsed="false">
      <c r="A1132" s="1" t="s">
        <v>1139</v>
      </c>
      <c r="B1132" s="5" t="n">
        <v>35.6417</v>
      </c>
      <c r="C1132" s="5" t="n">
        <v>12.1957</v>
      </c>
      <c r="D1132" s="1" t="n">
        <f aca="false">LN(B1132/B1131)</f>
        <v>0.0133598181976846</v>
      </c>
      <c r="E1132" s="1" t="n">
        <f aca="false">LN(C1132/C1131)</f>
        <v>3.27989832345823E-005</v>
      </c>
      <c r="F1132" s="1" t="n">
        <f aca="false">B1132/B1131-1</f>
        <v>0.0134494593203616</v>
      </c>
      <c r="G1132" s="1" t="n">
        <f aca="false">C1132/C1131-1</f>
        <v>3.27995211271137E-005</v>
      </c>
    </row>
    <row r="1133" customFormat="false" ht="15" hidden="false" customHeight="false" outlineLevel="0" collapsed="false">
      <c r="A1133" s="1" t="s">
        <v>1140</v>
      </c>
      <c r="B1133" s="5" t="n">
        <v>35.9376</v>
      </c>
      <c r="C1133" s="5" t="n">
        <v>12.1959</v>
      </c>
      <c r="D1133" s="1" t="n">
        <f aca="false">LN(B1133/B1132)</f>
        <v>0.00826780048299037</v>
      </c>
      <c r="E1133" s="1" t="n">
        <f aca="false">LN(C1133/C1132)</f>
        <v>1.63990882109286E-005</v>
      </c>
      <c r="F1133" s="1" t="n">
        <f aca="false">B1133/B1132-1</f>
        <v>0.00830207313343645</v>
      </c>
      <c r="G1133" s="1" t="n">
        <f aca="false">C1133/C1132-1</f>
        <v>1.63992226767107E-005</v>
      </c>
    </row>
    <row r="1134" customFormat="false" ht="15" hidden="false" customHeight="false" outlineLevel="0" collapsed="false">
      <c r="A1134" s="1" t="s">
        <v>1141</v>
      </c>
      <c r="B1134" s="5" t="n">
        <v>35.9516</v>
      </c>
      <c r="C1134" s="5" t="n">
        <v>12.1962</v>
      </c>
      <c r="D1134" s="1" t="n">
        <f aca="false">LN(B1134/B1133)</f>
        <v>0.000389488272980656</v>
      </c>
      <c r="E1134" s="1" t="n">
        <f aca="false">LN(C1134/C1133)</f>
        <v>2.45981280835377E-005</v>
      </c>
      <c r="F1134" s="1" t="n">
        <f aca="false">B1134/B1133-1</f>
        <v>0.000389564133386644</v>
      </c>
      <c r="G1134" s="1" t="n">
        <f aca="false">C1134/C1133-1</f>
        <v>2.45984306199709E-005</v>
      </c>
    </row>
    <row r="1135" customFormat="false" ht="15" hidden="false" customHeight="false" outlineLevel="0" collapsed="false">
      <c r="A1135" s="1" t="s">
        <v>1142</v>
      </c>
      <c r="B1135" s="5" t="n">
        <v>35.9949</v>
      </c>
      <c r="C1135" s="5" t="n">
        <v>12.1971</v>
      </c>
      <c r="D1135" s="1" t="n">
        <f aca="false">LN(B1135/B1134)</f>
        <v>0.00120367231839915</v>
      </c>
      <c r="E1135" s="1" t="n">
        <f aca="false">LN(C1135/C1134)</f>
        <v>7.37907540521547E-005</v>
      </c>
      <c r="F1135" s="1" t="n">
        <f aca="false">B1135/B1134-1</f>
        <v>0.00120439702266384</v>
      </c>
      <c r="G1135" s="1" t="n">
        <f aca="false">C1135/C1134-1</f>
        <v>7.37934766568138E-005</v>
      </c>
    </row>
    <row r="1136" customFormat="false" ht="15" hidden="false" customHeight="false" outlineLevel="0" collapsed="false">
      <c r="A1136" s="1" t="s">
        <v>1143</v>
      </c>
      <c r="B1136" s="5" t="n">
        <v>35.9012</v>
      </c>
      <c r="C1136" s="5" t="n">
        <v>12.1974</v>
      </c>
      <c r="D1136" s="1" t="n">
        <f aca="false">LN(B1136/B1135)</f>
        <v>-0.00260654063433851</v>
      </c>
      <c r="E1136" s="1" t="n">
        <f aca="false">LN(C1136/C1135)</f>
        <v>2.45957080500489E-005</v>
      </c>
      <c r="F1136" s="1" t="n">
        <f aca="false">B1136/B1135-1</f>
        <v>-0.00260314655687333</v>
      </c>
      <c r="G1136" s="1" t="n">
        <f aca="false">C1136/C1135-1</f>
        <v>2.4596010526956E-005</v>
      </c>
    </row>
    <row r="1137" customFormat="false" ht="15" hidden="false" customHeight="false" outlineLevel="0" collapsed="false">
      <c r="A1137" s="1" t="s">
        <v>1144</v>
      </c>
      <c r="B1137" s="5" t="n">
        <v>36.1809</v>
      </c>
      <c r="C1137" s="5" t="n">
        <v>12.1978</v>
      </c>
      <c r="D1137" s="1" t="n">
        <f aca="false">LN(B1137/B1136)</f>
        <v>0.0077606341602117</v>
      </c>
      <c r="E1137" s="1" t="n">
        <f aca="false">LN(C1137/C1136)</f>
        <v>3.27933363971527E-005</v>
      </c>
      <c r="F1137" s="1" t="n">
        <f aca="false">B1137/B1136-1</f>
        <v>0.00779082593339497</v>
      </c>
      <c r="G1137" s="1" t="n">
        <f aca="false">C1137/C1136-1</f>
        <v>3.27938741044864E-005</v>
      </c>
    </row>
    <row r="1138" customFormat="false" ht="15" hidden="false" customHeight="false" outlineLevel="0" collapsed="false">
      <c r="A1138" s="1" t="s">
        <v>1145</v>
      </c>
      <c r="B1138" s="5" t="n">
        <v>35.8203</v>
      </c>
      <c r="C1138" s="5" t="n">
        <v>12.1983</v>
      </c>
      <c r="D1138" s="1" t="n">
        <f aca="false">LN(B1138/B1137)</f>
        <v>-0.0100165834727723</v>
      </c>
      <c r="E1138" s="1" t="n">
        <f aca="false">LN(C1138/C1137)</f>
        <v>4.0990158268717E-005</v>
      </c>
      <c r="F1138" s="1" t="n">
        <f aca="false">B1138/B1137-1</f>
        <v>-0.00996658457915634</v>
      </c>
      <c r="G1138" s="1" t="n">
        <f aca="false">C1138/C1137-1</f>
        <v>4.09909983767331E-005</v>
      </c>
    </row>
    <row r="1139" customFormat="false" ht="15" hidden="false" customHeight="false" outlineLevel="0" collapsed="false">
      <c r="A1139" s="1" t="s">
        <v>1146</v>
      </c>
      <c r="B1139" s="5" t="n">
        <v>35.8134</v>
      </c>
      <c r="C1139" s="5" t="n">
        <v>12.1987</v>
      </c>
      <c r="D1139" s="1" t="n">
        <f aca="false">LN(B1139/B1138)</f>
        <v>-0.000192646757638986</v>
      </c>
      <c r="E1139" s="1" t="n">
        <f aca="false">LN(C1139/C1138)</f>
        <v>3.27909169190505E-005</v>
      </c>
      <c r="F1139" s="1" t="n">
        <f aca="false">B1139/B1138-1</f>
        <v>-0.000192628202443923</v>
      </c>
      <c r="G1139" s="1" t="n">
        <f aca="false">C1139/C1138-1</f>
        <v>3.27914545470431E-005</v>
      </c>
    </row>
    <row r="1140" customFormat="false" ht="15" hidden="false" customHeight="false" outlineLevel="0" collapsed="false">
      <c r="A1140" s="1" t="s">
        <v>1147</v>
      </c>
      <c r="B1140" s="5" t="n">
        <v>35.8868</v>
      </c>
      <c r="C1140" s="5" t="n">
        <v>12.1996</v>
      </c>
      <c r="D1140" s="1" t="n">
        <f aca="false">LN(B1140/B1139)</f>
        <v>0.00204741480889862</v>
      </c>
      <c r="E1140" s="1" t="n">
        <f aca="false">LN(C1140/C1139)</f>
        <v>7.37756319421707E-005</v>
      </c>
      <c r="F1140" s="1" t="n">
        <f aca="false">B1140/B1139-1</f>
        <v>0.00204951219375982</v>
      </c>
      <c r="G1140" s="1" t="n">
        <f aca="false">C1140/C1139-1</f>
        <v>7.3778353431031E-005</v>
      </c>
    </row>
    <row r="1141" customFormat="false" ht="15" hidden="false" customHeight="false" outlineLevel="0" collapsed="false">
      <c r="A1141" s="1" t="s">
        <v>1148</v>
      </c>
      <c r="B1141" s="5" t="n">
        <v>35.9454</v>
      </c>
      <c r="C1141" s="5" t="n">
        <v>12.1999</v>
      </c>
      <c r="D1141" s="1" t="n">
        <f aca="false">LN(B1141/B1140)</f>
        <v>0.00163158062817789</v>
      </c>
      <c r="E1141" s="1" t="n">
        <f aca="false">LN(C1141/C1140)</f>
        <v>2.45906678427417E-005</v>
      </c>
      <c r="F1141" s="1" t="n">
        <f aca="false">B1141/B1140-1</f>
        <v>0.00163291238003938</v>
      </c>
      <c r="G1141" s="1" t="n">
        <f aca="false">C1141/C1140-1</f>
        <v>2.45909701956926E-005</v>
      </c>
    </row>
    <row r="1142" customFormat="false" ht="15" hidden="false" customHeight="false" outlineLevel="0" collapsed="false">
      <c r="A1142" s="1" t="s">
        <v>1149</v>
      </c>
      <c r="B1142" s="5" t="n">
        <v>35.7089</v>
      </c>
      <c r="C1142" s="5" t="n">
        <v>12.2004</v>
      </c>
      <c r="D1142" s="1" t="n">
        <f aca="false">LN(B1142/B1141)</f>
        <v>-0.00660116305084185</v>
      </c>
      <c r="E1142" s="1" t="n">
        <f aca="false">LN(C1142/C1141)</f>
        <v>4.09831026724766E-005</v>
      </c>
      <c r="F1142" s="1" t="n">
        <f aca="false">B1142/B1141-1</f>
        <v>-0.00657942323635286</v>
      </c>
      <c r="G1142" s="1" t="n">
        <f aca="false">C1142/C1141-1</f>
        <v>4.09839424913017E-005</v>
      </c>
    </row>
    <row r="1143" customFormat="false" ht="15" hidden="false" customHeight="false" outlineLevel="0" collapsed="false">
      <c r="A1143" s="1" t="s">
        <v>1150</v>
      </c>
      <c r="B1143" s="5" t="n">
        <v>35.3776</v>
      </c>
      <c r="C1143" s="5" t="n">
        <v>12.2008</v>
      </c>
      <c r="D1143" s="1" t="n">
        <f aca="false">LN(B1143/B1142)</f>
        <v>-0.0093211059397154</v>
      </c>
      <c r="E1143" s="1" t="n">
        <f aca="false">LN(C1143/C1142)</f>
        <v>3.27852728583741E-005</v>
      </c>
      <c r="F1143" s="1" t="n">
        <f aca="false">B1143/B1142-1</f>
        <v>-0.00927779909210302</v>
      </c>
      <c r="G1143" s="1" t="n">
        <f aca="false">C1143/C1142-1</f>
        <v>3.27858103013057E-005</v>
      </c>
    </row>
    <row r="1144" customFormat="false" ht="15" hidden="false" customHeight="false" outlineLevel="0" collapsed="false">
      <c r="A1144" s="1" t="s">
        <v>1151</v>
      </c>
      <c r="B1144" s="5" t="n">
        <v>35.3335</v>
      </c>
      <c r="C1144" s="5" t="n">
        <v>12.2012</v>
      </c>
      <c r="D1144" s="1" t="n">
        <f aca="false">LN(B1144/B1143)</f>
        <v>-0.00124732908178981</v>
      </c>
      <c r="E1144" s="1" t="n">
        <f aca="false">LN(C1144/C1143)</f>
        <v>3.27841980196454E-005</v>
      </c>
      <c r="F1144" s="1" t="n">
        <f aca="false">B1144/B1143-1</f>
        <v>-0.00124655149020847</v>
      </c>
      <c r="G1144" s="1" t="n">
        <f aca="false">C1144/C1143-1</f>
        <v>3.27847354273381E-005</v>
      </c>
    </row>
    <row r="1145" customFormat="false" ht="15" hidden="false" customHeight="false" outlineLevel="0" collapsed="false">
      <c r="A1145" s="1" t="s">
        <v>1152</v>
      </c>
      <c r="B1145" s="5" t="n">
        <v>34.9957</v>
      </c>
      <c r="C1145" s="5" t="n">
        <v>12.2024</v>
      </c>
      <c r="D1145" s="1" t="n">
        <f aca="false">LN(B1145/B1144)</f>
        <v>-0.00960632561496505</v>
      </c>
      <c r="E1145" s="1" t="n">
        <f aca="false">LN(C1145/C1144)</f>
        <v>9.83461457298824E-005</v>
      </c>
      <c r="F1145" s="1" t="n">
        <f aca="false">B1145/B1144-1</f>
        <v>-0.00956033226258368</v>
      </c>
      <c r="G1145" s="1" t="n">
        <f aca="false">C1145/C1144-1</f>
        <v>9.83509818706096E-005</v>
      </c>
    </row>
    <row r="1146" customFormat="false" ht="15" hidden="false" customHeight="false" outlineLevel="0" collapsed="false">
      <c r="A1146" s="1" t="s">
        <v>1153</v>
      </c>
      <c r="B1146" s="5" t="n">
        <v>35.1858</v>
      </c>
      <c r="C1146" s="5" t="n">
        <v>12.2026</v>
      </c>
      <c r="D1146" s="1" t="n">
        <f aca="false">LN(B1146/B1145)</f>
        <v>0.00541739532280539</v>
      </c>
      <c r="E1146" s="1" t="n">
        <f aca="false">LN(C1146/C1145)</f>
        <v>1.63900839995139E-005</v>
      </c>
      <c r="F1146" s="1" t="n">
        <f aca="false">B1146/B1145-1</f>
        <v>0.00543209594321592</v>
      </c>
      <c r="G1146" s="1" t="n">
        <f aca="false">C1146/C1145-1</f>
        <v>1.63902183176745E-005</v>
      </c>
    </row>
    <row r="1147" customFormat="false" ht="15" hidden="false" customHeight="false" outlineLevel="0" collapsed="false">
      <c r="A1147" s="1" t="s">
        <v>1154</v>
      </c>
      <c r="B1147" s="5" t="n">
        <v>35.0865</v>
      </c>
      <c r="C1147" s="5" t="n">
        <v>12.2028</v>
      </c>
      <c r="D1147" s="1" t="n">
        <f aca="false">LN(B1147/B1146)</f>
        <v>-0.0028261510180679</v>
      </c>
      <c r="E1147" s="1" t="n">
        <f aca="false">LN(C1147/C1146)</f>
        <v>1.63898153690247E-005</v>
      </c>
      <c r="F1147" s="1" t="n">
        <f aca="false">B1147/B1146-1</f>
        <v>-0.00282216121276191</v>
      </c>
      <c r="G1147" s="1" t="n">
        <f aca="false">C1147/C1146-1</f>
        <v>1.63899496827824E-005</v>
      </c>
    </row>
    <row r="1148" customFormat="false" ht="15" hidden="false" customHeight="false" outlineLevel="0" collapsed="false">
      <c r="A1148" s="1" t="s">
        <v>1155</v>
      </c>
      <c r="B1148" s="5" t="n">
        <v>35.3118</v>
      </c>
      <c r="C1148" s="5" t="n">
        <v>12.2031</v>
      </c>
      <c r="D1148" s="1" t="n">
        <f aca="false">LN(B1148/B1147)</f>
        <v>0.00640074459759461</v>
      </c>
      <c r="E1148" s="1" t="n">
        <f aca="false">LN(C1148/C1147)</f>
        <v>2.45842193907602E-005</v>
      </c>
      <c r="F1148" s="1" t="n">
        <f aca="false">B1148/B1147-1</f>
        <v>0.00642127313924146</v>
      </c>
      <c r="G1148" s="1" t="n">
        <f aca="false">C1148/C1147-1</f>
        <v>2.45845215851581E-005</v>
      </c>
    </row>
    <row r="1149" customFormat="false" ht="15" hidden="false" customHeight="false" outlineLevel="0" collapsed="false">
      <c r="A1149" s="1" t="s">
        <v>1156</v>
      </c>
      <c r="B1149" s="5" t="n">
        <v>35.5129</v>
      </c>
      <c r="C1149" s="5" t="n">
        <v>12.2034</v>
      </c>
      <c r="D1149" s="1" t="n">
        <f aca="false">LN(B1149/B1148)</f>
        <v>0.00567882505510386</v>
      </c>
      <c r="E1149" s="1" t="n">
        <f aca="false">LN(C1149/C1148)</f>
        <v>2.45836150219639E-005</v>
      </c>
      <c r="F1149" s="1" t="n">
        <f aca="false">B1149/B1148-1</f>
        <v>0.00569498014827907</v>
      </c>
      <c r="G1149" s="1" t="n">
        <f aca="false">C1149/C1148-1</f>
        <v>2.45839172015039E-005</v>
      </c>
    </row>
    <row r="1150" customFormat="false" ht="15" hidden="false" customHeight="false" outlineLevel="0" collapsed="false">
      <c r="A1150" s="1" t="s">
        <v>1157</v>
      </c>
      <c r="B1150" s="5" t="n">
        <v>35.3662</v>
      </c>
      <c r="C1150" s="5" t="n">
        <v>12.2042</v>
      </c>
      <c r="D1150" s="1" t="n">
        <f aca="false">LN(B1150/B1149)</f>
        <v>-0.00413944899062724</v>
      </c>
      <c r="E1150" s="1" t="n">
        <f aca="false">LN(C1150/C1149)</f>
        <v>6.55533522579601E-005</v>
      </c>
      <c r="F1150" s="1" t="n">
        <f aca="false">B1150/B1149-1</f>
        <v>-0.00413089328103322</v>
      </c>
      <c r="G1150" s="1" t="n">
        <f aca="false">C1150/C1149-1</f>
        <v>6.55555009259068E-005</v>
      </c>
    </row>
    <row r="1151" customFormat="false" ht="15" hidden="false" customHeight="false" outlineLevel="0" collapsed="false">
      <c r="A1151" s="1" t="s">
        <v>1158</v>
      </c>
      <c r="B1151" s="5" t="n">
        <v>35.0354</v>
      </c>
      <c r="C1151" s="5" t="n">
        <v>12.2043</v>
      </c>
      <c r="D1151" s="1" t="n">
        <f aca="false">LN(B1151/B1150)</f>
        <v>-0.00939758285421202</v>
      </c>
      <c r="E1151" s="1" t="n">
        <f aca="false">LN(C1151/C1150)</f>
        <v>8.19386689076566E-006</v>
      </c>
      <c r="F1151" s="1" t="n">
        <f aca="false">B1151/B1150-1</f>
        <v>-0.00935356357199801</v>
      </c>
      <c r="G1151" s="1" t="n">
        <f aca="false">C1151/C1150-1</f>
        <v>8.19390046058466E-006</v>
      </c>
    </row>
    <row r="1152" customFormat="false" ht="15" hidden="false" customHeight="false" outlineLevel="0" collapsed="false">
      <c r="A1152" s="1" t="s">
        <v>1159</v>
      </c>
      <c r="B1152" s="5" t="n">
        <v>34.7811</v>
      </c>
      <c r="C1152" s="5" t="n">
        <v>12.2046</v>
      </c>
      <c r="D1152" s="1" t="n">
        <f aca="false">LN(B1152/B1151)</f>
        <v>-0.00728484311354127</v>
      </c>
      <c r="E1152" s="1" t="n">
        <f aca="false">LN(C1152/C1151)</f>
        <v>2.45811978429753E-005</v>
      </c>
      <c r="F1152" s="1" t="n">
        <f aca="false">B1152/B1151-1</f>
        <v>-0.0072583729599206</v>
      </c>
      <c r="G1152" s="1" t="n">
        <f aca="false">C1152/C1151-1</f>
        <v>2.45814999630944E-005</v>
      </c>
    </row>
    <row r="1153" customFormat="false" ht="15" hidden="false" customHeight="false" outlineLevel="0" collapsed="false">
      <c r="A1153" s="1" t="s">
        <v>1160</v>
      </c>
      <c r="B1153" s="5" t="n">
        <v>34.7339</v>
      </c>
      <c r="C1153" s="5" t="n">
        <v>12.2048</v>
      </c>
      <c r="D1153" s="1" t="n">
        <f aca="false">LN(B1153/B1152)</f>
        <v>-0.00135798050071233</v>
      </c>
      <c r="E1153" s="1" t="n">
        <f aca="false">LN(C1153/C1152)</f>
        <v>1.63871295488438E-005</v>
      </c>
      <c r="F1153" s="1" t="n">
        <f aca="false">B1153/B1152-1</f>
        <v>-0.00135705886242832</v>
      </c>
      <c r="G1153" s="1" t="n">
        <f aca="false">C1153/C1152-1</f>
        <v>1.63872638185847E-005</v>
      </c>
    </row>
    <row r="1154" customFormat="false" ht="15" hidden="false" customHeight="false" outlineLevel="0" collapsed="false">
      <c r="A1154" s="1" t="s">
        <v>1161</v>
      </c>
      <c r="B1154" s="5" t="n">
        <v>34.6389</v>
      </c>
      <c r="C1154" s="5" t="n">
        <v>12.205</v>
      </c>
      <c r="D1154" s="1" t="n">
        <f aca="false">LN(B1154/B1153)</f>
        <v>-0.0027388273036202</v>
      </c>
      <c r="E1154" s="1" t="n">
        <f aca="false">LN(C1154/C1153)</f>
        <v>1.63868610151637E-005</v>
      </c>
      <c r="F1154" s="1" t="n">
        <f aca="false">B1154/B1153-1</f>
        <v>-0.00273508013784796</v>
      </c>
      <c r="G1154" s="1" t="n">
        <f aca="false">C1154/C1153-1</f>
        <v>1.6386995280504E-005</v>
      </c>
    </row>
    <row r="1155" customFormat="false" ht="15" hidden="false" customHeight="false" outlineLevel="0" collapsed="false">
      <c r="A1155" s="1" t="s">
        <v>1162</v>
      </c>
      <c r="B1155" s="5" t="n">
        <v>34.8397</v>
      </c>
      <c r="C1155" s="5" t="n">
        <v>12.2062</v>
      </c>
      <c r="D1155" s="1" t="n">
        <f aca="false">LN(B1155/B1154)</f>
        <v>0.00578021316131342</v>
      </c>
      <c r="E1155" s="1" t="n">
        <f aca="false">LN(C1155/C1154)</f>
        <v>9.83155273782018E-005</v>
      </c>
      <c r="F1155" s="1" t="n">
        <f aca="false">B1155/B1154-1</f>
        <v>0.00579695082696041</v>
      </c>
      <c r="G1155" s="1" t="n">
        <f aca="false">C1155/C1154-1</f>
        <v>9.83203605080529E-005</v>
      </c>
    </row>
    <row r="1156" customFormat="false" ht="15" hidden="false" customHeight="false" outlineLevel="0" collapsed="false">
      <c r="A1156" s="1" t="s">
        <v>1163</v>
      </c>
      <c r="B1156" s="5" t="n">
        <v>34.7743</v>
      </c>
      <c r="C1156" s="5" t="n">
        <v>12.2066</v>
      </c>
      <c r="D1156" s="1" t="n">
        <f aca="false">LN(B1156/B1155)</f>
        <v>-0.00187893295143573</v>
      </c>
      <c r="E1156" s="1" t="n">
        <f aca="false">LN(C1156/C1155)</f>
        <v>3.27696945893992E-005</v>
      </c>
      <c r="F1156" s="1" t="n">
        <f aca="false">B1156/B1155-1</f>
        <v>-0.00187716886195932</v>
      </c>
      <c r="G1156" s="1" t="n">
        <f aca="false">C1156/C1155-1</f>
        <v>3.2770231521706E-005</v>
      </c>
    </row>
    <row r="1157" customFormat="false" ht="15" hidden="false" customHeight="false" outlineLevel="0" collapsed="false">
      <c r="A1157" s="1" t="s">
        <v>1164</v>
      </c>
      <c r="B1157" s="5" t="n">
        <v>34.9222</v>
      </c>
      <c r="C1157" s="5" t="n">
        <v>12.2069</v>
      </c>
      <c r="D1157" s="1" t="n">
        <f aca="false">LN(B1157/B1156)</f>
        <v>0.0042441219287875</v>
      </c>
      <c r="E1157" s="1" t="n">
        <f aca="false">LN(C1157/C1156)</f>
        <v>2.45765662453573E-005</v>
      </c>
      <c r="F1157" s="1" t="n">
        <f aca="false">B1157/B1156-1</f>
        <v>0.00425314096904894</v>
      </c>
      <c r="G1157" s="1" t="n">
        <f aca="false">C1157/C1156-1</f>
        <v>2.45768682516356E-005</v>
      </c>
    </row>
    <row r="1158" customFormat="false" ht="15" hidden="false" customHeight="false" outlineLevel="0" collapsed="false">
      <c r="A1158" s="1" t="s">
        <v>1165</v>
      </c>
      <c r="B1158" s="5" t="n">
        <v>34.7064</v>
      </c>
      <c r="C1158" s="5" t="n">
        <v>12.2071</v>
      </c>
      <c r="D1158" s="1" t="n">
        <f aca="false">LN(B1158/B1157)</f>
        <v>-0.00619862214583281</v>
      </c>
      <c r="E1158" s="1" t="n">
        <f aca="false">LN(C1158/C1157)</f>
        <v>1.63840419435277E-005</v>
      </c>
      <c r="F1158" s="1" t="n">
        <f aca="false">B1158/B1157-1</f>
        <v>-0.00617945032099909</v>
      </c>
      <c r="G1158" s="1" t="n">
        <f aca="false">C1158/C1157-1</f>
        <v>1.6384176162676E-005</v>
      </c>
    </row>
    <row r="1159" customFormat="false" ht="15" hidden="false" customHeight="false" outlineLevel="0" collapsed="false">
      <c r="A1159" s="1" t="s">
        <v>1166</v>
      </c>
      <c r="B1159" s="5" t="n">
        <v>35.2327</v>
      </c>
      <c r="C1159" s="5" t="n">
        <v>12.2074</v>
      </c>
      <c r="D1159" s="1" t="n">
        <f aca="false">LN(B1159/B1158)</f>
        <v>0.0150505206578863</v>
      </c>
      <c r="E1159" s="1" t="n">
        <f aca="false">LN(C1159/C1158)</f>
        <v>2.45755596071216E-005</v>
      </c>
      <c r="F1159" s="1" t="n">
        <f aca="false">B1159/B1158-1</f>
        <v>0.0151643500910494</v>
      </c>
      <c r="G1159" s="1" t="n">
        <f aca="false">C1159/C1158-1</f>
        <v>2.45758615886604E-005</v>
      </c>
    </row>
    <row r="1160" customFormat="false" ht="15" hidden="false" customHeight="false" outlineLevel="0" collapsed="false">
      <c r="A1160" s="1" t="s">
        <v>1167</v>
      </c>
      <c r="B1160" s="5" t="n">
        <v>35.2807</v>
      </c>
      <c r="C1160" s="5" t="n">
        <v>12.2087</v>
      </c>
      <c r="D1160" s="1" t="n">
        <f aca="false">LN(B1160/B1159)</f>
        <v>0.00136144356715505</v>
      </c>
      <c r="E1160" s="1" t="n">
        <f aca="false">LN(C1160/C1159)</f>
        <v>0.000106487113112183</v>
      </c>
      <c r="F1160" s="1" t="n">
        <f aca="false">B1160/B1159-1</f>
        <v>0.00136237075217061</v>
      </c>
      <c r="G1160" s="1" t="n">
        <f aca="false">C1160/C1159-1</f>
        <v>0.00010649278306607</v>
      </c>
    </row>
    <row r="1161" customFormat="false" ht="15" hidden="false" customHeight="false" outlineLevel="0" collapsed="false">
      <c r="A1161" s="1" t="s">
        <v>1168</v>
      </c>
      <c r="B1161" s="5" t="n">
        <v>35.472</v>
      </c>
      <c r="C1161" s="5" t="n">
        <v>12.2085</v>
      </c>
      <c r="D1161" s="1" t="n">
        <f aca="false">LN(B1161/B1160)</f>
        <v>0.00540758066235917</v>
      </c>
      <c r="E1161" s="1" t="n">
        <f aca="false">LN(C1161/C1160)</f>
        <v>-1.63818947302504E-005</v>
      </c>
      <c r="F1161" s="1" t="n">
        <f aca="false">B1161/B1160-1</f>
        <v>0.00542222801701775</v>
      </c>
      <c r="G1161" s="1" t="n">
        <f aca="false">C1161/C1160-1</f>
        <v>-1.63817605477457E-005</v>
      </c>
    </row>
    <row r="1162" customFormat="false" ht="15" hidden="false" customHeight="false" outlineLevel="0" collapsed="false">
      <c r="A1162" s="1" t="s">
        <v>1169</v>
      </c>
      <c r="B1162" s="5" t="n">
        <v>35.4491</v>
      </c>
      <c r="C1162" s="5" t="n">
        <v>12.2088</v>
      </c>
      <c r="D1162" s="1" t="n">
        <f aca="false">LN(B1162/B1161)</f>
        <v>-0.000645788088336387</v>
      </c>
      <c r="E1162" s="1" t="n">
        <f aca="false">LN(C1162/C1161)</f>
        <v>2.45727414591609E-005</v>
      </c>
      <c r="F1162" s="1" t="n">
        <f aca="false">B1162/B1161-1</f>
        <v>-0.000645579612088443</v>
      </c>
      <c r="G1162" s="1" t="n">
        <f aca="false">C1162/C1161-1</f>
        <v>2.45730433714453E-005</v>
      </c>
    </row>
    <row r="1163" customFormat="false" ht="15" hidden="false" customHeight="false" outlineLevel="0" collapsed="false">
      <c r="A1163" s="1" t="s">
        <v>1170</v>
      </c>
      <c r="B1163" s="5" t="n">
        <v>35.4038</v>
      </c>
      <c r="C1163" s="5" t="n">
        <v>12.2095</v>
      </c>
      <c r="D1163" s="1" t="n">
        <f aca="false">LN(B1163/B1162)</f>
        <v>-0.0012787057741451</v>
      </c>
      <c r="E1163" s="1" t="n">
        <f aca="false">LN(C1163/C1162)</f>
        <v>5.73340486595172E-005</v>
      </c>
      <c r="F1163" s="1" t="n">
        <f aca="false">B1163/B1162-1</f>
        <v>-0.00127788857827149</v>
      </c>
      <c r="G1163" s="1" t="n">
        <f aca="false">C1163/C1162-1</f>
        <v>5.73356922874968E-005</v>
      </c>
    </row>
    <row r="1164" customFormat="false" ht="15" hidden="false" customHeight="false" outlineLevel="0" collapsed="false">
      <c r="A1164" s="1" t="s">
        <v>1171</v>
      </c>
      <c r="B1164" s="5" t="n">
        <v>35.1479</v>
      </c>
      <c r="C1164" s="5" t="n">
        <v>12.21</v>
      </c>
      <c r="D1164" s="1" t="n">
        <f aca="false">LN(B1164/B1163)</f>
        <v>-0.00725428649402228</v>
      </c>
      <c r="E1164" s="1" t="n">
        <f aca="false">LN(C1164/C1163)</f>
        <v>4.09508794258003E-005</v>
      </c>
      <c r="F1164" s="1" t="n">
        <f aca="false">B1164/B1163-1</f>
        <v>-0.00722803766827285</v>
      </c>
      <c r="G1164" s="1" t="n">
        <f aca="false">C1164/C1163-1</f>
        <v>4.09517179245089E-005</v>
      </c>
    </row>
    <row r="1165" customFormat="false" ht="15" hidden="false" customHeight="false" outlineLevel="0" collapsed="false">
      <c r="A1165" s="1" t="s">
        <v>1172</v>
      </c>
      <c r="B1165" s="5" t="n">
        <v>35.4063</v>
      </c>
      <c r="C1165" s="5" t="n">
        <v>12.2103</v>
      </c>
      <c r="D1165" s="1" t="n">
        <f aca="false">LN(B1165/B1164)</f>
        <v>0.00732489788988362</v>
      </c>
      <c r="E1165" s="1" t="n">
        <f aca="false">LN(C1165/C1164)</f>
        <v>2.45697227319046E-005</v>
      </c>
      <c r="F1165" s="1" t="n">
        <f aca="false">B1165/B1164-1</f>
        <v>0.0073517905763929</v>
      </c>
      <c r="G1165" s="1" t="n">
        <f aca="false">C1165/C1164-1</f>
        <v>2.45700245700142E-005</v>
      </c>
    </row>
    <row r="1166" customFormat="false" ht="15" hidden="false" customHeight="false" outlineLevel="0" collapsed="false">
      <c r="A1166" s="1" t="s">
        <v>1173</v>
      </c>
      <c r="B1166" s="5" t="n">
        <v>35.2137</v>
      </c>
      <c r="C1166" s="5" t="n">
        <v>12.2111</v>
      </c>
      <c r="D1166" s="1" t="n">
        <f aca="false">LN(B1166/B1165)</f>
        <v>-0.0054545589782722</v>
      </c>
      <c r="E1166" s="1" t="n">
        <f aca="false">LN(C1166/C1165)</f>
        <v>6.55163094896093E-005</v>
      </c>
      <c r="F1166" s="1" t="n">
        <f aca="false">B1166/B1165-1</f>
        <v>-0.0054397098821396</v>
      </c>
      <c r="G1166" s="1" t="n">
        <f aca="false">C1166/C1165-1</f>
        <v>6.55184557298849E-005</v>
      </c>
    </row>
    <row r="1167" customFormat="false" ht="15" hidden="false" customHeight="false" outlineLevel="0" collapsed="false">
      <c r="A1167" s="1" t="s">
        <v>1174</v>
      </c>
      <c r="B1167" s="5" t="n">
        <v>34.6592</v>
      </c>
      <c r="C1167" s="5" t="n">
        <v>12.2115</v>
      </c>
      <c r="D1167" s="1" t="n">
        <f aca="false">LN(B1167/B1166)</f>
        <v>-0.0158720087697826</v>
      </c>
      <c r="E1167" s="1" t="n">
        <f aca="false">LN(C1167/C1166)</f>
        <v>3.27565451701246E-005</v>
      </c>
      <c r="F1167" s="1" t="n">
        <f aca="false">B1167/B1166-1</f>
        <v>-0.0157467122171202</v>
      </c>
      <c r="G1167" s="1" t="n">
        <f aca="false">C1167/C1166-1</f>
        <v>3.27570816716083E-005</v>
      </c>
    </row>
    <row r="1168" customFormat="false" ht="15" hidden="false" customHeight="false" outlineLevel="0" collapsed="false">
      <c r="A1168" s="1" t="s">
        <v>1175</v>
      </c>
      <c r="B1168" s="5" t="n">
        <v>34.8</v>
      </c>
      <c r="C1168" s="5" t="n">
        <v>12.2125</v>
      </c>
      <c r="D1168" s="1" t="n">
        <f aca="false">LN(B1168/B1167)</f>
        <v>0.00405418412114758</v>
      </c>
      <c r="E1168" s="1" t="n">
        <f aca="false">LN(C1168/C1167)</f>
        <v>8.18866688962157E-005</v>
      </c>
      <c r="F1168" s="1" t="n">
        <f aca="false">B1168/B1167-1</f>
        <v>0.00406241344289526</v>
      </c>
      <c r="G1168" s="1" t="n">
        <f aca="false">C1168/C1167-1</f>
        <v>8.18900217010032E-005</v>
      </c>
    </row>
    <row r="1169" customFormat="false" ht="15" hidden="false" customHeight="false" outlineLevel="0" collapsed="false">
      <c r="A1169" s="1" t="s">
        <v>1176</v>
      </c>
      <c r="B1169" s="5" t="n">
        <v>34.6632</v>
      </c>
      <c r="C1169" s="5" t="n">
        <v>12.2128</v>
      </c>
      <c r="D1169" s="1" t="n">
        <f aca="false">LN(B1169/B1168)</f>
        <v>-0.00393878130749886</v>
      </c>
      <c r="E1169" s="1" t="n">
        <f aca="false">LN(C1169/C1168)</f>
        <v>2.45646931676911E-005</v>
      </c>
      <c r="F1169" s="1" t="n">
        <f aca="false">B1169/B1168-1</f>
        <v>-0.00393103448275844</v>
      </c>
      <c r="G1169" s="1" t="n">
        <f aca="false">C1169/C1168-1</f>
        <v>2.45649948822368E-005</v>
      </c>
    </row>
    <row r="1170" customFormat="false" ht="15" hidden="false" customHeight="false" outlineLevel="0" collapsed="false">
      <c r="A1170" s="1" t="s">
        <v>1177</v>
      </c>
      <c r="B1170" s="5" t="n">
        <v>34.9678</v>
      </c>
      <c r="C1170" s="5" t="n">
        <v>12.213</v>
      </c>
      <c r="D1170" s="1" t="n">
        <f aca="false">LN(B1170/B1169)</f>
        <v>0.00874903255674209</v>
      </c>
      <c r="E1170" s="1" t="n">
        <f aca="false">LN(C1170/C1169)</f>
        <v>1.63761268824531E-005</v>
      </c>
      <c r="F1170" s="1" t="n">
        <f aca="false">B1170/B1169-1</f>
        <v>0.00878741720325871</v>
      </c>
      <c r="G1170" s="1" t="n">
        <f aca="false">C1170/C1169-1</f>
        <v>1.63762609719509E-005</v>
      </c>
    </row>
    <row r="1171" customFormat="false" ht="15" hidden="false" customHeight="false" outlineLevel="0" collapsed="false">
      <c r="A1171" s="1" t="s">
        <v>1178</v>
      </c>
      <c r="B1171" s="5" t="n">
        <v>34.8797</v>
      </c>
      <c r="C1171" s="5" t="n">
        <v>12.2134</v>
      </c>
      <c r="D1171" s="1" t="n">
        <f aca="false">LN(B1171/B1170)</f>
        <v>-0.00252263994331211</v>
      </c>
      <c r="E1171" s="1" t="n">
        <f aca="false">LN(C1171/C1170)</f>
        <v>3.2751449254594E-005</v>
      </c>
      <c r="F1171" s="1" t="n">
        <f aca="false">B1171/B1170-1</f>
        <v>-0.00251946076104292</v>
      </c>
      <c r="G1171" s="1" t="n">
        <f aca="false">C1171/C1170-1</f>
        <v>3.27519855891634E-005</v>
      </c>
    </row>
    <row r="1172" customFormat="false" ht="15" hidden="false" customHeight="false" outlineLevel="0" collapsed="false">
      <c r="A1172" s="1" t="s">
        <v>1179</v>
      </c>
      <c r="B1172" s="5" t="n">
        <v>34.7324</v>
      </c>
      <c r="C1172" s="5" t="n">
        <v>12.2138</v>
      </c>
      <c r="D1172" s="1" t="n">
        <f aca="false">LN(B1172/B1171)</f>
        <v>-0.00423202919739699</v>
      </c>
      <c r="E1172" s="1" t="n">
        <f aca="false">LN(C1172/C1171)</f>
        <v>3.27503766324276E-005</v>
      </c>
      <c r="F1172" s="1" t="n">
        <f aca="false">B1172/B1171-1</f>
        <v>-0.00422308678113637</v>
      </c>
      <c r="G1172" s="1" t="n">
        <f aca="false">C1172/C1171-1</f>
        <v>3.27509129318671E-005</v>
      </c>
    </row>
    <row r="1173" customFormat="false" ht="15" hidden="false" customHeight="false" outlineLevel="0" collapsed="false">
      <c r="A1173" s="1" t="s">
        <v>1180</v>
      </c>
      <c r="B1173" s="5" t="n">
        <v>35.5043</v>
      </c>
      <c r="C1173" s="5" t="n">
        <v>12.2149</v>
      </c>
      <c r="D1173" s="1" t="n">
        <f aca="false">LN(B1173/B1172)</f>
        <v>0.0219808470177171</v>
      </c>
      <c r="E1173" s="1" t="n">
        <f aca="false">LN(C1173/C1172)</f>
        <v>9.00580056034912E-005</v>
      </c>
      <c r="F1173" s="1" t="n">
        <f aca="false">B1173/B1172-1</f>
        <v>0.0222242056408426</v>
      </c>
      <c r="G1173" s="1" t="n">
        <f aca="false">C1173/C1172-1</f>
        <v>9.00620609474157E-005</v>
      </c>
    </row>
    <row r="1174" customFormat="false" ht="15" hidden="false" customHeight="false" outlineLevel="0" collapsed="false">
      <c r="A1174" s="1" t="s">
        <v>1181</v>
      </c>
      <c r="B1174" s="5" t="n">
        <v>35.6401</v>
      </c>
      <c r="C1174" s="5" t="n">
        <v>12.2154</v>
      </c>
      <c r="D1174" s="1" t="n">
        <f aca="false">LN(B1174/B1173)</f>
        <v>0.00381759252813158</v>
      </c>
      <c r="E1174" s="1" t="n">
        <f aca="false">LN(C1174/C1173)</f>
        <v>4.09327761076357E-005</v>
      </c>
      <c r="F1174" s="1" t="n">
        <f aca="false">B1174/B1173-1</f>
        <v>0.00382488881628418</v>
      </c>
      <c r="G1174" s="1" t="n">
        <f aca="false">C1174/C1173-1</f>
        <v>4.09336138651462E-005</v>
      </c>
    </row>
    <row r="1175" customFormat="false" ht="15" hidden="false" customHeight="false" outlineLevel="0" collapsed="false">
      <c r="A1175" s="1" t="s">
        <v>1182</v>
      </c>
      <c r="B1175" s="5" t="n">
        <v>35.5327</v>
      </c>
      <c r="C1175" s="5" t="n">
        <v>12.217</v>
      </c>
      <c r="D1175" s="1" t="n">
        <f aca="false">LN(B1175/B1174)</f>
        <v>-0.00301800916979465</v>
      </c>
      <c r="E1175" s="1" t="n">
        <f aca="false">LN(C1175/C1174)</f>
        <v>0.000130973625373544</v>
      </c>
      <c r="F1175" s="1" t="n">
        <f aca="false">B1175/B1174-1</f>
        <v>-0.00301345955819421</v>
      </c>
      <c r="G1175" s="1" t="n">
        <f aca="false">C1175/C1174-1</f>
        <v>0.000130982202793284</v>
      </c>
    </row>
    <row r="1176" customFormat="false" ht="15" hidden="false" customHeight="false" outlineLevel="0" collapsed="false">
      <c r="A1176" s="1" t="s">
        <v>1183</v>
      </c>
      <c r="B1176" s="5" t="n">
        <v>35.9417</v>
      </c>
      <c r="C1176" s="5" t="n">
        <v>12.2175</v>
      </c>
      <c r="D1176" s="1" t="n">
        <f aca="false">LN(B1176/B1175)</f>
        <v>0.0114447820290544</v>
      </c>
      <c r="E1176" s="1" t="n">
        <f aca="false">LN(C1176/C1175)</f>
        <v>4.09257402499479E-005</v>
      </c>
      <c r="F1176" s="1" t="n">
        <f aca="false">B1176/B1175-1</f>
        <v>0.0115105241087787</v>
      </c>
      <c r="G1176" s="1" t="n">
        <f aca="false">C1176/C1175-1</f>
        <v>4.09265777194801E-005</v>
      </c>
    </row>
    <row r="1177" customFormat="false" ht="15" hidden="false" customHeight="false" outlineLevel="0" collapsed="false">
      <c r="A1177" s="1" t="s">
        <v>1184</v>
      </c>
      <c r="B1177" s="5" t="n">
        <v>35.8556</v>
      </c>
      <c r="C1177" s="5" t="n">
        <v>12.2178</v>
      </c>
      <c r="D1177" s="1" t="n">
        <f aca="false">LN(B1177/B1176)</f>
        <v>-0.00239842003177266</v>
      </c>
      <c r="E1177" s="1" t="n">
        <f aca="false">LN(C1177/C1176)</f>
        <v>2.45546402145411E-005</v>
      </c>
      <c r="F1177" s="1" t="n">
        <f aca="false">B1177/B1176-1</f>
        <v>-0.00239554612052284</v>
      </c>
      <c r="G1177" s="1" t="n">
        <f aca="false">C1177/C1176-1</f>
        <v>2.45549416821866E-005</v>
      </c>
    </row>
    <row r="1178" customFormat="false" ht="15" hidden="false" customHeight="false" outlineLevel="0" collapsed="false">
      <c r="A1178" s="1" t="s">
        <v>1185</v>
      </c>
      <c r="B1178" s="5" t="n">
        <v>35.5036</v>
      </c>
      <c r="C1178" s="5" t="n">
        <v>12.2188</v>
      </c>
      <c r="D1178" s="1" t="n">
        <f aca="false">LN(B1178/B1177)</f>
        <v>-0.00986566147171336</v>
      </c>
      <c r="E1178" s="1" t="n">
        <f aca="false">LN(C1178/C1177)</f>
        <v>8.18444464907778E-005</v>
      </c>
      <c r="F1178" s="1" t="n">
        <f aca="false">B1178/B1177-1</f>
        <v>-0.00981715547920004</v>
      </c>
      <c r="G1178" s="1" t="n">
        <f aca="false">C1178/C1177-1</f>
        <v>8.1847795838863E-005</v>
      </c>
    </row>
    <row r="1179" customFormat="false" ht="15" hidden="false" customHeight="false" outlineLevel="0" collapsed="false">
      <c r="A1179" s="1" t="s">
        <v>1186</v>
      </c>
      <c r="B1179" s="5" t="n">
        <v>35.6001</v>
      </c>
      <c r="C1179" s="5" t="n">
        <v>12.2194</v>
      </c>
      <c r="D1179" s="1" t="n">
        <f aca="false">LN(B1179/B1178)</f>
        <v>0.00271434705221849</v>
      </c>
      <c r="E1179" s="1" t="n">
        <f aca="false">LN(C1179/C1178)</f>
        <v>4.91034528009779E-005</v>
      </c>
      <c r="F1179" s="1" t="n">
        <f aca="false">B1179/B1178-1</f>
        <v>0.00271803422751482</v>
      </c>
      <c r="G1179" s="1" t="n">
        <f aca="false">C1179/C1178-1</f>
        <v>4.91046583952492E-005</v>
      </c>
    </row>
    <row r="1180" customFormat="false" ht="15" hidden="false" customHeight="false" outlineLevel="0" collapsed="false">
      <c r="A1180" s="1" t="s">
        <v>1187</v>
      </c>
      <c r="B1180" s="5" t="n">
        <v>35.3634</v>
      </c>
      <c r="C1180" s="5" t="n">
        <v>12.2197</v>
      </c>
      <c r="D1180" s="1" t="n">
        <f aca="false">LN(B1180/B1179)</f>
        <v>-0.00667105984969178</v>
      </c>
      <c r="E1180" s="1" t="n">
        <f aca="false">LN(C1180/C1179)</f>
        <v>2.45508222490816E-005</v>
      </c>
      <c r="F1180" s="1" t="n">
        <f aca="false">B1180/B1179-1</f>
        <v>-0.00664885772792767</v>
      </c>
      <c r="G1180" s="1" t="n">
        <f aca="false">C1180/C1179-1</f>
        <v>2.45511236229845E-005</v>
      </c>
    </row>
    <row r="1181" customFormat="false" ht="15" hidden="false" customHeight="false" outlineLevel="0" collapsed="false">
      <c r="A1181" s="1" t="s">
        <v>1188</v>
      </c>
      <c r="B1181" s="5" t="n">
        <v>35.2681</v>
      </c>
      <c r="C1181" s="5" t="n">
        <v>12.2202</v>
      </c>
      <c r="D1181" s="1" t="n">
        <f aca="false">LN(B1181/B1180)</f>
        <v>-0.00269851434079831</v>
      </c>
      <c r="E1181" s="1" t="n">
        <f aca="false">LN(C1181/C1180)</f>
        <v>4.09166977009074E-005</v>
      </c>
      <c r="F1181" s="1" t="n">
        <f aca="false">B1181/B1180-1</f>
        <v>-0.00269487662385404</v>
      </c>
      <c r="G1181" s="1" t="n">
        <f aca="false">C1181/C1180-1</f>
        <v>4.09175348003998E-005</v>
      </c>
    </row>
    <row r="1182" customFormat="false" ht="15" hidden="false" customHeight="false" outlineLevel="0" collapsed="false">
      <c r="A1182" s="1" t="s">
        <v>1189</v>
      </c>
      <c r="B1182" s="5" t="n">
        <v>35.1498</v>
      </c>
      <c r="C1182" s="5" t="n">
        <v>12.2206</v>
      </c>
      <c r="D1182" s="1" t="n">
        <f aca="false">LN(B1182/B1181)</f>
        <v>-0.00335994431225379</v>
      </c>
      <c r="E1182" s="1" t="n">
        <f aca="false">LN(C1182/C1181)</f>
        <v>3.27321527964792E-005</v>
      </c>
      <c r="F1182" s="1" t="n">
        <f aca="false">B1182/B1181-1</f>
        <v>-0.00335430601591802</v>
      </c>
      <c r="G1182" s="1" t="n">
        <f aca="false">C1182/C1181-1</f>
        <v>3.27326884992374E-005</v>
      </c>
    </row>
    <row r="1183" customFormat="false" ht="15" hidden="false" customHeight="false" outlineLevel="0" collapsed="false">
      <c r="A1183" s="1" t="s">
        <v>1190</v>
      </c>
      <c r="B1183" s="5" t="n">
        <v>35.2791</v>
      </c>
      <c r="C1183" s="5" t="n">
        <v>12.2213</v>
      </c>
      <c r="D1183" s="1" t="n">
        <f aca="false">LN(B1183/B1182)</f>
        <v>0.00367179226905851</v>
      </c>
      <c r="E1183" s="1" t="n">
        <f aca="false">LN(C1183/C1182)</f>
        <v>5.72786894793395E-005</v>
      </c>
      <c r="F1183" s="1" t="n">
        <f aca="false">B1183/B1182-1</f>
        <v>0.00367854155642422</v>
      </c>
      <c r="G1183" s="1" t="n">
        <f aca="false">C1183/C1182-1</f>
        <v>5.72803299347946E-005</v>
      </c>
    </row>
    <row r="1184" customFormat="false" ht="15" hidden="false" customHeight="false" outlineLevel="0" collapsed="false">
      <c r="A1184" s="1" t="s">
        <v>1191</v>
      </c>
      <c r="B1184" s="5" t="n">
        <v>35.2299</v>
      </c>
      <c r="C1184" s="5" t="n">
        <v>12.2214</v>
      </c>
      <c r="D1184" s="1" t="n">
        <f aca="false">LN(B1184/B1183)</f>
        <v>-0.0013955667499237</v>
      </c>
      <c r="E1184" s="1" t="n">
        <f aca="false">LN(C1184/C1183)</f>
        <v>8.18240210781554E-006</v>
      </c>
      <c r="F1184" s="1" t="n">
        <f aca="false">B1184/B1183-1</f>
        <v>-0.00139459339949144</v>
      </c>
      <c r="G1184" s="1" t="n">
        <f aca="false">C1184/C1183-1</f>
        <v>8.18243558375897E-006</v>
      </c>
    </row>
    <row r="1185" customFormat="false" ht="15" hidden="false" customHeight="false" outlineLevel="0" collapsed="false">
      <c r="A1185" s="1" t="s">
        <v>1192</v>
      </c>
      <c r="B1185" s="5" t="n">
        <v>34.9529</v>
      </c>
      <c r="C1185" s="5" t="n">
        <v>12.2216</v>
      </c>
      <c r="D1185" s="1" t="n">
        <f aca="false">LN(B1185/B1184)</f>
        <v>-0.0078937129421242</v>
      </c>
      <c r="E1185" s="1" t="n">
        <f aca="false">LN(C1185/C1184)</f>
        <v>1.63646033633331E-005</v>
      </c>
      <c r="F1185" s="1" t="n">
        <f aca="false">B1185/B1184-1</f>
        <v>-0.00786263940573206</v>
      </c>
      <c r="G1185" s="1" t="n">
        <f aca="false">C1185/C1184-1</f>
        <v>1.63647372641851E-005</v>
      </c>
    </row>
    <row r="1186" customFormat="false" ht="15" hidden="false" customHeight="false" outlineLevel="0" collapsed="false">
      <c r="A1186" s="1" t="s">
        <v>1193</v>
      </c>
      <c r="B1186" s="5" t="n">
        <v>34.869</v>
      </c>
      <c r="C1186" s="5" t="n">
        <v>12.2219</v>
      </c>
      <c r="D1186" s="1" t="n">
        <f aca="false">LN(B1186/B1185)</f>
        <v>-0.00240325858738955</v>
      </c>
      <c r="E1186" s="1" t="n">
        <f aca="false">LN(C1186/C1185)</f>
        <v>2.45464029303025E-005</v>
      </c>
      <c r="F1186" s="1" t="n">
        <f aca="false">B1186/B1185-1</f>
        <v>-0.00240037307347885</v>
      </c>
      <c r="G1186" s="1" t="n">
        <f aca="false">C1186/C1185-1</f>
        <v>2.45467041957159E-005</v>
      </c>
    </row>
    <row r="1187" customFormat="false" ht="15" hidden="false" customHeight="false" outlineLevel="0" collapsed="false">
      <c r="A1187" s="1" t="s">
        <v>1194</v>
      </c>
      <c r="B1187" s="5" t="n">
        <v>35.0083</v>
      </c>
      <c r="C1187" s="5" t="n">
        <v>12.2222</v>
      </c>
      <c r="D1187" s="1" t="n">
        <f aca="false">LN(B1187/B1186)</f>
        <v>0.00398699390295323</v>
      </c>
      <c r="E1187" s="1" t="n">
        <f aca="false">LN(C1187/C1186)</f>
        <v>2.4545800419507E-005</v>
      </c>
      <c r="F1187" s="1" t="n">
        <f aca="false">B1187/B1186-1</f>
        <v>0.00399495253663718</v>
      </c>
      <c r="G1187" s="1" t="n">
        <f aca="false">C1187/C1186-1</f>
        <v>2.45461016701309E-005</v>
      </c>
    </row>
    <row r="1188" customFormat="false" ht="15" hidden="false" customHeight="false" outlineLevel="0" collapsed="false">
      <c r="A1188" s="1" t="s">
        <v>1195</v>
      </c>
      <c r="B1188" s="5" t="n">
        <v>35.4044</v>
      </c>
      <c r="C1188" s="5" t="n">
        <v>12.2231</v>
      </c>
      <c r="D1188" s="1" t="n">
        <f aca="false">LN(B1188/B1187)</f>
        <v>0.0112509299685734</v>
      </c>
      <c r="E1188" s="1" t="n">
        <f aca="false">LN(C1188/C1187)</f>
        <v>7.36337864871044E-005</v>
      </c>
      <c r="F1188" s="1" t="n">
        <f aca="false">B1188/B1187-1</f>
        <v>0.0113144597138395</v>
      </c>
      <c r="G1188" s="1" t="n">
        <f aca="false">C1188/C1187-1</f>
        <v>7.36364975209014E-005</v>
      </c>
    </row>
    <row r="1189" customFormat="false" ht="15" hidden="false" customHeight="false" outlineLevel="0" collapsed="false">
      <c r="A1189" s="1" t="s">
        <v>1196</v>
      </c>
      <c r="B1189" s="5" t="n">
        <v>35.2059</v>
      </c>
      <c r="C1189" s="5" t="n">
        <v>12.2234</v>
      </c>
      <c r="D1189" s="1" t="n">
        <f aca="false">LN(B1189/B1188)</f>
        <v>-0.00562242400638808</v>
      </c>
      <c r="E1189" s="1" t="n">
        <f aca="false">LN(C1189/C1188)</f>
        <v>2.45433906705232E-005</v>
      </c>
      <c r="F1189" s="1" t="n">
        <f aca="false">B1189/B1188-1</f>
        <v>-0.00560664776129527</v>
      </c>
      <c r="G1189" s="1" t="n">
        <f aca="false">C1189/C1188-1</f>
        <v>2.45436918620001E-005</v>
      </c>
    </row>
    <row r="1190" customFormat="false" ht="15" hidden="false" customHeight="false" outlineLevel="0" collapsed="false">
      <c r="A1190" s="1" t="s">
        <v>1197</v>
      </c>
      <c r="B1190" s="5" t="n">
        <v>35.2076</v>
      </c>
      <c r="C1190" s="5" t="n">
        <v>12.2239</v>
      </c>
      <c r="D1190" s="1" t="n">
        <f aca="false">LN(B1190/B1189)</f>
        <v>4.82861951282415E-005</v>
      </c>
      <c r="E1190" s="1" t="n">
        <f aca="false">LN(C1190/C1189)</f>
        <v>4.09043125473255E-005</v>
      </c>
      <c r="F1190" s="1" t="n">
        <f aca="false">B1190/B1189-1</f>
        <v>4.82873609253254E-005</v>
      </c>
      <c r="G1190" s="1" t="n">
        <f aca="false">C1190/C1189-1</f>
        <v>4.09051491401247E-005</v>
      </c>
    </row>
    <row r="1191" customFormat="false" ht="15" hidden="false" customHeight="false" outlineLevel="0" collapsed="false">
      <c r="A1191" s="1" t="s">
        <v>1198</v>
      </c>
      <c r="B1191" s="5" t="n">
        <v>34.9874</v>
      </c>
      <c r="C1191" s="5" t="n">
        <v>12.2241</v>
      </c>
      <c r="D1191" s="1" t="n">
        <f aca="false">LN(B1191/B1190)</f>
        <v>-0.00627397171608969</v>
      </c>
      <c r="E1191" s="1" t="n">
        <f aca="false">LN(C1191/C1190)</f>
        <v>1.63612565448742E-005</v>
      </c>
      <c r="F1191" s="1" t="n">
        <f aca="false">B1191/B1190-1</f>
        <v>-0.00625433145116394</v>
      </c>
      <c r="G1191" s="1" t="n">
        <f aca="false">C1191/C1190-1</f>
        <v>1.63613903909621E-005</v>
      </c>
    </row>
    <row r="1192" customFormat="false" ht="15" hidden="false" customHeight="false" outlineLevel="0" collapsed="false">
      <c r="A1192" s="1" t="s">
        <v>1199</v>
      </c>
      <c r="B1192" s="5" t="n">
        <v>34.7644</v>
      </c>
      <c r="C1192" s="5" t="n">
        <v>12.2242</v>
      </c>
      <c r="D1192" s="1" t="n">
        <f aca="false">LN(B1192/B1191)</f>
        <v>-0.00639412200904575</v>
      </c>
      <c r="E1192" s="1" t="n">
        <f aca="false">LN(C1192/C1191)</f>
        <v>8.18052788949229E-006</v>
      </c>
      <c r="F1192" s="1" t="n">
        <f aca="false">B1192/B1191-1</f>
        <v>-0.00637372311174878</v>
      </c>
      <c r="G1192" s="1" t="n">
        <f aca="false">C1192/C1191-1</f>
        <v>8.18056135010181E-006</v>
      </c>
    </row>
    <row r="1193" customFormat="false" ht="15" hidden="false" customHeight="false" outlineLevel="0" collapsed="false">
      <c r="A1193" s="1" t="s">
        <v>1200</v>
      </c>
      <c r="B1193" s="5" t="n">
        <v>34.268</v>
      </c>
      <c r="C1193" s="5" t="n">
        <v>12.2252</v>
      </c>
      <c r="D1193" s="1" t="n">
        <f aca="false">LN(B1193/B1192)</f>
        <v>-0.0143819005630142</v>
      </c>
      <c r="E1193" s="1" t="n">
        <f aca="false">LN(C1193/C1192)</f>
        <v>8.18015984487898E-005</v>
      </c>
      <c r="F1193" s="1" t="n">
        <f aca="false">B1193/B1192-1</f>
        <v>-0.0142789750434352</v>
      </c>
      <c r="G1193" s="1" t="n">
        <f aca="false">C1193/C1192-1</f>
        <v>8.18049442907753E-005</v>
      </c>
    </row>
    <row r="1194" customFormat="false" ht="15" hidden="false" customHeight="false" outlineLevel="0" collapsed="false">
      <c r="A1194" s="1" t="s">
        <v>1201</v>
      </c>
      <c r="B1194" s="5" t="n">
        <v>34.2504</v>
      </c>
      <c r="C1194" s="5" t="n">
        <v>12.2256</v>
      </c>
      <c r="D1194" s="1" t="n">
        <f aca="false">LN(B1194/B1193)</f>
        <v>-0.000513730629643472</v>
      </c>
      <c r="E1194" s="1" t="n">
        <f aca="false">LN(C1194/C1193)</f>
        <v>3.27187658511562E-005</v>
      </c>
      <c r="F1194" s="1" t="n">
        <f aca="false">B1194/B1193-1</f>
        <v>-0.00051359869265788</v>
      </c>
      <c r="G1194" s="1" t="n">
        <f aca="false">C1194/C1193-1</f>
        <v>3.27193011158133E-005</v>
      </c>
    </row>
    <row r="1195" customFormat="false" ht="15" hidden="false" customHeight="false" outlineLevel="0" collapsed="false">
      <c r="A1195" s="1" t="s">
        <v>1202</v>
      </c>
      <c r="B1195" s="5" t="n">
        <v>34.2263</v>
      </c>
      <c r="C1195" s="5" t="n">
        <v>12.226</v>
      </c>
      <c r="D1195" s="1" t="n">
        <f aca="false">LN(B1195/B1194)</f>
        <v>-0.000703889089136817</v>
      </c>
      <c r="E1195" s="1" t="n">
        <f aca="false">LN(C1195/C1194)</f>
        <v>3.27176953685066E-005</v>
      </c>
      <c r="F1195" s="1" t="n">
        <f aca="false">B1195/B1194-1</f>
        <v>-0.000703641417326484</v>
      </c>
      <c r="G1195" s="1" t="n">
        <f aca="false">C1195/C1194-1</f>
        <v>3.27182305981388E-005</v>
      </c>
    </row>
    <row r="1196" customFormat="false" ht="15" hidden="false" customHeight="false" outlineLevel="0" collapsed="false">
      <c r="A1196" s="1" t="s">
        <v>1203</v>
      </c>
      <c r="B1196" s="5" t="n">
        <v>34.0782</v>
      </c>
      <c r="C1196" s="5" t="n">
        <v>12.2266</v>
      </c>
      <c r="D1196" s="1" t="n">
        <f aca="false">LN(B1196/B1195)</f>
        <v>-0.00433647071817231</v>
      </c>
      <c r="E1196" s="1" t="n">
        <f aca="false">LN(C1196/C1195)</f>
        <v>4.90745360508702E-005</v>
      </c>
      <c r="F1196" s="1" t="n">
        <f aca="false">B1196/B1195-1</f>
        <v>-0.00432708180551211</v>
      </c>
      <c r="G1196" s="1" t="n">
        <f aca="false">C1196/C1195-1</f>
        <v>4.90757402256126E-005</v>
      </c>
    </row>
    <row r="1197" customFormat="false" ht="15" hidden="false" customHeight="false" outlineLevel="0" collapsed="false">
      <c r="A1197" s="1" t="s">
        <v>1204</v>
      </c>
      <c r="B1197" s="5" t="n">
        <v>34.0194</v>
      </c>
      <c r="C1197" s="5" t="n">
        <v>12.2274</v>
      </c>
      <c r="D1197" s="1" t="n">
        <f aca="false">LN(B1197/B1196)</f>
        <v>-0.00172693353696078</v>
      </c>
      <c r="E1197" s="1" t="n">
        <f aca="false">LN(C1197/C1196)</f>
        <v>6.5428968699314E-005</v>
      </c>
      <c r="F1197" s="1" t="n">
        <f aca="false">B1197/B1196-1</f>
        <v>-0.00172544324524193</v>
      </c>
      <c r="G1197" s="1" t="n">
        <f aca="false">C1197/C1196-1</f>
        <v>6.54311092209703E-005</v>
      </c>
    </row>
    <row r="1198" customFormat="false" ht="15" hidden="false" customHeight="false" outlineLevel="0" collapsed="false">
      <c r="A1198" s="1" t="s">
        <v>1205</v>
      </c>
      <c r="B1198" s="5" t="n">
        <v>34.0716</v>
      </c>
      <c r="C1198" s="5" t="n">
        <v>12.2279</v>
      </c>
      <c r="D1198" s="1" t="n">
        <f aca="false">LN(B1198/B1197)</f>
        <v>0.00153324257908155</v>
      </c>
      <c r="E1198" s="1" t="n">
        <f aca="false">LN(C1198/C1197)</f>
        <v>4.08909316237643E-005</v>
      </c>
      <c r="F1198" s="1" t="n">
        <f aca="false">B1198/B1197-1</f>
        <v>0.00153441859644787</v>
      </c>
      <c r="G1198" s="1" t="n">
        <f aca="false">C1198/C1197-1</f>
        <v>4.08917676693044E-005</v>
      </c>
    </row>
    <row r="1199" customFormat="false" ht="15" hidden="false" customHeight="false" outlineLevel="0" collapsed="false">
      <c r="A1199" s="1" t="s">
        <v>1206</v>
      </c>
      <c r="B1199" s="5" t="n">
        <v>34.416</v>
      </c>
      <c r="C1199" s="5" t="n">
        <v>12.2282</v>
      </c>
      <c r="D1199" s="1" t="n">
        <f aca="false">LN(B1199/B1198)</f>
        <v>0.0100573798184084</v>
      </c>
      <c r="E1199" s="1" t="n">
        <f aca="false">LN(C1199/C1198)</f>
        <v>2.45337564055184E-005</v>
      </c>
      <c r="F1199" s="1" t="n">
        <f aca="false">B1199/B1198-1</f>
        <v>0.0101081252421371</v>
      </c>
      <c r="G1199" s="1" t="n">
        <f aca="false">C1199/C1198-1</f>
        <v>2.45340573605812E-005</v>
      </c>
    </row>
    <row r="1200" customFormat="false" ht="15" hidden="false" customHeight="false" outlineLevel="0" collapsed="false">
      <c r="A1200" s="1" t="s">
        <v>1207</v>
      </c>
      <c r="B1200" s="5" t="n">
        <v>34.697</v>
      </c>
      <c r="C1200" s="5" t="n">
        <v>12.2285</v>
      </c>
      <c r="D1200" s="1" t="n">
        <f aca="false">LN(B1200/B1199)</f>
        <v>0.0081316553585497</v>
      </c>
      <c r="E1200" s="1" t="n">
        <f aca="false">LN(C1200/C1199)</f>
        <v>2.45331545153147E-005</v>
      </c>
      <c r="F1200" s="1" t="n">
        <f aca="false">B1200/B1199-1</f>
        <v>0.00816480706648082</v>
      </c>
      <c r="G1200" s="1" t="n">
        <f aca="false">C1200/C1199-1</f>
        <v>2.45334554556109E-005</v>
      </c>
    </row>
    <row r="1201" customFormat="false" ht="15" hidden="false" customHeight="false" outlineLevel="0" collapsed="false">
      <c r="A1201" s="1" t="s">
        <v>1208</v>
      </c>
      <c r="B1201" s="5" t="n">
        <v>34.0927</v>
      </c>
      <c r="C1201" s="5" t="n">
        <v>12.2293</v>
      </c>
      <c r="D1201" s="1" t="n">
        <f aca="false">LN(B1201/B1200)</f>
        <v>-0.0175699427583775</v>
      </c>
      <c r="E1201" s="1" t="n">
        <f aca="false">LN(C1201/C1200)</f>
        <v>6.54188030228674E-005</v>
      </c>
      <c r="F1201" s="1" t="n">
        <f aca="false">B1201/B1200-1</f>
        <v>-0.0174164913393089</v>
      </c>
      <c r="G1201" s="1" t="n">
        <f aca="false">C1201/C1200-1</f>
        <v>6.54209428794239E-005</v>
      </c>
    </row>
    <row r="1202" customFormat="false" ht="15" hidden="false" customHeight="false" outlineLevel="0" collapsed="false">
      <c r="A1202" s="1" t="s">
        <v>1209</v>
      </c>
      <c r="B1202" s="5" t="n">
        <v>34.1391</v>
      </c>
      <c r="C1202" s="5" t="n">
        <v>12.2297</v>
      </c>
      <c r="D1202" s="1" t="n">
        <f aca="false">LN(B1202/B1201)</f>
        <v>0.00136006985459906</v>
      </c>
      <c r="E1202" s="1" t="n">
        <f aca="false">LN(C1202/C1201)</f>
        <v>3.270779672379E-005</v>
      </c>
      <c r="F1202" s="1" t="n">
        <f aca="false">B1202/B1201-1</f>
        <v>0.00136099516905364</v>
      </c>
      <c r="G1202" s="1" t="n">
        <f aca="false">C1202/C1201-1</f>
        <v>3.27083316296051E-005</v>
      </c>
    </row>
    <row r="1203" customFormat="false" ht="15" hidden="false" customHeight="false" outlineLevel="0" collapsed="false">
      <c r="A1203" s="1" t="s">
        <v>1210</v>
      </c>
      <c r="B1203" s="5" t="n">
        <v>34.5586</v>
      </c>
      <c r="C1203" s="5" t="n">
        <v>12.23</v>
      </c>
      <c r="D1203" s="1" t="n">
        <f aca="false">LN(B1203/B1202)</f>
        <v>0.0122130788759278</v>
      </c>
      <c r="E1203" s="1" t="n">
        <f aca="false">LN(C1203/C1202)</f>
        <v>2.45301455059267E-005</v>
      </c>
      <c r="F1203" s="1" t="n">
        <f aca="false">B1203/B1202-1</f>
        <v>0.0122879630687394</v>
      </c>
      <c r="G1203" s="1" t="n">
        <f aca="false">C1203/C1202-1</f>
        <v>2.45304463724061E-005</v>
      </c>
    </row>
    <row r="1204" customFormat="false" ht="15" hidden="false" customHeight="false" outlineLevel="0" collapsed="false">
      <c r="A1204" s="1" t="s">
        <v>1211</v>
      </c>
      <c r="B1204" s="5" t="n">
        <v>34.7351</v>
      </c>
      <c r="C1204" s="5" t="n">
        <v>12.2301</v>
      </c>
      <c r="D1204" s="1" t="n">
        <f aca="false">LN(B1204/B1203)</f>
        <v>0.00509426922517658</v>
      </c>
      <c r="E1204" s="1" t="n">
        <f aca="false">LN(C1204/C1203)</f>
        <v>8.17658145306119E-006</v>
      </c>
      <c r="F1204" s="1" t="n">
        <f aca="false">B1204/B1203-1</f>
        <v>0.00510726707679132</v>
      </c>
      <c r="G1204" s="1" t="n">
        <f aca="false">C1204/C1203-1</f>
        <v>8.17661488139443E-006</v>
      </c>
    </row>
    <row r="1205" customFormat="false" ht="15" hidden="false" customHeight="false" outlineLevel="0" collapsed="false">
      <c r="A1205" s="1" t="s">
        <v>1212</v>
      </c>
      <c r="B1205" s="5" t="n">
        <v>34.7148</v>
      </c>
      <c r="C1205" s="5" t="n">
        <v>12.2306</v>
      </c>
      <c r="D1205" s="1" t="n">
        <f aca="false">LN(B1205/B1204)</f>
        <v>-0.000584594090938487</v>
      </c>
      <c r="E1205" s="1" t="n">
        <f aca="false">LN(C1205/C1204)</f>
        <v>4.0881904448371E-005</v>
      </c>
      <c r="F1205" s="1" t="n">
        <f aca="false">B1205/B1204-1</f>
        <v>-0.00058442324910557</v>
      </c>
      <c r="G1205" s="1" t="n">
        <f aca="false">C1205/C1204-1</f>
        <v>4.08827401248146E-005</v>
      </c>
    </row>
    <row r="1206" customFormat="false" ht="15" hidden="false" customHeight="false" outlineLevel="0" collapsed="false">
      <c r="A1206" s="1" t="s">
        <v>1213</v>
      </c>
      <c r="B1206" s="5" t="n">
        <v>34.766</v>
      </c>
      <c r="C1206" s="5" t="n">
        <v>12.2312</v>
      </c>
      <c r="D1206" s="1" t="n">
        <f aca="false">LN(B1206/B1205)</f>
        <v>0.001473788709037</v>
      </c>
      <c r="E1206" s="1" t="n">
        <f aca="false">LN(C1206/C1205)</f>
        <v>4.90560792844219E-005</v>
      </c>
      <c r="F1206" s="1" t="n">
        <f aca="false">B1206/B1205-1</f>
        <v>0.00147487526933765</v>
      </c>
      <c r="G1206" s="1" t="n">
        <f aca="false">C1206/C1205-1</f>
        <v>4.90572825535551E-005</v>
      </c>
    </row>
    <row r="1207" customFormat="false" ht="15" hidden="false" customHeight="false" outlineLevel="0" collapsed="false">
      <c r="A1207" s="1" t="s">
        <v>1214</v>
      </c>
      <c r="B1207" s="5" t="n">
        <v>34.627</v>
      </c>
      <c r="C1207" s="5" t="n">
        <v>12.2314</v>
      </c>
      <c r="D1207" s="1" t="n">
        <f aca="false">LN(B1207/B1206)</f>
        <v>-0.00400617312713855</v>
      </c>
      <c r="E1207" s="1" t="n">
        <f aca="false">LN(C1207/C1206)</f>
        <v>1.63514916653719E-005</v>
      </c>
      <c r="F1207" s="1" t="n">
        <f aca="false">B1207/B1206-1</f>
        <v>-0.00399815912098012</v>
      </c>
      <c r="G1207" s="1" t="n">
        <f aca="false">C1207/C1206-1</f>
        <v>1.63516253517404E-005</v>
      </c>
    </row>
    <row r="1208" customFormat="false" ht="15" hidden="false" customHeight="false" outlineLevel="0" collapsed="false">
      <c r="A1208" s="1" t="s">
        <v>1215</v>
      </c>
      <c r="B1208" s="5" t="n">
        <v>34.7193</v>
      </c>
      <c r="C1208" s="5" t="n">
        <v>12.2316</v>
      </c>
      <c r="D1208" s="1" t="n">
        <f aca="false">LN(B1208/B1207)</f>
        <v>0.00266200372637529</v>
      </c>
      <c r="E1208" s="1" t="n">
        <f aca="false">LN(C1208/C1207)</f>
        <v>1.63512242982854E-005</v>
      </c>
      <c r="F1208" s="1" t="n">
        <f aca="false">B1208/B1207-1</f>
        <v>0.00266555000433177</v>
      </c>
      <c r="G1208" s="1" t="n">
        <f aca="false">C1208/C1207-1</f>
        <v>1.63513579802821E-005</v>
      </c>
    </row>
    <row r="1209" customFormat="false" ht="15" hidden="false" customHeight="false" outlineLevel="0" collapsed="false">
      <c r="A1209" s="1" t="s">
        <v>1216</v>
      </c>
      <c r="B1209" s="5" t="n">
        <v>34.8056</v>
      </c>
      <c r="C1209" s="5" t="n">
        <v>12.2323</v>
      </c>
      <c r="D1209" s="1" t="n">
        <f aca="false">LN(B1209/B1208)</f>
        <v>0.00248256507591289</v>
      </c>
      <c r="E1209" s="1" t="n">
        <f aca="false">LN(C1209/C1208)</f>
        <v>5.72271796557984E-005</v>
      </c>
      <c r="F1209" s="1" t="n">
        <f aca="false">B1209/B1208-1</f>
        <v>0.00248564919223604</v>
      </c>
      <c r="G1209" s="1" t="n">
        <f aca="false">C1209/C1208-1</f>
        <v>5.72288171620805E-005</v>
      </c>
    </row>
    <row r="1210" customFormat="false" ht="15" hidden="false" customHeight="false" outlineLevel="0" collapsed="false">
      <c r="A1210" s="1" t="s">
        <v>1217</v>
      </c>
      <c r="B1210" s="5" t="n">
        <v>34.7565</v>
      </c>
      <c r="C1210" s="5" t="n">
        <v>12.2325</v>
      </c>
      <c r="D1210" s="1" t="n">
        <f aca="false">LN(B1210/B1209)</f>
        <v>-0.00141168849572197</v>
      </c>
      <c r="E1210" s="1" t="n">
        <f aca="false">LN(C1210/C1209)</f>
        <v>1.63500212554176E-005</v>
      </c>
      <c r="F1210" s="1" t="n">
        <f aca="false">B1210/B1209-1</f>
        <v>-0.00141069253223602</v>
      </c>
      <c r="G1210" s="1" t="n">
        <f aca="false">C1210/C1209-1</f>
        <v>1.63501549177436E-005</v>
      </c>
    </row>
    <row r="1211" customFormat="false" ht="15" hidden="false" customHeight="false" outlineLevel="0" collapsed="false">
      <c r="A1211" s="1" t="s">
        <v>1218</v>
      </c>
      <c r="B1211" s="5" t="n">
        <v>34.7336</v>
      </c>
      <c r="C1211" s="5" t="n">
        <v>12.2342</v>
      </c>
      <c r="D1211" s="1" t="n">
        <f aca="false">LN(B1211/B1210)</f>
        <v>-0.000659086713905159</v>
      </c>
      <c r="E1211" s="1" t="n">
        <f aca="false">LN(C1211/C1210)</f>
        <v>0.000138964388555512</v>
      </c>
      <c r="F1211" s="1" t="n">
        <f aca="false">B1211/B1210-1</f>
        <v>-0.000658869563966436</v>
      </c>
      <c r="G1211" s="1" t="n">
        <f aca="false">C1211/C1210-1</f>
        <v>0.00013897404455343</v>
      </c>
    </row>
    <row r="1212" customFormat="false" ht="15" hidden="false" customHeight="false" outlineLevel="0" collapsed="false">
      <c r="A1212" s="1" t="s">
        <v>1219</v>
      </c>
      <c r="B1212" s="5" t="n">
        <v>35.1333</v>
      </c>
      <c r="C1212" s="5" t="n">
        <v>12.2351</v>
      </c>
      <c r="D1212" s="1" t="n">
        <f aca="false">LN(B1212/B1211)</f>
        <v>0.0114418805072278</v>
      </c>
      <c r="E1212" s="1" t="n">
        <f aca="false">LN(C1212/C1211)</f>
        <v>7.35615649328202E-005</v>
      </c>
      <c r="F1212" s="1" t="n">
        <f aca="false">B1212/B1211-1</f>
        <v>0.0115075891931731</v>
      </c>
      <c r="G1212" s="1" t="n">
        <f aca="false">C1212/C1211-1</f>
        <v>7.35642706510831E-005</v>
      </c>
    </row>
    <row r="1213" customFormat="false" ht="15" hidden="false" customHeight="false" outlineLevel="0" collapsed="false">
      <c r="A1213" s="1" t="s">
        <v>1220</v>
      </c>
      <c r="B1213" s="5" t="n">
        <v>35.0852</v>
      </c>
      <c r="C1213" s="5" t="n">
        <v>12.2359</v>
      </c>
      <c r="D1213" s="1" t="n">
        <f aca="false">LN(B1213/B1212)</f>
        <v>-0.00137000954230994</v>
      </c>
      <c r="E1213" s="1" t="n">
        <f aca="false">LN(C1213/C1212)</f>
        <v>6.53835152046524E-005</v>
      </c>
      <c r="F1213" s="1" t="n">
        <f aca="false">B1213/B1212-1</f>
        <v>-0.00136907150765797</v>
      </c>
      <c r="G1213" s="1" t="n">
        <f aca="false">C1213/C1212-1</f>
        <v>6.53856527532692E-005</v>
      </c>
    </row>
    <row r="1214" customFormat="false" ht="15" hidden="false" customHeight="false" outlineLevel="0" collapsed="false">
      <c r="A1214" s="1" t="s">
        <v>1221</v>
      </c>
      <c r="B1214" s="5" t="n">
        <v>34.5797</v>
      </c>
      <c r="C1214" s="5" t="n">
        <v>12.2363</v>
      </c>
      <c r="D1214" s="1" t="n">
        <f aca="false">LN(B1214/B1213)</f>
        <v>-0.0145125844472683</v>
      </c>
      <c r="E1214" s="1" t="n">
        <f aca="false">LN(C1214/C1213)</f>
        <v>3.26901545456459E-005</v>
      </c>
      <c r="F1214" s="1" t="n">
        <f aca="false">B1214/B1213-1</f>
        <v>-0.0144077844789255</v>
      </c>
      <c r="G1214" s="1" t="n">
        <f aca="false">C1214/C1213-1</f>
        <v>3.26906888745704E-005</v>
      </c>
    </row>
    <row r="1215" customFormat="false" ht="15" hidden="false" customHeight="false" outlineLevel="0" collapsed="false">
      <c r="A1215" s="1" t="s">
        <v>1222</v>
      </c>
      <c r="B1215" s="5" t="n">
        <v>34.9428</v>
      </c>
      <c r="C1215" s="5" t="n">
        <v>12.2362</v>
      </c>
      <c r="D1215" s="1" t="n">
        <f aca="false">LN(B1215/B1214)</f>
        <v>0.0104456341909246</v>
      </c>
      <c r="E1215" s="1" t="n">
        <f aca="false">LN(C1215/C1214)</f>
        <v>-8.17243845130059E-006</v>
      </c>
      <c r="F1215" s="1" t="n">
        <f aca="false">B1215/B1214-1</f>
        <v>0.010500380280916</v>
      </c>
      <c r="G1215" s="1" t="n">
        <f aca="false">C1215/C1214-1</f>
        <v>-8.17240505701644E-006</v>
      </c>
    </row>
    <row r="1216" customFormat="false" ht="15" hidden="false" customHeight="false" outlineLevel="0" collapsed="false">
      <c r="A1216" s="1" t="s">
        <v>1223</v>
      </c>
      <c r="B1216" s="5" t="n">
        <v>34.3668</v>
      </c>
      <c r="C1216" s="5" t="n">
        <v>12.2363</v>
      </c>
      <c r="D1216" s="1" t="n">
        <f aca="false">LN(B1216/B1215)</f>
        <v>-0.0166214567977478</v>
      </c>
      <c r="E1216" s="1" t="n">
        <f aca="false">LN(C1216/C1215)</f>
        <v>8.17243845145809E-006</v>
      </c>
      <c r="F1216" s="1" t="n">
        <f aca="false">B1216/B1215-1</f>
        <v>-0.0164840825577801</v>
      </c>
      <c r="G1216" s="1" t="n">
        <f aca="false">C1216/C1215-1</f>
        <v>8.17247184592418E-006</v>
      </c>
    </row>
    <row r="1217" customFormat="false" ht="15" hidden="false" customHeight="false" outlineLevel="0" collapsed="false">
      <c r="A1217" s="1" t="s">
        <v>1224</v>
      </c>
      <c r="B1217" s="5" t="n">
        <v>34.8179</v>
      </c>
      <c r="C1217" s="5" t="n">
        <v>12.2362</v>
      </c>
      <c r="D1217" s="1" t="n">
        <f aca="false">LN(B1217/B1216)</f>
        <v>0.0130406402790435</v>
      </c>
      <c r="E1217" s="1" t="n">
        <f aca="false">LN(C1217/C1216)</f>
        <v>-8.17243845130059E-006</v>
      </c>
      <c r="F1217" s="1" t="n">
        <f aca="false">B1217/B1216-1</f>
        <v>0.0131260402481466</v>
      </c>
      <c r="G1217" s="1" t="n">
        <f aca="false">C1217/C1216-1</f>
        <v>-8.17240505701644E-006</v>
      </c>
    </row>
    <row r="1218" customFormat="false" ht="15" hidden="false" customHeight="false" outlineLevel="0" collapsed="false">
      <c r="A1218" s="1" t="s">
        <v>1225</v>
      </c>
      <c r="B1218" s="5" t="n">
        <v>34.8135</v>
      </c>
      <c r="C1218" s="5" t="n">
        <v>12.2365</v>
      </c>
      <c r="D1218" s="1" t="n">
        <f aca="false">LN(B1218/B1217)</f>
        <v>-0.000126379765619</v>
      </c>
      <c r="E1218" s="1" t="n">
        <f aca="false">LN(C1218/C1217)</f>
        <v>2.45171149906306E-005</v>
      </c>
      <c r="F1218" s="1" t="n">
        <f aca="false">B1218/B1217-1</f>
        <v>-0.00012637178003283</v>
      </c>
      <c r="G1218" s="1" t="n">
        <f aca="false">C1218/C1217-1</f>
        <v>2.45174155375505E-005</v>
      </c>
    </row>
    <row r="1219" customFormat="false" ht="15" hidden="false" customHeight="false" outlineLevel="0" collapsed="false">
      <c r="A1219" s="1" t="s">
        <v>1226</v>
      </c>
      <c r="B1219" s="5" t="n">
        <v>34.9151</v>
      </c>
      <c r="C1219" s="5" t="n">
        <v>12.237</v>
      </c>
      <c r="D1219" s="1" t="n">
        <f aca="false">LN(B1219/B1218)</f>
        <v>0.00291415780330026</v>
      </c>
      <c r="E1219" s="1" t="n">
        <f aca="false">LN(C1219/C1218)</f>
        <v>4.08605226117993E-005</v>
      </c>
      <c r="F1219" s="1" t="n">
        <f aca="false">B1219/B1218-1</f>
        <v>0.00291840808881627</v>
      </c>
      <c r="G1219" s="1" t="n">
        <f aca="false">C1219/C1218-1</f>
        <v>4.08613574143235E-005</v>
      </c>
    </row>
    <row r="1220" customFormat="false" ht="15" hidden="false" customHeight="false" outlineLevel="0" collapsed="false">
      <c r="A1220" s="1" t="s">
        <v>1227</v>
      </c>
      <c r="B1220" s="5" t="n">
        <v>34.9095</v>
      </c>
      <c r="C1220" s="5" t="n">
        <v>12.2373</v>
      </c>
      <c r="D1220" s="1" t="n">
        <f aca="false">LN(B1220/B1219)</f>
        <v>-0.000160401921729848</v>
      </c>
      <c r="E1220" s="1" t="n">
        <f aca="false">LN(C1220/C1219)</f>
        <v>2.45155121916193E-005</v>
      </c>
      <c r="F1220" s="1" t="n">
        <f aca="false">B1220/B1219-1</f>
        <v>-0.000160389058029398</v>
      </c>
      <c r="G1220" s="1" t="n">
        <f aca="false">C1220/C1219-1</f>
        <v>2.4515812699244E-005</v>
      </c>
    </row>
    <row r="1221" customFormat="false" ht="15" hidden="false" customHeight="false" outlineLevel="0" collapsed="false">
      <c r="A1221" s="1" t="s">
        <v>1228</v>
      </c>
      <c r="B1221" s="5" t="n">
        <v>34.7023</v>
      </c>
      <c r="C1221" s="5" t="n">
        <v>12.2374</v>
      </c>
      <c r="D1221" s="1" t="n">
        <f aca="false">LN(B1221/B1220)</f>
        <v>-0.00595303129371216</v>
      </c>
      <c r="E1221" s="1" t="n">
        <f aca="false">LN(C1221/C1220)</f>
        <v>8.17170384109366E-006</v>
      </c>
      <c r="F1221" s="1" t="n">
        <f aca="false">B1221/B1220-1</f>
        <v>-0.00593534711181776</v>
      </c>
      <c r="G1221" s="1" t="n">
        <f aca="false">C1221/C1220-1</f>
        <v>8.17173722955644E-006</v>
      </c>
    </row>
    <row r="1222" customFormat="false" ht="15" hidden="false" customHeight="false" outlineLevel="0" collapsed="false">
      <c r="A1222" s="1" t="s">
        <v>1229</v>
      </c>
      <c r="B1222" s="5" t="n">
        <v>35.0636</v>
      </c>
      <c r="C1222" s="5" t="n">
        <v>12.2377</v>
      </c>
      <c r="D1222" s="1" t="n">
        <f aca="false">LN(B1222/B1221)</f>
        <v>0.0103575881628464</v>
      </c>
      <c r="E1222" s="1" t="n">
        <f aca="false">LN(C1222/C1221)</f>
        <v>2.45147108707145E-005</v>
      </c>
      <c r="F1222" s="1" t="n">
        <f aca="false">B1222/B1221-1</f>
        <v>0.0104114136526974</v>
      </c>
      <c r="G1222" s="1" t="n">
        <f aca="false">C1222/C1221-1</f>
        <v>2.45150113586945E-005</v>
      </c>
    </row>
    <row r="1223" customFormat="false" ht="15" hidden="false" customHeight="false" outlineLevel="0" collapsed="false">
      <c r="A1223" s="1" t="s">
        <v>1230</v>
      </c>
      <c r="B1223" s="5" t="n">
        <v>35.1392</v>
      </c>
      <c r="C1223" s="5" t="n">
        <v>12.238</v>
      </c>
      <c r="D1223" s="1" t="n">
        <f aca="false">LN(B1223/B1222)</f>
        <v>0.00215376108143056</v>
      </c>
      <c r="E1223" s="1" t="n">
        <f aca="false">LN(C1223/C1222)</f>
        <v>2.4514109914174E-005</v>
      </c>
      <c r="F1223" s="1" t="n">
        <f aca="false">B1223/B1222-1</f>
        <v>0.00215608209082929</v>
      </c>
      <c r="G1223" s="1" t="n">
        <f aca="false">C1223/C1222-1</f>
        <v>2.45144103874217E-005</v>
      </c>
    </row>
    <row r="1224" customFormat="false" ht="15" hidden="false" customHeight="false" outlineLevel="0" collapsed="false">
      <c r="A1224" s="1" t="s">
        <v>1231</v>
      </c>
      <c r="B1224" s="5" t="n">
        <v>34.8379</v>
      </c>
      <c r="C1224" s="5" t="n">
        <v>12.2385</v>
      </c>
      <c r="D1224" s="1" t="n">
        <f aca="false">LN(B1224/B1223)</f>
        <v>-0.00861144179894901</v>
      </c>
      <c r="E1224" s="1" t="n">
        <f aca="false">LN(C1224/C1223)</f>
        <v>4.08555144789034E-005</v>
      </c>
      <c r="F1224" s="1" t="n">
        <f aca="false">B1224/B1223-1</f>
        <v>-0.00857446953829355</v>
      </c>
      <c r="G1224" s="1" t="n">
        <f aca="false">C1224/C1223-1</f>
        <v>4.0856349076801E-005</v>
      </c>
    </row>
    <row r="1225" customFormat="false" ht="15" hidden="false" customHeight="false" outlineLevel="0" collapsed="false">
      <c r="A1225" s="1" t="s">
        <v>1232</v>
      </c>
      <c r="B1225" s="5" t="n">
        <v>34.5307</v>
      </c>
      <c r="C1225" s="5" t="n">
        <v>12.2388</v>
      </c>
      <c r="D1225" s="1" t="n">
        <f aca="false">LN(B1225/B1224)</f>
        <v>-0.00885709119883694</v>
      </c>
      <c r="E1225" s="1" t="n">
        <f aca="false">LN(C1225/C1224)</f>
        <v>2.45125075081672E-005</v>
      </c>
      <c r="F1225" s="1" t="n">
        <f aca="false">B1225/B1224-1</f>
        <v>-0.00881798271422773</v>
      </c>
      <c r="G1225" s="1" t="n">
        <f aca="false">C1225/C1224-1</f>
        <v>2.45128079421342E-005</v>
      </c>
    </row>
    <row r="1226" customFormat="false" ht="15" hidden="false" customHeight="false" outlineLevel="0" collapsed="false">
      <c r="A1226" s="1" t="s">
        <v>1233</v>
      </c>
      <c r="B1226" s="5" t="n">
        <v>34.5637</v>
      </c>
      <c r="C1226" s="5" t="n">
        <v>12.2388</v>
      </c>
      <c r="D1226" s="1" t="n">
        <f aca="false">LN(B1226/B1225)</f>
        <v>0.000955214967036161</v>
      </c>
      <c r="E1226" s="1" t="n">
        <f aca="false">LN(C1226/C1225)</f>
        <v>0</v>
      </c>
      <c r="F1226" s="1" t="n">
        <f aca="false">B1226/B1225-1</f>
        <v>0.00095567133014951</v>
      </c>
      <c r="G1226" s="1" t="n">
        <f aca="false">C1226/C1225-1</f>
        <v>0</v>
      </c>
    </row>
    <row r="1227" customFormat="false" ht="15" hidden="false" customHeight="false" outlineLevel="0" collapsed="false">
      <c r="A1227" s="1" t="s">
        <v>1234</v>
      </c>
      <c r="B1227" s="5" t="n">
        <v>34.548</v>
      </c>
      <c r="C1227" s="5" t="n">
        <v>12.2393</v>
      </c>
      <c r="D1227" s="1" t="n">
        <f aca="false">LN(B1227/B1226)</f>
        <v>-0.000454336972468189</v>
      </c>
      <c r="E1227" s="1" t="n">
        <f aca="false">LN(C1227/C1226)</f>
        <v>4.08528439764971E-005</v>
      </c>
      <c r="F1227" s="1" t="n">
        <f aca="false">B1227/B1226-1</f>
        <v>-0.000454233777055002</v>
      </c>
      <c r="G1227" s="1" t="n">
        <f aca="false">C1227/C1226-1</f>
        <v>4.08536784652913E-005</v>
      </c>
    </row>
    <row r="1228" customFormat="false" ht="15" hidden="false" customHeight="false" outlineLevel="0" collapsed="false">
      <c r="A1228" s="1" t="s">
        <v>1235</v>
      </c>
      <c r="B1228" s="5" t="n">
        <v>34.4488</v>
      </c>
      <c r="C1228" s="5" t="n">
        <v>12.2396</v>
      </c>
      <c r="D1228" s="1" t="n">
        <f aca="false">LN(B1228/B1227)</f>
        <v>-0.0028754976564947</v>
      </c>
      <c r="E1228" s="1" t="n">
        <f aca="false">LN(C1228/C1227)</f>
        <v>2.45109053115408E-005</v>
      </c>
      <c r="F1228" s="1" t="n">
        <f aca="false">B1228/B1227-1</f>
        <v>-0.00287136737293048</v>
      </c>
      <c r="G1228" s="1" t="n">
        <f aca="false">C1228/C1227-1</f>
        <v>2.45112057062347E-005</v>
      </c>
    </row>
    <row r="1229" customFormat="false" ht="15" hidden="false" customHeight="false" outlineLevel="0" collapsed="false">
      <c r="A1229" s="1" t="s">
        <v>1236</v>
      </c>
      <c r="B1229" s="5" t="n">
        <v>33.3138</v>
      </c>
      <c r="C1229" s="5" t="n">
        <v>12.2403</v>
      </c>
      <c r="D1229" s="1" t="n">
        <f aca="false">LN(B1229/B1228)</f>
        <v>-0.0335024382066689</v>
      </c>
      <c r="E1229" s="1" t="n">
        <f aca="false">LN(C1229/C1228)</f>
        <v>5.71897761175486E-005</v>
      </c>
      <c r="F1229" s="1" t="n">
        <f aca="false">B1229/B1228-1</f>
        <v>-0.0329474466454563</v>
      </c>
      <c r="G1229" s="1" t="n">
        <f aca="false">C1229/C1228-1</f>
        <v>5.719141148397E-005</v>
      </c>
    </row>
    <row r="1230" customFormat="false" ht="15" hidden="false" customHeight="false" outlineLevel="0" collapsed="false">
      <c r="A1230" s="1" t="s">
        <v>1237</v>
      </c>
      <c r="B1230" s="5" t="n">
        <v>33.068</v>
      </c>
      <c r="C1230" s="5" t="n">
        <v>12.2405</v>
      </c>
      <c r="D1230" s="1" t="n">
        <f aca="false">LN(B1230/B1229)</f>
        <v>-0.00740567816444635</v>
      </c>
      <c r="E1230" s="1" t="n">
        <f aca="false">LN(C1230/C1229)</f>
        <v>1.63393353163056E-005</v>
      </c>
      <c r="F1230" s="1" t="n">
        <f aca="false">B1230/B1229-1</f>
        <v>-0.00737832369768687</v>
      </c>
      <c r="G1230" s="1" t="n">
        <f aca="false">C1230/C1229-1</f>
        <v>1.6339468803972E-005</v>
      </c>
    </row>
    <row r="1231" customFormat="false" ht="15" hidden="false" customHeight="false" outlineLevel="0" collapsed="false">
      <c r="A1231" s="1" t="s">
        <v>1238</v>
      </c>
      <c r="B1231" s="5" t="n">
        <v>33.3806</v>
      </c>
      <c r="C1231" s="5" t="n">
        <v>12.2408</v>
      </c>
      <c r="D1231" s="1" t="n">
        <f aca="false">LN(B1231/B1230)</f>
        <v>0.00940884551694519</v>
      </c>
      <c r="E1231" s="1" t="n">
        <f aca="false">LN(C1231/C1230)</f>
        <v>2.45085024090505E-005</v>
      </c>
      <c r="F1231" s="1" t="n">
        <f aca="false">B1231/B1230-1</f>
        <v>0.00945324785290924</v>
      </c>
      <c r="G1231" s="1" t="n">
        <f aca="false">C1231/C1230-1</f>
        <v>2.45088027448492E-005</v>
      </c>
    </row>
    <row r="1232" customFormat="false" ht="15" hidden="false" customHeight="false" outlineLevel="0" collapsed="false">
      <c r="A1232" s="1" t="s">
        <v>1239</v>
      </c>
      <c r="B1232" s="5" t="n">
        <v>33.329</v>
      </c>
      <c r="C1232" s="5" t="n">
        <v>12.2411</v>
      </c>
      <c r="D1232" s="1" t="n">
        <f aca="false">LN(B1232/B1231)</f>
        <v>-0.00154700403812503</v>
      </c>
      <c r="E1232" s="1" t="n">
        <f aca="false">LN(C1232/C1231)</f>
        <v>2.4507901757144E-005</v>
      </c>
      <c r="F1232" s="1" t="n">
        <f aca="false">B1232/B1231-1</f>
        <v>-0.00154580804419335</v>
      </c>
      <c r="G1232" s="1" t="n">
        <f aca="false">C1232/C1231-1</f>
        <v>2.45082020782217E-005</v>
      </c>
    </row>
    <row r="1233" customFormat="false" ht="15" hidden="false" customHeight="false" outlineLevel="0" collapsed="false">
      <c r="A1233" s="1" t="s">
        <v>1240</v>
      </c>
      <c r="B1233" s="5" t="n">
        <v>33.1126</v>
      </c>
      <c r="C1233" s="5" t="n">
        <v>12.2413</v>
      </c>
      <c r="D1233" s="1" t="n">
        <f aca="false">LN(B1233/B1232)</f>
        <v>-0.00651401426807136</v>
      </c>
      <c r="E1233" s="1" t="n">
        <f aca="false">LN(C1233/C1232)</f>
        <v>1.63382674906055E-005</v>
      </c>
      <c r="F1233" s="1" t="n">
        <f aca="false">B1233/B1232-1</f>
        <v>-0.00649284406972905</v>
      </c>
      <c r="G1233" s="1" t="n">
        <f aca="false">C1233/C1232-1</f>
        <v>1.63384009608247E-005</v>
      </c>
    </row>
    <row r="1234" customFormat="false" ht="15" hidden="false" customHeight="false" outlineLevel="0" collapsed="false">
      <c r="A1234" s="1" t="s">
        <v>1241</v>
      </c>
      <c r="B1234" s="5" t="n">
        <v>32.7112</v>
      </c>
      <c r="C1234" s="5" t="n">
        <v>12.2422</v>
      </c>
      <c r="D1234" s="1" t="n">
        <f aca="false">LN(B1234/B1233)</f>
        <v>-0.0121963476950639</v>
      </c>
      <c r="E1234" s="1" t="n">
        <f aca="false">LN(C1234/C1233)</f>
        <v>7.35189005169962E-005</v>
      </c>
      <c r="F1234" s="1" t="n">
        <f aca="false">B1234/B1233-1</f>
        <v>-0.0121222736964177</v>
      </c>
      <c r="G1234" s="1" t="n">
        <f aca="false">C1234/C1233-1</f>
        <v>7.35216030975927E-005</v>
      </c>
    </row>
    <row r="1235" customFormat="false" ht="15" hidden="false" customHeight="false" outlineLevel="0" collapsed="false">
      <c r="A1235" s="1" t="s">
        <v>1242</v>
      </c>
      <c r="B1235" s="5" t="n">
        <v>33.294</v>
      </c>
      <c r="C1235" s="5" t="n">
        <v>12.2425</v>
      </c>
      <c r="D1235" s="1" t="n">
        <f aca="false">LN(B1235/B1234)</f>
        <v>0.0176596736657051</v>
      </c>
      <c r="E1235" s="1" t="n">
        <f aca="false">LN(C1235/C1234)</f>
        <v>2.45050991037736E-005</v>
      </c>
      <c r="F1235" s="1" t="n">
        <f aca="false">B1235/B1234-1</f>
        <v>0.0178165276724791</v>
      </c>
      <c r="G1235" s="1" t="n">
        <f aca="false">C1235/C1234-1</f>
        <v>2.45053993561672E-005</v>
      </c>
    </row>
    <row r="1236" customFormat="false" ht="15" hidden="false" customHeight="false" outlineLevel="0" collapsed="false">
      <c r="A1236" s="1" t="s">
        <v>1243</v>
      </c>
      <c r="B1236" s="5" t="n">
        <v>33.5838</v>
      </c>
      <c r="C1236" s="5" t="n">
        <v>12.2433</v>
      </c>
      <c r="D1236" s="1" t="n">
        <f aca="false">LN(B1236/B1235)</f>
        <v>0.00866660727195579</v>
      </c>
      <c r="E1236" s="1" t="n">
        <f aca="false">LN(C1236/C1235)</f>
        <v>6.53439953183857E-005</v>
      </c>
      <c r="F1236" s="1" t="n">
        <f aca="false">B1236/B1235-1</f>
        <v>0.00870427103982707</v>
      </c>
      <c r="G1236" s="1" t="n">
        <f aca="false">C1236/C1235-1</f>
        <v>6.53461302837499E-005</v>
      </c>
    </row>
    <row r="1237" customFormat="false" ht="15" hidden="false" customHeight="false" outlineLevel="0" collapsed="false">
      <c r="A1237" s="1" t="s">
        <v>1244</v>
      </c>
      <c r="B1237" s="5" t="n">
        <v>33.5557</v>
      </c>
      <c r="C1237" s="5" t="n">
        <v>12.2436</v>
      </c>
      <c r="D1237" s="1" t="n">
        <f aca="false">LN(B1237/B1236)</f>
        <v>-0.000837063178627811</v>
      </c>
      <c r="E1237" s="1" t="n">
        <f aca="false">LN(C1237/C1236)</f>
        <v>2.45028974688919E-005</v>
      </c>
      <c r="F1237" s="1" t="n">
        <f aca="false">B1237/B1236-1</f>
        <v>-0.000836712938976358</v>
      </c>
      <c r="G1237" s="1" t="n">
        <f aca="false">C1237/C1236-1</f>
        <v>2.4503197667336E-005</v>
      </c>
    </row>
    <row r="1238" customFormat="false" ht="15" hidden="false" customHeight="false" outlineLevel="0" collapsed="false">
      <c r="A1238" s="1" t="s">
        <v>1245</v>
      </c>
      <c r="B1238" s="5" t="n">
        <v>33.5182</v>
      </c>
      <c r="C1238" s="5" t="n">
        <v>12.2442</v>
      </c>
      <c r="D1238" s="1" t="n">
        <f aca="false">LN(B1238/B1237)</f>
        <v>-0.0011181697771324</v>
      </c>
      <c r="E1238" s="1" t="n">
        <f aca="false">LN(C1238/C1237)</f>
        <v>4.90039938352141E-005</v>
      </c>
      <c r="F1238" s="1" t="n">
        <f aca="false">B1238/B1237-1</f>
        <v>-0.00111754485825066</v>
      </c>
      <c r="G1238" s="1" t="n">
        <f aca="false">C1238/C1237-1</f>
        <v>4.90051945505332E-005</v>
      </c>
    </row>
    <row r="1239" customFormat="false" ht="15" hidden="false" customHeight="false" outlineLevel="0" collapsed="false">
      <c r="A1239" s="1" t="s">
        <v>1246</v>
      </c>
      <c r="B1239" s="5" t="n">
        <v>33.2385</v>
      </c>
      <c r="C1239" s="5" t="n">
        <v>12.2449</v>
      </c>
      <c r="D1239" s="1" t="n">
        <f aca="false">LN(B1239/B1238)</f>
        <v>-0.00837973227278221</v>
      </c>
      <c r="E1239" s="1" t="n">
        <f aca="false">LN(C1239/C1238)</f>
        <v>5.7168291214529E-005</v>
      </c>
      <c r="F1239" s="1" t="n">
        <f aca="false">B1239/B1238-1</f>
        <v>-0.00834472018187127</v>
      </c>
      <c r="G1239" s="1" t="n">
        <f aca="false">C1239/C1238-1</f>
        <v>5.71699253524294E-005</v>
      </c>
    </row>
    <row r="1240" customFormat="false" ht="15" hidden="false" customHeight="false" outlineLevel="0" collapsed="false">
      <c r="A1240" s="1" t="s">
        <v>1247</v>
      </c>
      <c r="B1240" s="5" t="n">
        <v>33.6266</v>
      </c>
      <c r="C1240" s="5" t="n">
        <v>12.2451</v>
      </c>
      <c r="D1240" s="1" t="n">
        <f aca="false">LN(B1240/B1239)</f>
        <v>0.0116085778178279</v>
      </c>
      <c r="E1240" s="1" t="n">
        <f aca="false">LN(C1240/C1239)</f>
        <v>1.63331972237371E-005</v>
      </c>
      <c r="F1240" s="1" t="n">
        <f aca="false">B1240/B1239-1</f>
        <v>0.0116762188426072</v>
      </c>
      <c r="G1240" s="1" t="n">
        <f aca="false">C1240/C1239-1</f>
        <v>1.63333306111291E-005</v>
      </c>
    </row>
    <row r="1241" customFormat="false" ht="15" hidden="false" customHeight="false" outlineLevel="0" collapsed="false">
      <c r="A1241" s="1" t="s">
        <v>1248</v>
      </c>
      <c r="B1241" s="5" t="n">
        <v>33.433</v>
      </c>
      <c r="C1241" s="5" t="n">
        <v>12.2455</v>
      </c>
      <c r="D1241" s="1" t="n">
        <f aca="false">LN(B1241/B1240)</f>
        <v>-0.00577398427271267</v>
      </c>
      <c r="E1241" s="1" t="n">
        <f aca="false">LN(C1241/C1240)</f>
        <v>3.2665594149166E-005</v>
      </c>
      <c r="F1241" s="1" t="n">
        <f aca="false">B1241/B1240-1</f>
        <v>-0.00575734686230556</v>
      </c>
      <c r="G1241" s="1" t="n">
        <f aca="false">C1241/C1240-1</f>
        <v>3.26661276754958E-005</v>
      </c>
    </row>
    <row r="1242" customFormat="false" ht="15" hidden="false" customHeight="false" outlineLevel="0" collapsed="false">
      <c r="A1242" s="1" t="s">
        <v>1249</v>
      </c>
      <c r="B1242" s="5" t="n">
        <v>33.2806</v>
      </c>
      <c r="C1242" s="5" t="n">
        <v>12.2457</v>
      </c>
      <c r="D1242" s="1" t="n">
        <f aca="false">LN(B1242/B1241)</f>
        <v>-0.00456879152370373</v>
      </c>
      <c r="E1242" s="1" t="n">
        <f aca="false">LN(C1242/C1241)</f>
        <v>1.63323969429768E-005</v>
      </c>
      <c r="F1242" s="1" t="n">
        <f aca="false">B1242/B1241-1</f>
        <v>-0.00455837047228791</v>
      </c>
      <c r="G1242" s="1" t="n">
        <f aca="false">C1242/C1241-1</f>
        <v>1.63325303172979E-005</v>
      </c>
    </row>
    <row r="1243" customFormat="false" ht="15" hidden="false" customHeight="false" outlineLevel="0" collapsed="false">
      <c r="A1243" s="1" t="s">
        <v>1250</v>
      </c>
      <c r="B1243" s="5" t="n">
        <v>33.3812</v>
      </c>
      <c r="C1243" s="5" t="n">
        <v>12.2464</v>
      </c>
      <c r="D1243" s="1" t="n">
        <f aca="false">LN(B1243/B1242)</f>
        <v>0.00301822262133252</v>
      </c>
      <c r="E1243" s="1" t="n">
        <f aca="false">LN(C1243/C1242)</f>
        <v>5.71612887576514E-005</v>
      </c>
      <c r="F1243" s="1" t="n">
        <f aca="false">B1243/B1242-1</f>
        <v>0.00302278204118922</v>
      </c>
      <c r="G1243" s="1" t="n">
        <f aca="false">C1243/C1242-1</f>
        <v>5.71629224952464E-005</v>
      </c>
    </row>
    <row r="1244" customFormat="false" ht="15" hidden="false" customHeight="false" outlineLevel="0" collapsed="false">
      <c r="A1244" s="1" t="s">
        <v>1251</v>
      </c>
      <c r="B1244" s="5" t="n">
        <v>33.0557</v>
      </c>
      <c r="C1244" s="5" t="n">
        <v>12.2467</v>
      </c>
      <c r="D1244" s="1" t="n">
        <f aca="false">LN(B1244/B1243)</f>
        <v>-0.00979884987015945</v>
      </c>
      <c r="E1244" s="1" t="n">
        <f aca="false">LN(C1244/C1243)</f>
        <v>2.44966949888897E-005</v>
      </c>
      <c r="F1244" s="1" t="n">
        <f aca="false">B1244/B1243-1</f>
        <v>-0.00975099756749298</v>
      </c>
      <c r="G1244" s="1" t="n">
        <f aca="false">C1244/C1243-1</f>
        <v>2.44969950353724E-005</v>
      </c>
    </row>
    <row r="1245" customFormat="false" ht="15" hidden="false" customHeight="false" outlineLevel="0" collapsed="false">
      <c r="A1245" s="1" t="s">
        <v>1252</v>
      </c>
      <c r="B1245" s="5" t="n">
        <v>32.9661</v>
      </c>
      <c r="C1245" s="5" t="n">
        <v>12.2466</v>
      </c>
      <c r="D1245" s="1" t="n">
        <f aca="false">LN(B1245/B1244)</f>
        <v>-0.00271425665487291</v>
      </c>
      <c r="E1245" s="1" t="n">
        <f aca="false">LN(C1245/C1244)</f>
        <v>-8.16549831998101E-006</v>
      </c>
      <c r="F1245" s="1" t="n">
        <f aca="false">B1245/B1244-1</f>
        <v>-0.00271057639075878</v>
      </c>
      <c r="G1245" s="1" t="n">
        <f aca="false">C1245/C1244-1</f>
        <v>-8.16546498239035E-006</v>
      </c>
    </row>
    <row r="1246" customFormat="false" ht="15" hidden="false" customHeight="false" outlineLevel="0" collapsed="false">
      <c r="A1246" s="1" t="s">
        <v>1253</v>
      </c>
      <c r="B1246" s="5" t="n">
        <v>32.5977</v>
      </c>
      <c r="C1246" s="5" t="n">
        <v>12.2468</v>
      </c>
      <c r="D1246" s="1" t="n">
        <f aca="false">LN(B1246/B1245)</f>
        <v>-0.011238026996441</v>
      </c>
      <c r="E1246" s="1" t="n">
        <f aca="false">LN(C1246/C1245)</f>
        <v>1.63309299650819E-005</v>
      </c>
      <c r="F1246" s="1" t="n">
        <f aca="false">B1246/B1245-1</f>
        <v>-0.0111751162557898</v>
      </c>
      <c r="G1246" s="1" t="n">
        <f aca="false">C1246/C1245-1</f>
        <v>1.63310633154445E-005</v>
      </c>
    </row>
    <row r="1247" customFormat="false" ht="15" hidden="false" customHeight="false" outlineLevel="0" collapsed="false">
      <c r="A1247" s="1" t="s">
        <v>1254</v>
      </c>
      <c r="B1247" s="5" t="n">
        <v>32.7114</v>
      </c>
      <c r="C1247" s="5" t="n">
        <v>12.2471</v>
      </c>
      <c r="D1247" s="1" t="n">
        <f aca="false">LN(B1247/B1246)</f>
        <v>0.00348190726474027</v>
      </c>
      <c r="E1247" s="1" t="n">
        <f aca="false">LN(C1247/C1246)</f>
        <v>2.44958948974007E-005</v>
      </c>
      <c r="F1247" s="1" t="n">
        <f aca="false">B1247/B1246-1</f>
        <v>0.00348797614555618</v>
      </c>
      <c r="G1247" s="1" t="n">
        <f aca="false">C1247/C1246-1</f>
        <v>2.44961949242839E-005</v>
      </c>
    </row>
    <row r="1248" customFormat="false" ht="15" hidden="false" customHeight="false" outlineLevel="0" collapsed="false">
      <c r="A1248" s="1" t="s">
        <v>1255</v>
      </c>
      <c r="B1248" s="5" t="n">
        <v>31.377</v>
      </c>
      <c r="C1248" s="5" t="n">
        <v>12.2474</v>
      </c>
      <c r="D1248" s="1" t="n">
        <f aca="false">LN(B1248/B1247)</f>
        <v>-0.0416485005610024</v>
      </c>
      <c r="E1248" s="1" t="n">
        <f aca="false">LN(C1248/C1247)</f>
        <v>2.44952948634216E-005</v>
      </c>
      <c r="F1248" s="1" t="n">
        <f aca="false">B1248/B1247-1</f>
        <v>-0.0407931179955612</v>
      </c>
      <c r="G1248" s="1" t="n">
        <f aca="false">C1248/C1247-1</f>
        <v>2.44955948756065E-005</v>
      </c>
    </row>
    <row r="1249" customFormat="false" ht="15" hidden="false" customHeight="false" outlineLevel="0" collapsed="false">
      <c r="A1249" s="1" t="s">
        <v>1256</v>
      </c>
      <c r="B1249" s="5" t="n">
        <v>31.5624</v>
      </c>
      <c r="C1249" s="5" t="n">
        <v>12.2477</v>
      </c>
      <c r="D1249" s="1" t="n">
        <f aca="false">LN(B1249/B1248)</f>
        <v>0.00589139827348695</v>
      </c>
      <c r="E1249" s="1" t="n">
        <f aca="false">LN(C1249/C1248)</f>
        <v>2.44946948585294E-005</v>
      </c>
      <c r="F1249" s="1" t="n">
        <f aca="false">B1249/B1248-1</f>
        <v>0.00590878669088824</v>
      </c>
      <c r="G1249" s="1" t="n">
        <f aca="false">C1249/C1248-1</f>
        <v>2.44949948560169E-005</v>
      </c>
    </row>
    <row r="1250" customFormat="false" ht="15" hidden="false" customHeight="false" outlineLevel="0" collapsed="false">
      <c r="A1250" s="1" t="s">
        <v>1257</v>
      </c>
      <c r="B1250" s="5" t="n">
        <v>29.9566</v>
      </c>
      <c r="C1250" s="5" t="n">
        <v>12.2479</v>
      </c>
      <c r="D1250" s="1" t="n">
        <f aca="false">LN(B1250/B1249)</f>
        <v>-0.0522168711507736</v>
      </c>
      <c r="E1250" s="1" t="n">
        <f aca="false">LN(C1250/C1249)</f>
        <v>1.63294632509695E-005</v>
      </c>
      <c r="F1250" s="1" t="n">
        <f aca="false">B1250/B1249-1</f>
        <v>-0.0508769928776012</v>
      </c>
      <c r="G1250" s="1" t="n">
        <f aca="false">C1250/C1249-1</f>
        <v>1.63295965773802E-005</v>
      </c>
    </row>
    <row r="1251" customFormat="false" ht="15" hidden="false" customHeight="false" outlineLevel="0" collapsed="false">
      <c r="A1251" s="1" t="s">
        <v>1258</v>
      </c>
      <c r="B1251" s="5" t="n">
        <v>30.6461</v>
      </c>
      <c r="C1251" s="5" t="n">
        <v>12.2482</v>
      </c>
      <c r="D1251" s="1" t="n">
        <f aca="false">LN(B1251/B1250)</f>
        <v>0.0227557436562963</v>
      </c>
      <c r="E1251" s="1" t="n">
        <f aca="false">LN(C1251/C1250)</f>
        <v>2.44936949160244E-005</v>
      </c>
      <c r="F1251" s="1" t="n">
        <f aca="false">B1251/B1250-1</f>
        <v>0.0230166307257833</v>
      </c>
      <c r="G1251" s="1" t="n">
        <f aca="false">C1251/C1250-1</f>
        <v>2.44939948890188E-005</v>
      </c>
    </row>
    <row r="1252" customFormat="false" ht="15" hidden="false" customHeight="false" outlineLevel="0" collapsed="false">
      <c r="A1252" s="1" t="s">
        <v>1259</v>
      </c>
      <c r="B1252" s="5" t="n">
        <v>29.3456</v>
      </c>
      <c r="C1252" s="5" t="n">
        <v>12.2484</v>
      </c>
      <c r="D1252" s="1" t="n">
        <f aca="false">LN(B1252/B1251)</f>
        <v>-0.0433627910046193</v>
      </c>
      <c r="E1252" s="1" t="n">
        <f aca="false">LN(C1252/C1251)</f>
        <v>1.63287966497557E-005</v>
      </c>
      <c r="F1252" s="1" t="n">
        <f aca="false">B1252/B1251-1</f>
        <v>-0.042436068537269</v>
      </c>
      <c r="G1252" s="1" t="n">
        <f aca="false">C1252/C1251-1</f>
        <v>1.63289299652813E-005</v>
      </c>
    </row>
    <row r="1253" customFormat="false" ht="15" hidden="false" customHeight="false" outlineLevel="0" collapsed="false">
      <c r="A1253" s="1" t="s">
        <v>1260</v>
      </c>
      <c r="B1253" s="5" t="n">
        <v>29.3487</v>
      </c>
      <c r="C1253" s="5" t="n">
        <v>12.2493</v>
      </c>
      <c r="D1253" s="1" t="n">
        <f aca="false">LN(B1253/B1252)</f>
        <v>0.000105632063177592</v>
      </c>
      <c r="E1253" s="1" t="n">
        <f aca="false">LN(C1253/C1252)</f>
        <v>7.34762855619265E-005</v>
      </c>
      <c r="F1253" s="1" t="n">
        <f aca="false">B1253/B1252-1</f>
        <v>0.000105637642440426</v>
      </c>
      <c r="G1253" s="1" t="n">
        <f aca="false">C1253/C1252-1</f>
        <v>7.34789850103113E-005</v>
      </c>
    </row>
    <row r="1254" customFormat="false" ht="15" hidden="false" customHeight="false" outlineLevel="0" collapsed="false">
      <c r="A1254" s="1" t="s">
        <v>1261</v>
      </c>
      <c r="B1254" s="5" t="n">
        <v>30.3331</v>
      </c>
      <c r="C1254" s="5" t="n">
        <v>12.2497</v>
      </c>
      <c r="D1254" s="1" t="n">
        <f aca="false">LN(B1254/B1253)</f>
        <v>0.0329912732336534</v>
      </c>
      <c r="E1254" s="1" t="n">
        <f aca="false">LN(C1254/C1253)</f>
        <v>3.26543940599589E-005</v>
      </c>
      <c r="F1254" s="1" t="n">
        <f aca="false">B1254/B1253-1</f>
        <v>0.0335415197265978</v>
      </c>
      <c r="G1254" s="1" t="n">
        <f aca="false">C1254/C1253-1</f>
        <v>3.26549272204879E-005</v>
      </c>
    </row>
    <row r="1255" customFormat="false" ht="15" hidden="false" customHeight="false" outlineLevel="0" collapsed="false">
      <c r="A1255" s="1" t="s">
        <v>1262</v>
      </c>
      <c r="B1255" s="5" t="n">
        <v>30.4297</v>
      </c>
      <c r="C1255" s="5" t="n">
        <v>12.2508</v>
      </c>
      <c r="D1255" s="1" t="n">
        <f aca="false">LN(B1255/B1254)</f>
        <v>0.00317957965674011</v>
      </c>
      <c r="E1255" s="1" t="n">
        <f aca="false">LN(C1255/C1254)</f>
        <v>8.97940858951564E-005</v>
      </c>
      <c r="F1255" s="1" t="n">
        <f aca="false">B1255/B1254-1</f>
        <v>0.00318463988184514</v>
      </c>
      <c r="G1255" s="1" t="n">
        <f aca="false">C1255/C1254-1</f>
        <v>8.9798117504758E-005</v>
      </c>
    </row>
    <row r="1256" customFormat="false" ht="15" hidden="false" customHeight="false" outlineLevel="0" collapsed="false">
      <c r="A1256" s="1" t="s">
        <v>1263</v>
      </c>
      <c r="B1256" s="5" t="n">
        <v>30.655</v>
      </c>
      <c r="C1256" s="5" t="n">
        <v>12.2504</v>
      </c>
      <c r="D1256" s="1" t="n">
        <f aca="false">LN(B1256/B1255)</f>
        <v>0.007376676046449</v>
      </c>
      <c r="E1256" s="1" t="n">
        <f aca="false">LN(C1256/C1255)</f>
        <v>-3.2651461971981E-005</v>
      </c>
      <c r="F1256" s="1" t="n">
        <f aca="false">B1256/B1255-1</f>
        <v>0.00740395074548883</v>
      </c>
      <c r="G1256" s="1" t="n">
        <f aca="false">C1256/C1255-1</f>
        <v>-3.26509289187982E-005</v>
      </c>
    </row>
    <row r="1257" customFormat="false" ht="15" hidden="false" customHeight="false" outlineLevel="0" collapsed="false">
      <c r="A1257" s="1" t="s">
        <v>1264</v>
      </c>
      <c r="B1257" s="5" t="n">
        <v>29.9912</v>
      </c>
      <c r="C1257" s="5" t="n">
        <v>12.2512</v>
      </c>
      <c r="D1257" s="1" t="n">
        <f aca="false">LN(B1257/B1256)</f>
        <v>-0.0218917759164666</v>
      </c>
      <c r="E1257" s="1" t="n">
        <f aca="false">LN(C1257/C1256)</f>
        <v>6.53018578610295E-005</v>
      </c>
      <c r="F1257" s="1" t="n">
        <f aca="false">B1257/B1256-1</f>
        <v>-0.0216538900668734</v>
      </c>
      <c r="G1257" s="1" t="n">
        <f aca="false">C1257/C1256-1</f>
        <v>6.53039900737618E-005</v>
      </c>
    </row>
    <row r="1258" customFormat="false" ht="15" hidden="false" customHeight="false" outlineLevel="0" collapsed="false">
      <c r="A1258" s="1" t="s">
        <v>1265</v>
      </c>
      <c r="B1258" s="5" t="n">
        <v>27.1833</v>
      </c>
      <c r="C1258" s="5" t="n">
        <v>12.2523</v>
      </c>
      <c r="D1258" s="1" t="n">
        <f aca="false">LN(B1258/B1257)</f>
        <v>-0.098301191141593</v>
      </c>
      <c r="E1258" s="1" t="n">
        <f aca="false">LN(C1258/C1257)</f>
        <v>8.97830922715253E-005</v>
      </c>
      <c r="F1258" s="1" t="n">
        <f aca="false">B1258/B1257-1</f>
        <v>-0.0936241297447251</v>
      </c>
      <c r="G1258" s="1" t="n">
        <f aca="false">C1258/C1257-1</f>
        <v>8.97871228939806E-005</v>
      </c>
    </row>
    <row r="1259" customFormat="false" ht="15" hidden="false" customHeight="false" outlineLevel="0" collapsed="false">
      <c r="A1259" s="1" t="s">
        <v>1266</v>
      </c>
      <c r="B1259" s="5" t="n">
        <v>27.5606</v>
      </c>
      <c r="C1259" s="5" t="n">
        <v>12.253</v>
      </c>
      <c r="D1259" s="1" t="n">
        <f aca="false">LN(B1259/B1258)</f>
        <v>0.0137844024340363</v>
      </c>
      <c r="E1259" s="1" t="n">
        <f aca="false">LN(C1259/C1258)</f>
        <v>5.71304983160158E-005</v>
      </c>
      <c r="F1259" s="1" t="n">
        <f aca="false">B1259/B1258-1</f>
        <v>0.0138798453462237</v>
      </c>
      <c r="G1259" s="1" t="n">
        <f aca="false">C1259/C1258-1</f>
        <v>5.71321302940131E-005</v>
      </c>
    </row>
    <row r="1260" customFormat="false" ht="15" hidden="false" customHeight="false" outlineLevel="0" collapsed="false">
      <c r="A1260" s="1" t="s">
        <v>1267</v>
      </c>
      <c r="B1260" s="5" t="n">
        <v>27.0391</v>
      </c>
      <c r="C1260" s="5" t="n">
        <v>12.2528</v>
      </c>
      <c r="D1260" s="1" t="n">
        <f aca="false">LN(B1260/B1259)</f>
        <v>-0.0191032499934587</v>
      </c>
      <c r="E1260" s="1" t="n">
        <f aca="false">LN(C1260/C1259)</f>
        <v>-1.63226664711137E-005</v>
      </c>
      <c r="F1260" s="1" t="n">
        <f aca="false">B1260/B1259-1</f>
        <v>-0.0189219392901461</v>
      </c>
      <c r="G1260" s="1" t="n">
        <f aca="false">C1260/C1259-1</f>
        <v>-1.63225332571182E-005</v>
      </c>
    </row>
    <row r="1261" customFormat="false" ht="15" hidden="false" customHeight="false" outlineLevel="0" collapsed="false">
      <c r="A1261" s="1" t="s">
        <v>1268</v>
      </c>
      <c r="B1261" s="5" t="n">
        <v>23.9238</v>
      </c>
      <c r="C1261" s="5" t="n">
        <v>12.2515</v>
      </c>
      <c r="D1261" s="1" t="n">
        <f aca="false">LN(B1261/B1260)</f>
        <v>-0.122410187255855</v>
      </c>
      <c r="E1261" s="1" t="n">
        <f aca="false">LN(C1261/C1260)</f>
        <v>-0.00010610382677487</v>
      </c>
      <c r="F1261" s="1" t="n">
        <f aca="false">B1261/B1260-1</f>
        <v>-0.115214633623161</v>
      </c>
      <c r="G1261" s="1" t="n">
        <f aca="false">C1261/C1260-1</f>
        <v>-0.000106098197962923</v>
      </c>
    </row>
    <row r="1262" customFormat="false" ht="15" hidden="false" customHeight="false" outlineLevel="0" collapsed="false">
      <c r="A1262" s="1" t="s">
        <v>1269</v>
      </c>
      <c r="B1262" s="5" t="n">
        <v>24.6534</v>
      </c>
      <c r="C1262" s="5" t="n">
        <v>12.2518</v>
      </c>
      <c r="D1262" s="1" t="n">
        <f aca="false">LN(B1262/B1261)</f>
        <v>0.0300410426702566</v>
      </c>
      <c r="E1262" s="1" t="n">
        <f aca="false">LN(C1262/C1261)</f>
        <v>2.448649773824E-005</v>
      </c>
      <c r="F1262" s="1" t="n">
        <f aca="false">B1262/B1261-1</f>
        <v>0.0304968274270809</v>
      </c>
      <c r="G1262" s="1" t="n">
        <f aca="false">C1262/C1261-1</f>
        <v>2.44867975349727E-005</v>
      </c>
    </row>
    <row r="1263" customFormat="false" ht="15" hidden="false" customHeight="false" outlineLevel="0" collapsed="false">
      <c r="A1263" s="1" t="s">
        <v>1270</v>
      </c>
      <c r="B1263" s="5" t="n">
        <v>22.7255</v>
      </c>
      <c r="C1263" s="5" t="n">
        <v>12.2512</v>
      </c>
      <c r="D1263" s="1" t="n">
        <f aca="false">LN(B1263/B1262)</f>
        <v>-0.0814271799898538</v>
      </c>
      <c r="E1263" s="1" t="n">
        <f aca="false">LN(C1263/C1262)</f>
        <v>-4.89735950796748E-005</v>
      </c>
      <c r="F1263" s="1" t="n">
        <f aca="false">B1263/B1262-1</f>
        <v>-0.0782001671169089</v>
      </c>
      <c r="G1263" s="1" t="n">
        <f aca="false">C1263/C1262-1</f>
        <v>-4.89723958927435E-005</v>
      </c>
    </row>
    <row r="1264" customFormat="false" ht="15" hidden="false" customHeight="false" outlineLevel="0" collapsed="false">
      <c r="A1264" s="1" t="s">
        <v>1271</v>
      </c>
      <c r="B1264" s="5" t="n">
        <v>22.5251</v>
      </c>
      <c r="C1264" s="5" t="n">
        <v>12.2507</v>
      </c>
      <c r="D1264" s="1" t="n">
        <f aca="false">LN(B1264/B1263)</f>
        <v>-0.00885739902551706</v>
      </c>
      <c r="E1264" s="1" t="n">
        <f aca="false">LN(C1264/C1263)</f>
        <v>-4.08131614340671E-005</v>
      </c>
      <c r="F1264" s="1" t="n">
        <f aca="false">B1264/B1263-1</f>
        <v>-0.00881828782645056</v>
      </c>
      <c r="G1264" s="1" t="n">
        <f aca="false">C1264/C1263-1</f>
        <v>-4.08123285883244E-005</v>
      </c>
    </row>
    <row r="1265" customFormat="false" ht="15" hidden="false" customHeight="false" outlineLevel="0" collapsed="false">
      <c r="A1265" s="1" t="s">
        <v>1272</v>
      </c>
      <c r="B1265" s="5" t="n">
        <v>22.8472</v>
      </c>
      <c r="C1265" s="5" t="n">
        <v>12.254</v>
      </c>
      <c r="D1265" s="1" t="n">
        <f aca="false">LN(B1265/B1264)</f>
        <v>0.0141983285423665</v>
      </c>
      <c r="E1265" s="1" t="n">
        <f aca="false">LN(C1265/C1264)</f>
        <v>0.000269336088174883</v>
      </c>
      <c r="F1265" s="1" t="n">
        <f aca="false">B1265/B1264-1</f>
        <v>0.0142996035533696</v>
      </c>
      <c r="G1265" s="1" t="n">
        <f aca="false">C1265/C1264-1</f>
        <v>0.000269372362395659</v>
      </c>
    </row>
    <row r="1266" customFormat="false" ht="15" hidden="false" customHeight="false" outlineLevel="0" collapsed="false">
      <c r="A1266" s="1" t="s">
        <v>1273</v>
      </c>
      <c r="B1266" s="5" t="n">
        <v>22.819</v>
      </c>
      <c r="C1266" s="5" t="n">
        <v>12.2516</v>
      </c>
      <c r="D1266" s="1" t="n">
        <f aca="false">LN(B1266/B1265)</f>
        <v>-0.00123504927428013</v>
      </c>
      <c r="E1266" s="1" t="n">
        <f aca="false">LN(C1266/C1265)</f>
        <v>-0.000195873596865439</v>
      </c>
      <c r="F1266" s="1" t="n">
        <f aca="false">B1266/B1265-1</f>
        <v>-0.00123428691480798</v>
      </c>
      <c r="G1266" s="1" t="n">
        <f aca="false">C1266/C1265-1</f>
        <v>-0.0001958544148849</v>
      </c>
    </row>
    <row r="1267" customFormat="false" ht="15" hidden="false" customHeight="false" outlineLevel="0" collapsed="false">
      <c r="A1267" s="1" t="s">
        <v>1274</v>
      </c>
      <c r="B1267" s="5" t="n">
        <v>24.8952</v>
      </c>
      <c r="C1267" s="5" t="n">
        <v>12.2478</v>
      </c>
      <c r="D1267" s="1" t="n">
        <f aca="false">LN(B1267/B1266)</f>
        <v>0.087081491539304</v>
      </c>
      <c r="E1267" s="1" t="n">
        <f aca="false">LN(C1267/C1266)</f>
        <v>-0.000310211681141021</v>
      </c>
      <c r="F1267" s="1" t="n">
        <f aca="false">B1267/B1266-1</f>
        <v>0.0909855821902801</v>
      </c>
      <c r="G1267" s="1" t="n">
        <f aca="false">C1267/C1266-1</f>
        <v>-0.000310163570472422</v>
      </c>
    </row>
    <row r="1268" customFormat="false" ht="15" hidden="false" customHeight="false" outlineLevel="0" collapsed="false">
      <c r="A1268" s="1" t="s">
        <v>1275</v>
      </c>
      <c r="B1268" s="5" t="n">
        <v>22.4262</v>
      </c>
      <c r="C1268" s="5" t="n">
        <v>12.2552</v>
      </c>
      <c r="D1268" s="1" t="n">
        <f aca="false">LN(B1268/B1267)</f>
        <v>-0.104445095584746</v>
      </c>
      <c r="E1268" s="1" t="n">
        <f aca="false">LN(C1268/C1267)</f>
        <v>0.000604007690892933</v>
      </c>
      <c r="F1268" s="1" t="n">
        <f aca="false">B1268/B1267-1</f>
        <v>-0.099175744721874</v>
      </c>
      <c r="G1268" s="1" t="n">
        <f aca="false">C1268/C1267-1</f>
        <v>0.000604190140270022</v>
      </c>
    </row>
    <row r="1269" customFormat="false" ht="15" hidden="false" customHeight="false" outlineLevel="0" collapsed="false">
      <c r="A1269" s="1" t="s">
        <v>1276</v>
      </c>
      <c r="B1269" s="5" t="n">
        <v>22.7863</v>
      </c>
      <c r="C1269" s="5" t="n">
        <v>12.2594</v>
      </c>
      <c r="D1269" s="1" t="n">
        <f aca="false">LN(B1269/B1268)</f>
        <v>0.0159295599495181</v>
      </c>
      <c r="E1269" s="1" t="n">
        <f aca="false">LN(C1269/C1268)</f>
        <v>0.000342652953023238</v>
      </c>
      <c r="F1269" s="1" t="n">
        <f aca="false">B1269/B1268-1</f>
        <v>0.0160571117710535</v>
      </c>
      <c r="G1269" s="1" t="n">
        <f aca="false">C1269/C1268-1</f>
        <v>0.000342711665252127</v>
      </c>
    </row>
    <row r="1270" customFormat="false" ht="15" hidden="false" customHeight="false" outlineLevel="0" collapsed="false">
      <c r="A1270" s="1" t="s">
        <v>1277</v>
      </c>
      <c r="B1270" s="5" t="n">
        <v>23.9878</v>
      </c>
      <c r="C1270" s="5" t="n">
        <v>12.2583</v>
      </c>
      <c r="D1270" s="1" t="n">
        <f aca="false">LN(B1270/B1269)</f>
        <v>0.0513858896010584</v>
      </c>
      <c r="E1270" s="1" t="n">
        <f aca="false">LN(C1270/C1269)</f>
        <v>-8.97310922914446E-005</v>
      </c>
      <c r="F1270" s="1" t="n">
        <f aca="false">B1270/B1269-1</f>
        <v>0.0527290521058705</v>
      </c>
      <c r="G1270" s="1" t="n">
        <f aca="false">C1270/C1269-1</f>
        <v>-8.97270665773942E-005</v>
      </c>
    </row>
    <row r="1271" customFormat="false" ht="15" hidden="false" customHeight="false" outlineLevel="0" collapsed="false">
      <c r="A1271" s="1" t="s">
        <v>1278</v>
      </c>
      <c r="B1271" s="5" t="n">
        <v>24.2851</v>
      </c>
      <c r="C1271" s="5" t="n">
        <v>12.2589</v>
      </c>
      <c r="D1271" s="1" t="n">
        <f aca="false">LN(B1271/B1270)</f>
        <v>0.0123176257879779</v>
      </c>
      <c r="E1271" s="1" t="n">
        <f aca="false">LN(C1271/C1270)</f>
        <v>4.89452302970283E-005</v>
      </c>
      <c r="F1271" s="1" t="n">
        <f aca="false">B1271/B1270-1</f>
        <v>0.012393800181759</v>
      </c>
      <c r="G1271" s="1" t="n">
        <f aca="false">C1271/C1270-1</f>
        <v>4.89464281343555E-005</v>
      </c>
    </row>
    <row r="1272" customFormat="false" ht="15" hidden="false" customHeight="false" outlineLevel="0" collapsed="false">
      <c r="A1272" s="1" t="s">
        <v>1279</v>
      </c>
      <c r="B1272" s="5" t="n">
        <v>24.361</v>
      </c>
      <c r="C1272" s="5" t="n">
        <v>12.2546</v>
      </c>
      <c r="D1272" s="1" t="n">
        <f aca="false">LN(B1272/B1271)</f>
        <v>0.00312049934485108</v>
      </c>
      <c r="E1272" s="1" t="n">
        <f aca="false">LN(C1272/C1271)</f>
        <v>-0.000350827098872365</v>
      </c>
      <c r="F1272" s="1" t="n">
        <f aca="false">B1272/B1271-1</f>
        <v>0.00312537317120376</v>
      </c>
      <c r="G1272" s="1" t="n">
        <f aca="false">C1272/C1271-1</f>
        <v>-0.000350765566241695</v>
      </c>
    </row>
    <row r="1273" customFormat="false" ht="15" hidden="false" customHeight="false" outlineLevel="0" collapsed="false">
      <c r="A1273" s="1" t="s">
        <v>1280</v>
      </c>
      <c r="B1273" s="5" t="n">
        <v>24.0315</v>
      </c>
      <c r="C1273" s="5" t="n">
        <v>12.2554</v>
      </c>
      <c r="D1273" s="1" t="n">
        <f aca="false">LN(B1273/B1272)</f>
        <v>-0.0136180231295093</v>
      </c>
      <c r="E1273" s="1" t="n">
        <f aca="false">LN(C1273/C1272)</f>
        <v>6.52794777874394E-005</v>
      </c>
      <c r="F1273" s="1" t="n">
        <f aca="false">B1273/B1272-1</f>
        <v>-0.0135257173350848</v>
      </c>
      <c r="G1273" s="1" t="n">
        <f aca="false">C1273/C1272-1</f>
        <v>6.52816085389141E-005</v>
      </c>
    </row>
    <row r="1274" customFormat="false" ht="15" hidden="false" customHeight="false" outlineLevel="0" collapsed="false">
      <c r="A1274" s="1" t="s">
        <v>1281</v>
      </c>
      <c r="B1274" s="5" t="n">
        <v>24.9002</v>
      </c>
      <c r="C1274" s="5" t="n">
        <v>12.2543</v>
      </c>
      <c r="D1274" s="1" t="n">
        <f aca="false">LN(B1274/B1273)</f>
        <v>0.0355103657941771</v>
      </c>
      <c r="E1274" s="1" t="n">
        <f aca="false">LN(C1274/C1273)</f>
        <v>-8.97603806442325E-005</v>
      </c>
      <c r="F1274" s="1" t="n">
        <f aca="false">B1274/B1273-1</f>
        <v>0.0361483885733309</v>
      </c>
      <c r="G1274" s="1" t="n">
        <f aca="false">C1274/C1273-1</f>
        <v>-8.97563523017952E-005</v>
      </c>
    </row>
    <row r="1275" customFormat="false" ht="15" hidden="false" customHeight="false" outlineLevel="0" collapsed="false">
      <c r="A1275" s="1" t="s">
        <v>1282</v>
      </c>
      <c r="B1275" s="5" t="n">
        <v>24.374</v>
      </c>
      <c r="C1275" s="5" t="n">
        <v>12.2551</v>
      </c>
      <c r="D1275" s="1" t="n">
        <f aca="false">LN(B1275/B1274)</f>
        <v>-0.0213588451656081</v>
      </c>
      <c r="E1275" s="1" t="n">
        <f aca="false">LN(C1275/C1274)</f>
        <v>6.52810758553749E-005</v>
      </c>
      <c r="F1275" s="1" t="n">
        <f aca="false">B1275/B1274-1</f>
        <v>-0.0211323603826477</v>
      </c>
      <c r="G1275" s="1" t="n">
        <f aca="false">C1275/C1274-1</f>
        <v>6.52832067111753E-005</v>
      </c>
    </row>
    <row r="1276" customFormat="false" ht="15" hidden="false" customHeight="false" outlineLevel="0" collapsed="false">
      <c r="A1276" s="1" t="s">
        <v>1283</v>
      </c>
      <c r="B1276" s="5" t="n">
        <v>25.2527</v>
      </c>
      <c r="C1276" s="5" t="n">
        <v>12.2602</v>
      </c>
      <c r="D1276" s="1" t="n">
        <f aca="false">LN(B1276/B1275)</f>
        <v>0.0354160902964486</v>
      </c>
      <c r="E1276" s="1" t="n">
        <f aca="false">LN(C1276/C1275)</f>
        <v>0.000416066707204923</v>
      </c>
      <c r="F1276" s="1" t="n">
        <f aca="false">B1276/B1275-1</f>
        <v>0.0360507097727087</v>
      </c>
      <c r="G1276" s="1" t="n">
        <f aca="false">C1276/C1275-1</f>
        <v>0.000416153274962916</v>
      </c>
    </row>
    <row r="1277" customFormat="false" ht="15" hidden="false" customHeight="false" outlineLevel="0" collapsed="false">
      <c r="A1277" s="1" t="s">
        <v>1284</v>
      </c>
      <c r="B1277" s="5" t="n">
        <v>25.2185</v>
      </c>
      <c r="C1277" s="5" t="n">
        <v>12.2592</v>
      </c>
      <c r="D1277" s="1" t="n">
        <f aca="false">LN(B1277/B1276)</f>
        <v>-0.00135522853565745</v>
      </c>
      <c r="E1277" s="1" t="n">
        <f aca="false">LN(C1277/C1276)</f>
        <v>-8.1568064516542E-005</v>
      </c>
      <c r="F1277" s="1" t="n">
        <f aca="false">B1277/B1276-1</f>
        <v>-0.00135431062817049</v>
      </c>
      <c r="G1277" s="1" t="n">
        <f aca="false">C1277/C1276-1</f>
        <v>-8.15647379324158E-005</v>
      </c>
    </row>
    <row r="1278" customFormat="false" ht="15" hidden="false" customHeight="false" outlineLevel="0" collapsed="false">
      <c r="A1278" s="1" t="s">
        <v>1285</v>
      </c>
      <c r="B1278" s="5" t="n">
        <v>27.1108</v>
      </c>
      <c r="C1278" s="5" t="n">
        <v>12.2596</v>
      </c>
      <c r="D1278" s="1" t="n">
        <f aca="false">LN(B1278/B1277)</f>
        <v>0.0723543203192017</v>
      </c>
      <c r="E1278" s="1" t="n">
        <f aca="false">LN(C1278/C1277)</f>
        <v>3.2628024212877E-005</v>
      </c>
      <c r="F1278" s="1" t="n">
        <f aca="false">B1278/B1277-1</f>
        <v>0.0750361837539901</v>
      </c>
      <c r="G1278" s="1" t="n">
        <f aca="false">C1278/C1277-1</f>
        <v>3.26285565126483E-005</v>
      </c>
    </row>
    <row r="1279" customFormat="false" ht="15" hidden="false" customHeight="false" outlineLevel="0" collapsed="false">
      <c r="A1279" s="1" t="s">
        <v>1286</v>
      </c>
      <c r="B1279" s="5" t="n">
        <v>26.8016</v>
      </c>
      <c r="C1279" s="5" t="n">
        <v>12.259</v>
      </c>
      <c r="D1279" s="1" t="n">
        <f aca="false">LN(B1279/B1278)</f>
        <v>-0.0114705852540183</v>
      </c>
      <c r="E1279" s="1" t="n">
        <f aca="false">LN(C1279/C1278)</f>
        <v>-4.89424355485833E-005</v>
      </c>
      <c r="F1279" s="1" t="n">
        <f aca="false">B1279/B1278-1</f>
        <v>-0.0114050489103974</v>
      </c>
      <c r="G1279" s="1" t="n">
        <f aca="false">C1279/C1278-1</f>
        <v>-4.89412378871235E-005</v>
      </c>
    </row>
    <row r="1280" customFormat="false" ht="15" hidden="false" customHeight="false" outlineLevel="0" collapsed="false">
      <c r="A1280" s="1" t="s">
        <v>1287</v>
      </c>
      <c r="B1280" s="5" t="n">
        <v>26.9411</v>
      </c>
      <c r="C1280" s="5" t="n">
        <v>12.2588</v>
      </c>
      <c r="D1280" s="1" t="n">
        <f aca="false">LN(B1280/B1279)</f>
        <v>0.00519141439870774</v>
      </c>
      <c r="E1280" s="1" t="n">
        <f aca="false">LN(C1280/C1279)</f>
        <v>-1.63146774999343E-005</v>
      </c>
      <c r="F1280" s="1" t="n">
        <f aca="false">B1280/B1279-1</f>
        <v>0.00520491313951399</v>
      </c>
      <c r="G1280" s="1" t="n">
        <f aca="false">C1280/C1279-1</f>
        <v>-1.63145444163071E-005</v>
      </c>
    </row>
    <row r="1281" customFormat="false" ht="15" hidden="false" customHeight="false" outlineLevel="0" collapsed="false">
      <c r="A1281" s="1" t="s">
        <v>1288</v>
      </c>
      <c r="B1281" s="5" t="n">
        <v>27.3378</v>
      </c>
      <c r="C1281" s="5" t="n">
        <v>12.2579</v>
      </c>
      <c r="D1281" s="1" t="n">
        <f aca="false">LN(B1281/B1280)</f>
        <v>0.01461735825358</v>
      </c>
      <c r="E1281" s="1" t="n">
        <f aca="false">LN(C1281/C1280)</f>
        <v>-7.34193427668165E-005</v>
      </c>
      <c r="F1281" s="1" t="n">
        <f aca="false">B1281/B1280-1</f>
        <v>0.0147247142841236</v>
      </c>
      <c r="G1281" s="1" t="n">
        <f aca="false">C1281/C1280-1</f>
        <v>-7.34166476328291E-005</v>
      </c>
    </row>
    <row r="1282" customFormat="false" ht="15" hidden="false" customHeight="false" outlineLevel="0" collapsed="false">
      <c r="A1282" s="1" t="s">
        <v>1289</v>
      </c>
      <c r="B1282" s="5" t="n">
        <v>27.4727</v>
      </c>
      <c r="C1282" s="5" t="n">
        <v>12.258</v>
      </c>
      <c r="D1282" s="1" t="n">
        <f aca="false">LN(B1282/B1281)</f>
        <v>0.00492242444014995</v>
      </c>
      <c r="E1282" s="1" t="n">
        <f aca="false">LN(C1282/C1281)</f>
        <v>8.15797094959777E-006</v>
      </c>
      <c r="F1282" s="1" t="n">
        <f aca="false">B1282/B1281-1</f>
        <v>0.00493455947442723</v>
      </c>
      <c r="G1282" s="1" t="n">
        <f aca="false">C1282/C1281-1</f>
        <v>8.15800422593327E-006</v>
      </c>
    </row>
    <row r="1283" customFormat="false" ht="15" hidden="false" customHeight="false" outlineLevel="0" collapsed="false">
      <c r="A1283" s="1" t="s">
        <v>1290</v>
      </c>
      <c r="B1283" s="5" t="n">
        <v>27.8675</v>
      </c>
      <c r="C1283" s="5" t="n">
        <v>12.2588</v>
      </c>
      <c r="D1283" s="1" t="n">
        <f aca="false">LN(B1283/B1282)</f>
        <v>0.0142683509619185</v>
      </c>
      <c r="E1283" s="1" t="n">
        <f aca="false">LN(C1283/C1282)</f>
        <v>6.52613718172624E-005</v>
      </c>
      <c r="F1283" s="1" t="n">
        <f aca="false">B1283/B1282-1</f>
        <v>0.0143706297524451</v>
      </c>
      <c r="G1283" s="1" t="n">
        <f aca="false">C1283/C1282-1</f>
        <v>6.52635013869141E-005</v>
      </c>
    </row>
    <row r="1284" customFormat="false" ht="15" hidden="false" customHeight="false" outlineLevel="0" collapsed="false">
      <c r="A1284" s="1" t="s">
        <v>1291</v>
      </c>
      <c r="B1284" s="5" t="n">
        <v>27.3351</v>
      </c>
      <c r="C1284" s="5" t="n">
        <v>12.2596</v>
      </c>
      <c r="D1284" s="1" t="n">
        <f aca="false">LN(B1284/B1283)</f>
        <v>-0.019289544627853</v>
      </c>
      <c r="E1284" s="1" t="n">
        <f aca="false">LN(C1284/C1283)</f>
        <v>6.52571130485246E-005</v>
      </c>
      <c r="F1284" s="1" t="n">
        <f aca="false">B1284/B1283-1</f>
        <v>-0.0191046918453395</v>
      </c>
      <c r="G1284" s="1" t="n">
        <f aca="false">C1284/C1283-1</f>
        <v>6.52592423402432E-005</v>
      </c>
    </row>
    <row r="1285" customFormat="false" ht="15" hidden="false" customHeight="false" outlineLevel="0" collapsed="false">
      <c r="A1285" s="1" t="s">
        <v>1292</v>
      </c>
      <c r="B1285" s="5" t="n">
        <v>26.4767</v>
      </c>
      <c r="C1285" s="5" t="n">
        <v>12.2595</v>
      </c>
      <c r="D1285" s="1" t="n">
        <f aca="false">LN(B1285/B1284)</f>
        <v>-0.0319064897074875</v>
      </c>
      <c r="E1285" s="1" t="n">
        <f aca="false">LN(C1285/C1284)</f>
        <v>-8.15690624874908E-006</v>
      </c>
      <c r="F1285" s="1" t="n">
        <f aca="false">B1285/B1284-1</f>
        <v>-0.0314028483524845</v>
      </c>
      <c r="G1285" s="1" t="n">
        <f aca="false">C1285/C1284-1</f>
        <v>-8.15687298127976E-006</v>
      </c>
    </row>
    <row r="1286" customFormat="false" ht="15" hidden="false" customHeight="false" outlineLevel="0" collapsed="false">
      <c r="A1286" s="1" t="s">
        <v>1293</v>
      </c>
      <c r="B1286" s="5" t="n">
        <v>27.5029</v>
      </c>
      <c r="C1286" s="5" t="n">
        <v>12.2596</v>
      </c>
      <c r="D1286" s="1" t="n">
        <f aca="false">LN(B1286/B1285)</f>
        <v>0.0380263527117394</v>
      </c>
      <c r="E1286" s="1" t="n">
        <f aca="false">LN(C1286/C1285)</f>
        <v>8.15690624885131E-006</v>
      </c>
      <c r="F1286" s="1" t="n">
        <f aca="false">B1286/B1285-1</f>
        <v>0.0387586066239372</v>
      </c>
      <c r="G1286" s="1" t="n">
        <f aca="false">C1286/C1285-1</f>
        <v>8.15693951650154E-006</v>
      </c>
    </row>
    <row r="1287" customFormat="false" ht="15" hidden="false" customHeight="false" outlineLevel="0" collapsed="false">
      <c r="A1287" s="1" t="s">
        <v>1294</v>
      </c>
      <c r="B1287" s="5" t="n">
        <v>28.2103</v>
      </c>
      <c r="C1287" s="5" t="n">
        <v>12.2602</v>
      </c>
      <c r="D1287" s="1" t="n">
        <f aca="false">LN(B1287/B1286)</f>
        <v>0.0253957058260818</v>
      </c>
      <c r="E1287" s="1" t="n">
        <f aca="false">LN(C1287/C1286)</f>
        <v>4.89400403037035E-005</v>
      </c>
      <c r="F1287" s="1" t="n">
        <f aca="false">B1287/B1286-1</f>
        <v>0.0257209239752898</v>
      </c>
      <c r="G1287" s="1" t="n">
        <f aca="false">C1287/C1286-1</f>
        <v>4.89412378870124E-005</v>
      </c>
    </row>
    <row r="1288" customFormat="false" ht="15" hidden="false" customHeight="false" outlineLevel="0" collapsed="false">
      <c r="A1288" s="1" t="s">
        <v>1295</v>
      </c>
      <c r="B1288" s="5" t="n">
        <v>27.8305</v>
      </c>
      <c r="C1288" s="5" t="n">
        <v>12.2612</v>
      </c>
      <c r="D1288" s="1" t="n">
        <f aca="false">LN(B1288/B1287)</f>
        <v>-0.0135546178842137</v>
      </c>
      <c r="E1288" s="1" t="n">
        <f aca="false">LN(C1288/C1287)</f>
        <v>8.15614117102679E-005</v>
      </c>
      <c r="F1288" s="1" t="n">
        <f aca="false">B1288/B1287-1</f>
        <v>-0.0134631677082484</v>
      </c>
      <c r="G1288" s="1" t="n">
        <f aca="false">C1288/C1287-1</f>
        <v>8.15647379326379E-005</v>
      </c>
    </row>
    <row r="1289" customFormat="false" ht="15" hidden="false" customHeight="false" outlineLevel="0" collapsed="false">
      <c r="A1289" s="1" t="s">
        <v>1296</v>
      </c>
      <c r="B1289" s="5" t="n">
        <v>28.0477</v>
      </c>
      <c r="C1289" s="5" t="n">
        <v>12.2617</v>
      </c>
      <c r="D1289" s="1" t="n">
        <f aca="false">LN(B1289/B1288)</f>
        <v>0.00777409057196761</v>
      </c>
      <c r="E1289" s="1" t="n">
        <f aca="false">LN(C1289/C1288)</f>
        <v>4.07782113917188E-005</v>
      </c>
      <c r="F1289" s="1" t="n">
        <f aca="false">B1289/B1288-1</f>
        <v>0.00780438727295585</v>
      </c>
      <c r="G1289" s="1" t="n">
        <f aca="false">C1289/C1288-1</f>
        <v>4.07790428342825E-005</v>
      </c>
    </row>
    <row r="1290" customFormat="false" ht="15" hidden="false" customHeight="false" outlineLevel="0" collapsed="false">
      <c r="A1290" s="1" t="s">
        <v>1297</v>
      </c>
      <c r="B1290" s="5" t="n">
        <v>28.2178</v>
      </c>
      <c r="C1290" s="5" t="n">
        <v>12.2615</v>
      </c>
      <c r="D1290" s="1" t="n">
        <f aca="false">LN(B1290/B1289)</f>
        <v>0.00604635231943808</v>
      </c>
      <c r="E1290" s="1" t="n">
        <f aca="false">LN(C1290/C1289)</f>
        <v>-1.63110850137534E-005</v>
      </c>
      <c r="F1290" s="1" t="n">
        <f aca="false">B1290/B1289-1</f>
        <v>0.00606466840418296</v>
      </c>
      <c r="G1290" s="1" t="n">
        <f aca="false">C1290/C1289-1</f>
        <v>-1.63109519887295E-005</v>
      </c>
    </row>
    <row r="1291" customFormat="false" ht="15" hidden="false" customHeight="false" outlineLevel="0" collapsed="false">
      <c r="A1291" s="1" t="s">
        <v>1298</v>
      </c>
      <c r="B1291" s="5" t="n">
        <v>27.8249</v>
      </c>
      <c r="C1291" s="5" t="n">
        <v>12.2614</v>
      </c>
      <c r="D1291" s="1" t="n">
        <f aca="false">LN(B1291/B1290)</f>
        <v>-0.0140216812265501</v>
      </c>
      <c r="E1291" s="1" t="n">
        <f aca="false">LN(C1291/C1290)</f>
        <v>-8.15564227728187E-006</v>
      </c>
      <c r="F1291" s="1" t="n">
        <f aca="false">B1291/B1290-1</f>
        <v>-0.0139238353096273</v>
      </c>
      <c r="G1291" s="1" t="n">
        <f aca="false">C1291/C1290-1</f>
        <v>-8.1556090201218E-006</v>
      </c>
    </row>
    <row r="1292" customFormat="false" ht="15" hidden="false" customHeight="false" outlineLevel="0" collapsed="false">
      <c r="A1292" s="1" t="s">
        <v>1299</v>
      </c>
      <c r="B1292" s="5" t="n">
        <v>28.0473</v>
      </c>
      <c r="C1292" s="5" t="n">
        <v>12.2611</v>
      </c>
      <c r="D1292" s="1" t="n">
        <f aca="false">LN(B1292/B1291)</f>
        <v>0.00796106738647719</v>
      </c>
      <c r="E1292" s="1" t="n">
        <f aca="false">LN(C1292/C1291)</f>
        <v>-2.4467325926325E-005</v>
      </c>
      <c r="F1292" s="1" t="n">
        <f aca="false">B1292/B1291-1</f>
        <v>0.00799284094462149</v>
      </c>
      <c r="G1292" s="1" t="n">
        <f aca="false">C1292/C1291-1</f>
        <v>-2.44670266037472E-005</v>
      </c>
    </row>
    <row r="1293" customFormat="false" ht="15" hidden="false" customHeight="false" outlineLevel="0" collapsed="false">
      <c r="A1293" s="1" t="s">
        <v>1300</v>
      </c>
      <c r="B1293" s="5" t="n">
        <v>28.2368</v>
      </c>
      <c r="C1293" s="5" t="n">
        <v>12.2613</v>
      </c>
      <c r="D1293" s="1" t="n">
        <f aca="false">LN(B1293/B1292)</f>
        <v>0.00673372110564079</v>
      </c>
      <c r="E1293" s="1" t="n">
        <f aca="false">LN(C1293/C1292)</f>
        <v>1.6311617134101E-005</v>
      </c>
      <c r="F1293" s="1" t="n">
        <f aca="false">B1293/B1292-1</f>
        <v>0.00675644357923932</v>
      </c>
      <c r="G1293" s="1" t="n">
        <f aca="false">C1293/C1292-1</f>
        <v>1.63117501692511E-005</v>
      </c>
    </row>
    <row r="1294" customFormat="false" ht="15" hidden="false" customHeight="false" outlineLevel="0" collapsed="false">
      <c r="A1294" s="1" t="s">
        <v>1301</v>
      </c>
      <c r="B1294" s="5" t="n">
        <v>28.3776</v>
      </c>
      <c r="C1294" s="5" t="n">
        <v>12.2618</v>
      </c>
      <c r="D1294" s="1" t="n">
        <f aca="false">LN(B1294/B1293)</f>
        <v>0.00497400980286369</v>
      </c>
      <c r="E1294" s="1" t="n">
        <f aca="false">LN(C1294/C1293)</f>
        <v>4.07778788217643E-005</v>
      </c>
      <c r="F1294" s="1" t="n">
        <f aca="false">B1294/B1293-1</f>
        <v>0.00498640072529466</v>
      </c>
      <c r="G1294" s="1" t="n">
        <f aca="false">C1294/C1293-1</f>
        <v>4.07787102507662E-005</v>
      </c>
    </row>
    <row r="1295" customFormat="false" ht="15" hidden="false" customHeight="false" outlineLevel="0" collapsed="false">
      <c r="A1295" s="1" t="s">
        <v>1302</v>
      </c>
      <c r="B1295" s="5" t="n">
        <v>28.9064</v>
      </c>
      <c r="C1295" s="5" t="n">
        <v>12.2629</v>
      </c>
      <c r="D1295" s="1" t="n">
        <f aca="false">LN(B1295/B1294)</f>
        <v>0.0184629223286782</v>
      </c>
      <c r="E1295" s="1" t="n">
        <f aca="false">LN(C1295/C1294)</f>
        <v>8.97054806572511E-005</v>
      </c>
      <c r="F1295" s="1" t="n">
        <f aca="false">B1295/B1294-1</f>
        <v>0.0186344158773117</v>
      </c>
      <c r="G1295" s="1" t="n">
        <f aca="false">C1295/C1294-1</f>
        <v>8.97095043141949E-005</v>
      </c>
    </row>
    <row r="1296" customFormat="false" ht="15" hidden="false" customHeight="false" outlineLevel="0" collapsed="false">
      <c r="A1296" s="1" t="s">
        <v>1303</v>
      </c>
      <c r="B1296" s="5" t="n">
        <v>28.3513</v>
      </c>
      <c r="C1296" s="5" t="n">
        <v>12.2628</v>
      </c>
      <c r="D1296" s="1" t="n">
        <f aca="false">LN(B1296/B1295)</f>
        <v>-0.0193901393868001</v>
      </c>
      <c r="E1296" s="1" t="n">
        <f aca="false">LN(C1296/C1295)</f>
        <v>-8.15471118059393E-006</v>
      </c>
      <c r="F1296" s="1" t="n">
        <f aca="false">B1296/B1295-1</f>
        <v>-0.0192033598095924</v>
      </c>
      <c r="G1296" s="1" t="n">
        <f aca="false">C1296/C1295-1</f>
        <v>-8.15467793102709E-006</v>
      </c>
    </row>
    <row r="1297" customFormat="false" ht="15" hidden="false" customHeight="false" outlineLevel="0" collapsed="false">
      <c r="A1297" s="1" t="s">
        <v>1304</v>
      </c>
      <c r="B1297" s="5" t="n">
        <v>27.9048</v>
      </c>
      <c r="C1297" s="5" t="n">
        <v>12.2635</v>
      </c>
      <c r="D1297" s="1" t="n">
        <f aca="false">LN(B1297/B1296)</f>
        <v>-0.0158741674612529</v>
      </c>
      <c r="E1297" s="1" t="n">
        <f aca="false">LN(C1297/C1296)</f>
        <v>5.70815818277859E-005</v>
      </c>
      <c r="F1297" s="1" t="n">
        <f aca="false">B1297/B1296-1</f>
        <v>-0.0157488369140039</v>
      </c>
      <c r="G1297" s="1" t="n">
        <f aca="false">C1297/C1296-1</f>
        <v>5.70832110122765E-005</v>
      </c>
    </row>
    <row r="1298" customFormat="false" ht="15" hidden="false" customHeight="false" outlineLevel="0" collapsed="false">
      <c r="A1298" s="1" t="s">
        <v>1305</v>
      </c>
      <c r="B1298" s="5" t="n">
        <v>28.0905</v>
      </c>
      <c r="C1298" s="5" t="n">
        <v>12.2627</v>
      </c>
      <c r="D1298" s="1" t="n">
        <f aca="false">LN(B1298/B1297)</f>
        <v>0.00663272384616464</v>
      </c>
      <c r="E1298" s="1" t="n">
        <f aca="false">LN(C1298/C1297)</f>
        <v>-6.52363595080769E-005</v>
      </c>
      <c r="F1298" s="1" t="n">
        <f aca="false">B1298/B1297-1</f>
        <v>0.00665476907198759</v>
      </c>
      <c r="G1298" s="1" t="n">
        <f aca="false">C1298/C1297-1</f>
        <v>-6.52342316630472E-005</v>
      </c>
    </row>
    <row r="1299" customFormat="false" ht="15" hidden="false" customHeight="false" outlineLevel="0" collapsed="false">
      <c r="A1299" s="1" t="s">
        <v>1306</v>
      </c>
      <c r="B1299" s="5" t="n">
        <v>28.6157</v>
      </c>
      <c r="C1299" s="5" t="n">
        <v>12.2624</v>
      </c>
      <c r="D1299" s="1" t="n">
        <f aca="false">LN(B1299/B1298)</f>
        <v>0.0185240773697141</v>
      </c>
      <c r="E1299" s="1" t="n">
        <f aca="false">LN(C1299/C1298)</f>
        <v>-2.4464732051365E-005</v>
      </c>
      <c r="F1299" s="1" t="n">
        <f aca="false">B1299/B1298-1</f>
        <v>0.0186967124116695</v>
      </c>
      <c r="G1299" s="1" t="n">
        <f aca="false">C1299/C1298-1</f>
        <v>-2.44644327922483E-005</v>
      </c>
    </row>
    <row r="1300" customFormat="false" ht="15" hidden="false" customHeight="false" outlineLevel="0" collapsed="false">
      <c r="A1300" s="1" t="s">
        <v>1307</v>
      </c>
      <c r="B1300" s="5" t="n">
        <v>28.887</v>
      </c>
      <c r="C1300" s="5" t="n">
        <v>12.2629</v>
      </c>
      <c r="D1300" s="1" t="n">
        <f aca="false">LN(B1300/B1299)</f>
        <v>0.00943614867000682</v>
      </c>
      <c r="E1300" s="1" t="n">
        <f aca="false">LN(C1300/C1299)</f>
        <v>4.07742209121777E-005</v>
      </c>
      <c r="F1300" s="1" t="n">
        <f aca="false">B1300/B1299-1</f>
        <v>0.00948080948570196</v>
      </c>
      <c r="G1300" s="1" t="n">
        <f aca="false">C1300/C1299-1</f>
        <v>4.07750521920214E-005</v>
      </c>
    </row>
    <row r="1301" customFormat="false" ht="15" hidden="false" customHeight="false" outlineLevel="0" collapsed="false">
      <c r="A1301" s="1" t="s">
        <v>1308</v>
      </c>
      <c r="B1301" s="5" t="n">
        <v>28.7089</v>
      </c>
      <c r="C1301" s="5" t="n">
        <v>12.2629</v>
      </c>
      <c r="D1301" s="1" t="n">
        <f aca="false">LN(B1301/B1300)</f>
        <v>-0.00618448770353606</v>
      </c>
      <c r="E1301" s="1" t="n">
        <f aca="false">LN(C1301/C1300)</f>
        <v>0</v>
      </c>
      <c r="F1301" s="1" t="n">
        <f aca="false">B1301/B1300-1</f>
        <v>-0.0061654031225119</v>
      </c>
      <c r="G1301" s="1" t="n">
        <f aca="false">C1301/C1300-1</f>
        <v>0</v>
      </c>
    </row>
    <row r="1302" customFormat="false" ht="15" hidden="false" customHeight="false" outlineLevel="0" collapsed="false">
      <c r="A1302" s="1" t="s">
        <v>1309</v>
      </c>
      <c r="B1302" s="5" t="n">
        <v>28.343</v>
      </c>
      <c r="C1302" s="5" t="n">
        <v>12.2629</v>
      </c>
      <c r="D1302" s="1" t="n">
        <f aca="false">LN(B1302/B1301)</f>
        <v>-0.0128270931173832</v>
      </c>
      <c r="E1302" s="1" t="n">
        <f aca="false">LN(C1302/C1301)</f>
        <v>0</v>
      </c>
      <c r="F1302" s="1" t="n">
        <f aca="false">B1302/B1301-1</f>
        <v>-0.0127451765828716</v>
      </c>
      <c r="G1302" s="1" t="n">
        <f aca="false">C1302/C1301-1</f>
        <v>0</v>
      </c>
    </row>
    <row r="1303" customFormat="false" ht="15" hidden="false" customHeight="false" outlineLevel="0" collapsed="false">
      <c r="A1303" s="1" t="s">
        <v>1310</v>
      </c>
      <c r="B1303" s="5" t="n">
        <v>28.2946</v>
      </c>
      <c r="C1303" s="5" t="n">
        <v>12.2631</v>
      </c>
      <c r="D1303" s="1" t="n">
        <f aca="false">LN(B1303/B1302)</f>
        <v>-0.00170911238405691</v>
      </c>
      <c r="E1303" s="1" t="n">
        <f aca="false">LN(C1303/C1302)</f>
        <v>1.63092228659559E-005</v>
      </c>
      <c r="F1303" s="1" t="n">
        <f aca="false">B1303/B1302-1</f>
        <v>-0.00170765268320228</v>
      </c>
      <c r="G1303" s="1" t="n">
        <f aca="false">C1303/C1302-1</f>
        <v>1.63093558620542E-005</v>
      </c>
    </row>
    <row r="1304" customFormat="false" ht="15" hidden="false" customHeight="false" outlineLevel="0" collapsed="false">
      <c r="A1304" s="1" t="s">
        <v>1311</v>
      </c>
      <c r="B1304" s="5" t="n">
        <v>28.4351</v>
      </c>
      <c r="C1304" s="5" t="n">
        <v>12.2637</v>
      </c>
      <c r="D1304" s="1" t="n">
        <f aca="false">LN(B1304/B1303)</f>
        <v>0.00495332382398359</v>
      </c>
      <c r="E1304" s="1" t="n">
        <f aca="false">LN(C1304/C1303)</f>
        <v>4.89260727139923E-005</v>
      </c>
      <c r="F1304" s="1" t="n">
        <f aca="false">B1304/B1303-1</f>
        <v>0.00496561181285471</v>
      </c>
      <c r="G1304" s="1" t="n">
        <f aca="false">C1304/C1303-1</f>
        <v>4.89272696138077E-005</v>
      </c>
    </row>
    <row r="1305" customFormat="false" ht="15" hidden="false" customHeight="false" outlineLevel="0" collapsed="false">
      <c r="A1305" s="1" t="s">
        <v>1312</v>
      </c>
      <c r="B1305" s="5" t="n">
        <v>28.9732</v>
      </c>
      <c r="C1305" s="5" t="n">
        <v>12.2624</v>
      </c>
      <c r="D1305" s="1" t="n">
        <f aca="false">LN(B1305/B1304)</f>
        <v>0.0187469672314542</v>
      </c>
      <c r="E1305" s="1" t="n">
        <f aca="false">LN(C1305/C1304)</f>
        <v>-0.000106009516492026</v>
      </c>
      <c r="F1305" s="1" t="n">
        <f aca="false">B1305/B1304-1</f>
        <v>0.0189237948873047</v>
      </c>
      <c r="G1305" s="1" t="n">
        <f aca="false">C1305/C1304-1</f>
        <v>-0.000106003897681783</v>
      </c>
    </row>
    <row r="1306" customFormat="false" ht="15" hidden="false" customHeight="false" outlineLevel="0" collapsed="false">
      <c r="A1306" s="1" t="s">
        <v>1313</v>
      </c>
      <c r="B1306" s="5" t="n">
        <v>29.2276</v>
      </c>
      <c r="C1306" s="5" t="n">
        <v>12.263</v>
      </c>
      <c r="D1306" s="1" t="n">
        <f aca="false">LN(B1306/B1305)</f>
        <v>0.00874220355155755</v>
      </c>
      <c r="E1306" s="1" t="n">
        <f aca="false">LN(C1306/C1305)</f>
        <v>4.89288655940472E-005</v>
      </c>
      <c r="F1306" s="1" t="n">
        <f aca="false">B1306/B1305-1</f>
        <v>0.00878052821227904</v>
      </c>
      <c r="G1306" s="1" t="n">
        <f aca="false">C1306/C1305-1</f>
        <v>4.89300626305145E-005</v>
      </c>
    </row>
    <row r="1307" customFormat="false" ht="15" hidden="false" customHeight="false" outlineLevel="0" collapsed="false">
      <c r="A1307" s="1" t="s">
        <v>1314</v>
      </c>
      <c r="B1307" s="5" t="n">
        <v>29.1883</v>
      </c>
      <c r="C1307" s="5" t="n">
        <v>12.2627</v>
      </c>
      <c r="D1307" s="1" t="n">
        <f aca="false">LN(B1307/B1306)</f>
        <v>-0.00134552428120335</v>
      </c>
      <c r="E1307" s="1" t="n">
        <f aca="false">LN(C1307/C1306)</f>
        <v>-2.44641335426909E-005</v>
      </c>
      <c r="F1307" s="1" t="n">
        <f aca="false">B1307/B1306-1</f>
        <v>-0.00134461946926867</v>
      </c>
      <c r="G1307" s="1" t="n">
        <f aca="false">C1307/C1306-1</f>
        <v>-2.44638342982162E-005</v>
      </c>
    </row>
    <row r="1308" customFormat="false" ht="15" hidden="false" customHeight="false" outlineLevel="0" collapsed="false">
      <c r="A1308" s="1" t="s">
        <v>1315</v>
      </c>
      <c r="B1308" s="5" t="n">
        <v>28.7254</v>
      </c>
      <c r="C1308" s="5" t="n">
        <v>12.2633</v>
      </c>
      <c r="D1308" s="1" t="n">
        <f aca="false">LN(B1308/B1307)</f>
        <v>-0.0159861952569009</v>
      </c>
      <c r="E1308" s="1" t="n">
        <f aca="false">LN(C1308/C1307)</f>
        <v>4.89276686061532E-005</v>
      </c>
      <c r="F1308" s="1" t="n">
        <f aca="false">B1308/B1307-1</f>
        <v>-0.0158590942261112</v>
      </c>
      <c r="G1308" s="1" t="n">
        <f aca="false">C1308/C1307-1</f>
        <v>4.89288655840525E-005</v>
      </c>
    </row>
    <row r="1309" customFormat="false" ht="15" hidden="false" customHeight="false" outlineLevel="0" collapsed="false">
      <c r="A1309" s="1" t="s">
        <v>1316</v>
      </c>
      <c r="B1309" s="5" t="n">
        <v>29.0605</v>
      </c>
      <c r="C1309" s="5" t="n">
        <v>12.2634</v>
      </c>
      <c r="D1309" s="1" t="n">
        <f aca="false">LN(B1309/B1308)</f>
        <v>0.0115981149850899</v>
      </c>
      <c r="E1309" s="1" t="n">
        <f aca="false">LN(C1309/C1308)</f>
        <v>8.15437869775771E-006</v>
      </c>
      <c r="F1309" s="1" t="n">
        <f aca="false">B1309/B1308-1</f>
        <v>0.0116656338989187</v>
      </c>
      <c r="G1309" s="1" t="n">
        <f aca="false">C1309/C1308-1</f>
        <v>8.15441194479405E-006</v>
      </c>
    </row>
    <row r="1310" customFormat="false" ht="15" hidden="false" customHeight="false" outlineLevel="0" collapsed="false">
      <c r="A1310" s="1" t="s">
        <v>1317</v>
      </c>
      <c r="B1310" s="5" t="n">
        <v>29.4057</v>
      </c>
      <c r="C1310" s="5" t="n">
        <v>12.2633</v>
      </c>
      <c r="D1310" s="1" t="n">
        <f aca="false">LN(B1310/B1309)</f>
        <v>0.0118086693285711</v>
      </c>
      <c r="E1310" s="1" t="n">
        <f aca="false">LN(C1310/C1309)</f>
        <v>-8.15437869761715E-006</v>
      </c>
      <c r="F1310" s="1" t="n">
        <f aca="false">B1310/B1309-1</f>
        <v>0.0118786669190136</v>
      </c>
      <c r="G1310" s="1" t="n">
        <f aca="false">C1310/C1309-1</f>
        <v>-8.15434545076155E-006</v>
      </c>
    </row>
    <row r="1311" customFormat="false" ht="15" hidden="false" customHeight="false" outlineLevel="0" collapsed="false">
      <c r="A1311" s="1" t="s">
        <v>1318</v>
      </c>
      <c r="B1311" s="5" t="n">
        <v>29.6233</v>
      </c>
      <c r="C1311" s="5" t="n">
        <v>12.2635</v>
      </c>
      <c r="D1311" s="1" t="n">
        <f aca="false">LN(B1311/B1310)</f>
        <v>0.00737268073869495</v>
      </c>
      <c r="E1311" s="1" t="n">
        <f aca="false">LN(C1311/C1310)</f>
        <v>1.63086909019436E-005</v>
      </c>
      <c r="F1311" s="1" t="n">
        <f aca="false">B1311/B1310-1</f>
        <v>0.00739992586471328</v>
      </c>
      <c r="G1311" s="1" t="n">
        <f aca="false">C1311/C1310-1</f>
        <v>1.63088238893661E-005</v>
      </c>
    </row>
    <row r="1312" customFormat="false" ht="15" hidden="false" customHeight="false" outlineLevel="0" collapsed="false">
      <c r="A1312" s="1" t="s">
        <v>1319</v>
      </c>
      <c r="B1312" s="5" t="n">
        <v>29.4267</v>
      </c>
      <c r="C1312" s="5" t="n">
        <v>12.2635</v>
      </c>
      <c r="D1312" s="1" t="n">
        <f aca="false">LN(B1312/B1311)</f>
        <v>-0.00665878836334149</v>
      </c>
      <c r="E1312" s="1" t="n">
        <f aca="false">LN(C1312/C1311)</f>
        <v>0</v>
      </c>
      <c r="F1312" s="1" t="n">
        <f aca="false">B1312/B1311-1</f>
        <v>-0.00663666775814986</v>
      </c>
      <c r="G1312" s="1" t="n">
        <f aca="false">C1312/C1311-1</f>
        <v>0</v>
      </c>
    </row>
    <row r="1313" customFormat="false" ht="15" hidden="false" customHeight="false" outlineLevel="0" collapsed="false">
      <c r="A1313" s="1" t="s">
        <v>1320</v>
      </c>
      <c r="B1313" s="5" t="n">
        <v>29.6625</v>
      </c>
      <c r="C1313" s="5" t="n">
        <v>12.2637</v>
      </c>
      <c r="D1313" s="1" t="n">
        <f aca="false">LN(B1313/B1312)</f>
        <v>0.00798119628269574</v>
      </c>
      <c r="E1313" s="1" t="n">
        <f aca="false">LN(C1313/C1312)</f>
        <v>1.63084249325937E-005</v>
      </c>
      <c r="F1313" s="1" t="n">
        <f aca="false">B1313/B1312-1</f>
        <v>0.00801313093211276</v>
      </c>
      <c r="G1313" s="1" t="n">
        <f aca="false">C1313/C1312-1</f>
        <v>1.63085579156785E-005</v>
      </c>
    </row>
    <row r="1314" customFormat="false" ht="15" hidden="false" customHeight="false" outlineLevel="0" collapsed="false">
      <c r="A1314" s="1" t="s">
        <v>1321</v>
      </c>
      <c r="B1314" s="5" t="n">
        <v>29.8408</v>
      </c>
      <c r="C1314" s="5" t="n">
        <v>12.2638</v>
      </c>
      <c r="D1314" s="1" t="n">
        <f aca="false">LN(B1314/B1313)</f>
        <v>0.00599296286578049</v>
      </c>
      <c r="E1314" s="1" t="n">
        <f aca="false">LN(C1314/C1313)</f>
        <v>8.15411273067985E-006</v>
      </c>
      <c r="F1314" s="1" t="n">
        <f aca="false">B1314/B1313-1</f>
        <v>0.00601095659502748</v>
      </c>
      <c r="G1314" s="1" t="n">
        <f aca="false">C1314/C1313-1</f>
        <v>8.15414597554742E-006</v>
      </c>
    </row>
    <row r="1315" customFormat="false" ht="15" hidden="false" customHeight="false" outlineLevel="0" collapsed="false">
      <c r="A1315" s="1" t="s">
        <v>1322</v>
      </c>
      <c r="B1315" s="5" t="n">
        <v>30.4195</v>
      </c>
      <c r="C1315" s="5" t="n">
        <v>12.2639</v>
      </c>
      <c r="D1315" s="1" t="n">
        <f aca="false">LN(B1315/B1314)</f>
        <v>0.0192072655135046</v>
      </c>
      <c r="E1315" s="1" t="n">
        <f aca="false">LN(C1315/C1314)</f>
        <v>8.15404624151938E-006</v>
      </c>
      <c r="F1315" s="1" t="n">
        <f aca="false">B1315/B1314-1</f>
        <v>0.0193929117181844</v>
      </c>
      <c r="G1315" s="1" t="n">
        <f aca="false">C1315/C1314-1</f>
        <v>8.15407948584479E-006</v>
      </c>
    </row>
    <row r="1316" customFormat="false" ht="15" hidden="false" customHeight="false" outlineLevel="0" collapsed="false">
      <c r="A1316" s="1" t="s">
        <v>1323</v>
      </c>
      <c r="B1316" s="5" t="n">
        <v>31.3263</v>
      </c>
      <c r="C1316" s="5" t="n">
        <v>12.2639</v>
      </c>
      <c r="D1316" s="1" t="n">
        <f aca="false">LN(B1316/B1315)</f>
        <v>0.0293741501788896</v>
      </c>
      <c r="E1316" s="1" t="n">
        <f aca="false">LN(C1316/C1315)</f>
        <v>0</v>
      </c>
      <c r="F1316" s="1" t="n">
        <f aca="false">B1316/B1315-1</f>
        <v>0.0298098259340227</v>
      </c>
      <c r="G1316" s="1" t="n">
        <f aca="false">C1316/C1315-1</f>
        <v>0</v>
      </c>
    </row>
    <row r="1317" customFormat="false" ht="15" hidden="false" customHeight="false" outlineLevel="0" collapsed="false">
      <c r="A1317" s="1" t="s">
        <v>1324</v>
      </c>
      <c r="B1317" s="5" t="n">
        <v>31.9312</v>
      </c>
      <c r="C1317" s="5" t="n">
        <v>12.2637</v>
      </c>
      <c r="D1317" s="1" t="n">
        <f aca="false">LN(B1317/B1316)</f>
        <v>0.0191255879115273</v>
      </c>
      <c r="E1317" s="1" t="n">
        <f aca="false">LN(C1317/C1316)</f>
        <v>-1.63081589722505E-005</v>
      </c>
      <c r="F1317" s="1" t="n">
        <f aca="false">B1317/B1316-1</f>
        <v>0.0193096535498927</v>
      </c>
      <c r="G1317" s="1" t="n">
        <f aca="false">C1317/C1316-1</f>
        <v>-1.63080259949489E-005</v>
      </c>
    </row>
    <row r="1318" customFormat="false" ht="15" hidden="false" customHeight="false" outlineLevel="0" collapsed="false">
      <c r="A1318" s="1" t="s">
        <v>1325</v>
      </c>
      <c r="B1318" s="5" t="n">
        <v>31.9179</v>
      </c>
      <c r="C1318" s="5" t="n">
        <v>12.2642</v>
      </c>
      <c r="D1318" s="1" t="n">
        <f aca="false">LN(B1318/B1317)</f>
        <v>-0.000416607287882355</v>
      </c>
      <c r="E1318" s="1" t="n">
        <f aca="false">LN(C1318/C1317)</f>
        <v>4.07698987741195E-005</v>
      </c>
      <c r="F1318" s="1" t="n">
        <f aca="false">B1318/B1317-1</f>
        <v>-0.000416520519116115</v>
      </c>
      <c r="G1318" s="1" t="n">
        <f aca="false">C1318/C1317-1</f>
        <v>4.07707298777371E-005</v>
      </c>
    </row>
    <row r="1319" customFormat="false" ht="15" hidden="false" customHeight="false" outlineLevel="0" collapsed="false">
      <c r="A1319" s="1" t="s">
        <v>1326</v>
      </c>
      <c r="B1319" s="5" t="n">
        <v>31.1453</v>
      </c>
      <c r="C1319" s="5" t="n">
        <v>12.2642</v>
      </c>
      <c r="D1319" s="1" t="n">
        <f aca="false">LN(B1319/B1318)</f>
        <v>-0.024503629919238</v>
      </c>
      <c r="E1319" s="1" t="n">
        <f aca="false">LN(C1319/C1318)</f>
        <v>0</v>
      </c>
      <c r="F1319" s="1" t="n">
        <f aca="false">B1319/B1318-1</f>
        <v>-0.0242058531419673</v>
      </c>
      <c r="G1319" s="1" t="n">
        <f aca="false">C1319/C1318-1</f>
        <v>0</v>
      </c>
    </row>
    <row r="1320" customFormat="false" ht="15" hidden="false" customHeight="false" outlineLevel="0" collapsed="false">
      <c r="A1320" s="1" t="s">
        <v>1327</v>
      </c>
      <c r="B1320" s="5" t="n">
        <v>31.4182</v>
      </c>
      <c r="C1320" s="5" t="n">
        <v>12.2645</v>
      </c>
      <c r="D1320" s="1" t="n">
        <f aca="false">LN(B1320/B1319)</f>
        <v>0.0087239918106028</v>
      </c>
      <c r="E1320" s="1" t="n">
        <f aca="false">LN(C1320/C1319)</f>
        <v>2.44611414395821E-005</v>
      </c>
      <c r="F1320" s="1" t="n">
        <f aca="false">B1320/B1319-1</f>
        <v>0.00876215672990788</v>
      </c>
      <c r="G1320" s="1" t="n">
        <f aca="false">C1320/C1319-1</f>
        <v>2.44614406157417E-005</v>
      </c>
    </row>
    <row r="1321" customFormat="false" ht="15" hidden="false" customHeight="false" outlineLevel="0" collapsed="false">
      <c r="A1321" s="1" t="s">
        <v>1328</v>
      </c>
      <c r="B1321" s="5" t="n">
        <v>30.8374</v>
      </c>
      <c r="C1321" s="5" t="n">
        <v>12.265</v>
      </c>
      <c r="D1321" s="1" t="n">
        <f aca="false">LN(B1321/B1320)</f>
        <v>-0.0186591037898755</v>
      </c>
      <c r="E1321" s="1" t="n">
        <f aca="false">LN(C1321/C1320)</f>
        <v>4.07672394520848E-005</v>
      </c>
      <c r="F1321" s="1" t="n">
        <f aca="false">B1321/B1320-1</f>
        <v>-0.0184861004131364</v>
      </c>
      <c r="G1321" s="1" t="n">
        <f aca="false">C1321/C1320-1</f>
        <v>4.07680704472835E-005</v>
      </c>
    </row>
    <row r="1322" customFormat="false" ht="15" hidden="false" customHeight="false" outlineLevel="0" collapsed="false">
      <c r="A1322" s="1" t="s">
        <v>1329</v>
      </c>
      <c r="B1322" s="5" t="n">
        <v>30.4471</v>
      </c>
      <c r="C1322" s="5" t="n">
        <v>12.2651</v>
      </c>
      <c r="D1322" s="1" t="n">
        <f aca="false">LN(B1322/B1321)</f>
        <v>-0.0127374875199583</v>
      </c>
      <c r="E1322" s="1" t="n">
        <f aca="false">LN(C1322/C1321)</f>
        <v>8.15324845796801E-006</v>
      </c>
      <c r="F1322" s="1" t="n">
        <f aca="false">B1322/B1321-1</f>
        <v>-0.0126567090610752</v>
      </c>
      <c r="G1322" s="1" t="n">
        <f aca="false">C1322/C1321-1</f>
        <v>8.15328169578855E-006</v>
      </c>
    </row>
    <row r="1323" customFormat="false" ht="15" hidden="false" customHeight="false" outlineLevel="0" collapsed="false">
      <c r="A1323" s="1" t="s">
        <v>1330</v>
      </c>
      <c r="B1323" s="5" t="n">
        <v>29.4571</v>
      </c>
      <c r="C1323" s="5" t="n">
        <v>12.2659</v>
      </c>
      <c r="D1323" s="1" t="n">
        <f aca="false">LN(B1323/B1322)</f>
        <v>-0.0330557838969018</v>
      </c>
      <c r="E1323" s="1" t="n">
        <f aca="false">LN(C1323/C1322)</f>
        <v>6.52235946583667E-005</v>
      </c>
      <c r="F1323" s="1" t="n">
        <f aca="false">B1323/B1322-1</f>
        <v>-0.0325154119768385</v>
      </c>
      <c r="G1323" s="1" t="n">
        <f aca="false">C1323/C1322-1</f>
        <v>6.52257217632624E-005</v>
      </c>
    </row>
    <row r="1324" customFormat="false" ht="15" hidden="false" customHeight="false" outlineLevel="0" collapsed="false">
      <c r="A1324" s="1" t="s">
        <v>1331</v>
      </c>
      <c r="B1324" s="5" t="n">
        <v>30.0965</v>
      </c>
      <c r="C1324" s="5" t="n">
        <v>12.266</v>
      </c>
      <c r="D1324" s="1" t="n">
        <f aca="false">LN(B1324/B1323)</f>
        <v>0.0214739182957966</v>
      </c>
      <c r="E1324" s="1" t="n">
        <f aca="false">LN(C1324/C1323)</f>
        <v>8.15265022272131E-006</v>
      </c>
      <c r="F1324" s="1" t="n">
        <f aca="false">B1324/B1323-1</f>
        <v>0.021706142152486</v>
      </c>
      <c r="G1324" s="1" t="n">
        <f aca="false">C1324/C1323-1</f>
        <v>8.15268345566445E-006</v>
      </c>
    </row>
    <row r="1325" customFormat="false" ht="15" hidden="false" customHeight="false" outlineLevel="0" collapsed="false">
      <c r="A1325" s="1" t="s">
        <v>1332</v>
      </c>
      <c r="B1325" s="5" t="n">
        <v>30.2631</v>
      </c>
      <c r="C1325" s="5" t="n">
        <v>12.2658</v>
      </c>
      <c r="D1325" s="1" t="n">
        <f aca="false">LN(B1325/B1324)</f>
        <v>0.00552026266147448</v>
      </c>
      <c r="E1325" s="1" t="n">
        <f aca="false">LN(C1325/C1324)</f>
        <v>-1.63053669118799E-005</v>
      </c>
      <c r="F1325" s="1" t="n">
        <f aca="false">B1325/B1324-1</f>
        <v>0.00553552738690555</v>
      </c>
      <c r="G1325" s="1" t="n">
        <f aca="false">C1325/C1324-1</f>
        <v>-1.63052339801073E-005</v>
      </c>
    </row>
    <row r="1326" customFormat="false" ht="15" hidden="false" customHeight="false" outlineLevel="0" collapsed="false">
      <c r="A1326" s="1" t="s">
        <v>1333</v>
      </c>
      <c r="B1326" s="5" t="n">
        <v>30.1375</v>
      </c>
      <c r="C1326" s="5" t="n">
        <v>12.2654</v>
      </c>
      <c r="D1326" s="1" t="n">
        <f aca="false">LN(B1326/B1325)</f>
        <v>-0.00415890507831251</v>
      </c>
      <c r="E1326" s="1" t="n">
        <f aca="false">LN(C1326/C1325)</f>
        <v>-3.261153144053E-005</v>
      </c>
      <c r="F1326" s="1" t="n">
        <f aca="false">B1326/B1325-1</f>
        <v>-0.00415026880920999</v>
      </c>
      <c r="G1326" s="1" t="n">
        <f aca="false">C1326/C1325-1</f>
        <v>-3.2610999690319E-005</v>
      </c>
    </row>
    <row r="1327" customFormat="false" ht="15" hidden="false" customHeight="false" outlineLevel="0" collapsed="false">
      <c r="A1327" s="1" t="s">
        <v>1334</v>
      </c>
      <c r="B1327" s="5" t="n">
        <v>30.0412</v>
      </c>
      <c r="C1327" s="5" t="n">
        <v>12.2649</v>
      </c>
      <c r="D1327" s="1" t="n">
        <f aca="false">LN(B1327/B1326)</f>
        <v>-0.003200470671522</v>
      </c>
      <c r="E1327" s="1" t="n">
        <f aca="false">LN(C1327/C1326)</f>
        <v>-4.07659099210507E-005</v>
      </c>
      <c r="F1327" s="1" t="n">
        <f aca="false">B1327/B1326-1</f>
        <v>-0.00319535462463705</v>
      </c>
      <c r="G1327" s="1" t="n">
        <f aca="false">C1327/C1326-1</f>
        <v>-4.07650790026359E-005</v>
      </c>
    </row>
    <row r="1328" customFormat="false" ht="15" hidden="false" customHeight="false" outlineLevel="0" collapsed="false">
      <c r="A1328" s="1" t="s">
        <v>1335</v>
      </c>
      <c r="B1328" s="5" t="n">
        <v>29.5912</v>
      </c>
      <c r="C1328" s="5" t="n">
        <v>12.2652</v>
      </c>
      <c r="D1328" s="1" t="n">
        <f aca="false">LN(B1328/B1327)</f>
        <v>-0.0150927530046523</v>
      </c>
      <c r="E1328" s="1" t="n">
        <f aca="false">LN(C1328/C1327)</f>
        <v>2.44597453751608E-005</v>
      </c>
      <c r="F1328" s="1" t="n">
        <f aca="false">B1328/B1327-1</f>
        <v>-0.0149794282518674</v>
      </c>
      <c r="G1328" s="1" t="n">
        <f aca="false">C1328/C1327-1</f>
        <v>2.44600445171717E-005</v>
      </c>
    </row>
    <row r="1329" customFormat="false" ht="15" hidden="false" customHeight="false" outlineLevel="0" collapsed="false">
      <c r="A1329" s="1" t="s">
        <v>1336</v>
      </c>
      <c r="B1329" s="5" t="n">
        <v>29.7027</v>
      </c>
      <c r="C1329" s="5" t="n">
        <v>12.2653</v>
      </c>
      <c r="D1329" s="1" t="n">
        <f aca="false">LN(B1329/B1328)</f>
        <v>0.00376093093646711</v>
      </c>
      <c r="E1329" s="1" t="n">
        <f aca="false">LN(C1329/C1328)</f>
        <v>8.15311550940068E-006</v>
      </c>
      <c r="F1329" s="1" t="n">
        <f aca="false">B1329/B1328-1</f>
        <v>0.00376801211170896</v>
      </c>
      <c r="G1329" s="1" t="n">
        <f aca="false">C1329/C1328-1</f>
        <v>8.15314874613726E-006</v>
      </c>
    </row>
    <row r="1330" customFormat="false" ht="15" hidden="false" customHeight="false" outlineLevel="0" collapsed="false">
      <c r="A1330" s="1" t="s">
        <v>1337</v>
      </c>
      <c r="B1330" s="5" t="n">
        <v>29.1381</v>
      </c>
      <c r="C1330" s="5" t="n">
        <v>12.2655</v>
      </c>
      <c r="D1330" s="1" t="n">
        <f aca="false">LN(B1330/B1329)</f>
        <v>-0.0191913545971272</v>
      </c>
      <c r="E1330" s="1" t="n">
        <f aca="false">LN(C1330/C1329)</f>
        <v>1.63060316014539E-005</v>
      </c>
      <c r="F1330" s="1" t="n">
        <f aca="false">B1330/B1329-1</f>
        <v>-0.0190083729761941</v>
      </c>
      <c r="G1330" s="1" t="n">
        <f aca="false">C1330/C1329-1</f>
        <v>1.63061645455098E-005</v>
      </c>
    </row>
    <row r="1331" customFormat="false" ht="15" hidden="false" customHeight="false" outlineLevel="0" collapsed="false">
      <c r="A1331" s="1" t="s">
        <v>1338</v>
      </c>
      <c r="B1331" s="5" t="n">
        <v>28.9676</v>
      </c>
      <c r="C1331" s="5" t="n">
        <v>12.2658</v>
      </c>
      <c r="D1331" s="1" t="n">
        <f aca="false">LN(B1331/B1330)</f>
        <v>-0.00586863214268829</v>
      </c>
      <c r="E1331" s="1" t="n">
        <f aca="false">LN(C1331/C1330)</f>
        <v>2.44585488755505E-005</v>
      </c>
      <c r="F1331" s="1" t="n">
        <f aca="false">B1331/B1330-1</f>
        <v>-0.00585144535848259</v>
      </c>
      <c r="G1331" s="1" t="n">
        <f aca="false">C1331/C1330-1</f>
        <v>2.44588479882957E-005</v>
      </c>
    </row>
    <row r="1332" customFormat="false" ht="15" hidden="false" customHeight="false" outlineLevel="0" collapsed="false">
      <c r="A1332" s="1" t="s">
        <v>1339</v>
      </c>
      <c r="B1332" s="5" t="n">
        <v>29.0862</v>
      </c>
      <c r="C1332" s="5" t="n">
        <v>12.2658</v>
      </c>
      <c r="D1332" s="1" t="n">
        <f aca="false">LN(B1332/B1331)</f>
        <v>0.00408587086446335</v>
      </c>
      <c r="E1332" s="1" t="n">
        <f aca="false">LN(C1332/C1331)</f>
        <v>0</v>
      </c>
      <c r="F1332" s="1" t="n">
        <f aca="false">B1332/B1331-1</f>
        <v>0.00409422941493265</v>
      </c>
      <c r="G1332" s="1" t="n">
        <f aca="false">C1332/C1331-1</f>
        <v>0</v>
      </c>
    </row>
    <row r="1333" customFormat="false" ht="15" hidden="false" customHeight="false" outlineLevel="0" collapsed="false">
      <c r="A1333" s="1" t="s">
        <v>1340</v>
      </c>
      <c r="B1333" s="5" t="n">
        <v>29.0859</v>
      </c>
      <c r="C1333" s="5" t="n">
        <v>12.2658</v>
      </c>
      <c r="D1333" s="1" t="n">
        <f aca="false">LN(B1333/B1332)</f>
        <v>-1.03142227976978E-005</v>
      </c>
      <c r="E1333" s="1" t="n">
        <f aca="false">LN(C1333/C1332)</f>
        <v>0</v>
      </c>
      <c r="F1333" s="1" t="n">
        <f aca="false">B1333/B1332-1</f>
        <v>-1.03141696062847E-005</v>
      </c>
      <c r="G1333" s="1" t="n">
        <f aca="false">C1333/C1332-1</f>
        <v>0</v>
      </c>
    </row>
    <row r="1334" customFormat="false" ht="15" hidden="false" customHeight="false" outlineLevel="0" collapsed="false">
      <c r="A1334" s="1" t="s">
        <v>1341</v>
      </c>
      <c r="B1334" s="5" t="n">
        <v>29.2901</v>
      </c>
      <c r="C1334" s="5" t="n">
        <v>12.2661</v>
      </c>
      <c r="D1334" s="1" t="n">
        <f aca="false">LN(B1334/B1333)</f>
        <v>0.00699605429889879</v>
      </c>
      <c r="E1334" s="1" t="n">
        <f aca="false">LN(C1334/C1333)</f>
        <v>2.44579506693755E-005</v>
      </c>
      <c r="F1334" s="1" t="n">
        <f aca="false">B1334/B1333-1</f>
        <v>0.00702058385678295</v>
      </c>
      <c r="G1334" s="1" t="n">
        <f aca="false">C1334/C1333-1</f>
        <v>2.44582497674895E-005</v>
      </c>
    </row>
    <row r="1335" customFormat="false" ht="15" hidden="false" customHeight="false" outlineLevel="0" collapsed="false">
      <c r="A1335" s="1" t="s">
        <v>1342</v>
      </c>
      <c r="B1335" s="5" t="n">
        <v>29.5241</v>
      </c>
      <c r="C1335" s="5" t="n">
        <v>12.2662</v>
      </c>
      <c r="D1335" s="1" t="n">
        <f aca="false">LN(B1335/B1334)</f>
        <v>0.00795730400866098</v>
      </c>
      <c r="E1335" s="1" t="n">
        <f aca="false">LN(C1335/C1334)</f>
        <v>8.15251729347162E-006</v>
      </c>
      <c r="F1335" s="1" t="n">
        <f aca="false">B1335/B1334-1</f>
        <v>0.00798904749386309</v>
      </c>
      <c r="G1335" s="1" t="n">
        <f aca="false">C1335/C1334-1</f>
        <v>8.15255052533104E-006</v>
      </c>
    </row>
    <row r="1336" customFormat="false" ht="15" hidden="false" customHeight="false" outlineLevel="0" collapsed="false">
      <c r="A1336" s="1" t="s">
        <v>1343</v>
      </c>
      <c r="B1336" s="5" t="n">
        <v>30.1777</v>
      </c>
      <c r="C1336" s="5" t="n">
        <v>12.2662</v>
      </c>
      <c r="D1336" s="1" t="n">
        <f aca="false">LN(B1336/B1335)</f>
        <v>0.0218963620484209</v>
      </c>
      <c r="E1336" s="1" t="n">
        <f aca="false">LN(C1336/C1335)</f>
        <v>0</v>
      </c>
      <c r="F1336" s="1" t="n">
        <f aca="false">B1336/B1335-1</f>
        <v>0.0221378467082825</v>
      </c>
      <c r="G1336" s="1" t="n">
        <f aca="false">C1336/C1335-1</f>
        <v>0</v>
      </c>
    </row>
    <row r="1337" customFormat="false" ht="15" hidden="false" customHeight="false" outlineLevel="0" collapsed="false">
      <c r="A1337" s="1" t="s">
        <v>1344</v>
      </c>
      <c r="B1337" s="5" t="n">
        <v>30.0561</v>
      </c>
      <c r="C1337" s="5" t="n">
        <v>12.2662</v>
      </c>
      <c r="D1337" s="1" t="n">
        <f aca="false">LN(B1337/B1336)</f>
        <v>-0.00403760563657555</v>
      </c>
      <c r="E1337" s="1" t="n">
        <f aca="false">LN(C1337/C1336)</f>
        <v>0</v>
      </c>
      <c r="F1337" s="1" t="n">
        <f aca="false">B1337/B1336-1</f>
        <v>-0.00402946546622174</v>
      </c>
      <c r="G1337" s="1" t="n">
        <f aca="false">C1337/C1336-1</f>
        <v>0</v>
      </c>
    </row>
    <row r="1338" customFormat="false" ht="15" hidden="false" customHeight="false" outlineLevel="0" collapsed="false">
      <c r="A1338" s="1" t="s">
        <v>1345</v>
      </c>
      <c r="B1338" s="5" t="n">
        <v>30.0343</v>
      </c>
      <c r="C1338" s="5" t="n">
        <v>12.2666</v>
      </c>
      <c r="D1338" s="1" t="n">
        <f aca="false">LN(B1338/B1337)</f>
        <v>-0.000725573501138175</v>
      </c>
      <c r="E1338" s="1" t="n">
        <f aca="false">LN(C1338/C1337)</f>
        <v>3.26094045551286E-005</v>
      </c>
      <c r="F1338" s="1" t="n">
        <f aca="false">B1338/B1337-1</f>
        <v>-0.000725310336337715</v>
      </c>
      <c r="G1338" s="1" t="n">
        <f aca="false">C1338/C1337-1</f>
        <v>3.26099362475407E-005</v>
      </c>
    </row>
    <row r="1339" customFormat="false" ht="15" hidden="false" customHeight="false" outlineLevel="0" collapsed="false">
      <c r="A1339" s="1" t="s">
        <v>1346</v>
      </c>
      <c r="B1339" s="5" t="n">
        <v>29.7247</v>
      </c>
      <c r="C1339" s="5" t="n">
        <v>12.2668</v>
      </c>
      <c r="D1339" s="1" t="n">
        <f aca="false">LN(B1339/B1338)</f>
        <v>-0.0103617118765017</v>
      </c>
      <c r="E1339" s="1" t="n">
        <f aca="false">LN(C1339/C1338)</f>
        <v>1.63043035213077E-005</v>
      </c>
      <c r="F1339" s="1" t="n">
        <f aca="false">B1339/B1338-1</f>
        <v>-0.0103082142750124</v>
      </c>
      <c r="G1339" s="1" t="n">
        <f aca="false">C1339/C1338-1</f>
        <v>1.63044364371867E-005</v>
      </c>
    </row>
    <row r="1340" customFormat="false" ht="15" hidden="false" customHeight="false" outlineLevel="0" collapsed="false">
      <c r="A1340" s="1" t="s">
        <v>1347</v>
      </c>
      <c r="B1340" s="5" t="n">
        <v>29.7761</v>
      </c>
      <c r="C1340" s="5" t="n">
        <v>12.2669</v>
      </c>
      <c r="D1340" s="1" t="n">
        <f aca="false">LN(B1340/B1339)</f>
        <v>0.00172770829251536</v>
      </c>
      <c r="E1340" s="1" t="n">
        <f aca="false">LN(C1340/C1339)</f>
        <v>8.15205207540319E-006</v>
      </c>
      <c r="F1340" s="1" t="n">
        <f aca="false">B1340/B1339-1</f>
        <v>0.0017292016403867</v>
      </c>
      <c r="G1340" s="1" t="n">
        <f aca="false">C1340/C1339-1</f>
        <v>8.15208530347E-006</v>
      </c>
    </row>
    <row r="1341" customFormat="false" ht="15" hidden="false" customHeight="false" outlineLevel="0" collapsed="false">
      <c r="A1341" s="1" t="s">
        <v>1348</v>
      </c>
      <c r="B1341" s="5" t="n">
        <v>29.3142</v>
      </c>
      <c r="C1341" s="5" t="n">
        <v>12.2668</v>
      </c>
      <c r="D1341" s="1" t="n">
        <f aca="false">LN(B1341/B1340)</f>
        <v>-0.0156340180432946</v>
      </c>
      <c r="E1341" s="1" t="n">
        <f aca="false">LN(C1341/C1340)</f>
        <v>-8.15205207529336E-006</v>
      </c>
      <c r="F1341" s="1" t="n">
        <f aca="false">B1341/B1340-1</f>
        <v>-0.0155124411860519</v>
      </c>
      <c r="G1341" s="1" t="n">
        <f aca="false">C1341/C1340-1</f>
        <v>-8.15201884740713E-006</v>
      </c>
    </row>
    <row r="1342" customFormat="false" ht="15" hidden="false" customHeight="false" outlineLevel="0" collapsed="false">
      <c r="A1342" s="1" t="s">
        <v>1349</v>
      </c>
      <c r="B1342" s="5" t="n">
        <v>29.0864</v>
      </c>
      <c r="C1342" s="5" t="n">
        <v>12.2673</v>
      </c>
      <c r="D1342" s="1" t="n">
        <f aca="false">LN(B1342/B1341)</f>
        <v>-0.00780132927875785</v>
      </c>
      <c r="E1342" s="1" t="n">
        <f aca="false">LN(C1342/C1341)</f>
        <v>4.07595958335156E-005</v>
      </c>
      <c r="F1342" s="1" t="n">
        <f aca="false">B1342/B1341-1</f>
        <v>-0.00777097788784953</v>
      </c>
      <c r="G1342" s="1" t="n">
        <f aca="false">C1342/C1341-1</f>
        <v>4.0760426517128E-005</v>
      </c>
    </row>
    <row r="1343" customFormat="false" ht="15" hidden="false" customHeight="false" outlineLevel="0" collapsed="false">
      <c r="A1343" s="1" t="s">
        <v>1350</v>
      </c>
      <c r="B1343" s="5" t="n">
        <v>29.1044</v>
      </c>
      <c r="C1343" s="5" t="n">
        <v>12.2678</v>
      </c>
      <c r="D1343" s="1" t="n">
        <f aca="false">LN(B1343/B1342)</f>
        <v>0.000618654514943779</v>
      </c>
      <c r="E1343" s="1" t="n">
        <f aca="false">LN(C1343/C1342)</f>
        <v>4.07579345563892E-005</v>
      </c>
      <c r="F1343" s="1" t="n">
        <f aca="false">B1343/B1342-1</f>
        <v>0.000618845921117606</v>
      </c>
      <c r="G1343" s="1" t="n">
        <f aca="false">C1343/C1342-1</f>
        <v>4.07587651722885E-005</v>
      </c>
    </row>
    <row r="1344" customFormat="false" ht="15" hidden="false" customHeight="false" outlineLevel="0" collapsed="false">
      <c r="A1344" s="1" t="s">
        <v>1351</v>
      </c>
      <c r="B1344" s="5" t="n">
        <v>29.4283</v>
      </c>
      <c r="C1344" s="5" t="n">
        <v>12.2675</v>
      </c>
      <c r="D1344" s="1" t="n">
        <f aca="false">LN(B1344/B1343)</f>
        <v>0.0110674308941579</v>
      </c>
      <c r="E1344" s="1" t="n">
        <f aca="false">LN(C1344/C1343)</f>
        <v>-2.44545613881977E-005</v>
      </c>
      <c r="F1344" s="1" t="n">
        <f aca="false">B1344/B1343-1</f>
        <v>0.0111289014719425</v>
      </c>
      <c r="G1344" s="1" t="n">
        <f aca="false">C1344/C1343-1</f>
        <v>-2.44542623778488E-005</v>
      </c>
    </row>
    <row r="1345" customFormat="false" ht="15" hidden="false" customHeight="false" outlineLevel="0" collapsed="false">
      <c r="A1345" s="1" t="s">
        <v>1352</v>
      </c>
      <c r="B1345" s="5" t="n">
        <v>29.2371</v>
      </c>
      <c r="C1345" s="5" t="n">
        <v>12.2676</v>
      </c>
      <c r="D1345" s="1" t="n">
        <f aca="false">LN(B1345/B1344)</f>
        <v>-0.00651834563433332</v>
      </c>
      <c r="E1345" s="1" t="n">
        <f aca="false">LN(C1345/C1344)</f>
        <v>8.15158691018073E-006</v>
      </c>
      <c r="F1345" s="1" t="n">
        <f aca="false">B1345/B1344-1</f>
        <v>-0.00649714730378581</v>
      </c>
      <c r="G1345" s="1" t="n">
        <f aca="false">C1345/C1344-1</f>
        <v>8.15162013445558E-006</v>
      </c>
    </row>
    <row r="1346" customFormat="false" ht="15" hidden="false" customHeight="false" outlineLevel="0" collapsed="false">
      <c r="A1346" s="1" t="s">
        <v>1353</v>
      </c>
      <c r="B1346" s="5" t="n">
        <v>29.5304</v>
      </c>
      <c r="C1346" s="5" t="n">
        <v>12.2677</v>
      </c>
      <c r="D1346" s="1" t="n">
        <f aca="false">LN(B1346/B1345)</f>
        <v>0.00998179045456403</v>
      </c>
      <c r="E1346" s="1" t="n">
        <f aca="false">LN(C1346/C1345)</f>
        <v>8.15152046232005E-006</v>
      </c>
      <c r="F1346" s="1" t="n">
        <f aca="false">B1346/B1345-1</f>
        <v>0.0100317746972169</v>
      </c>
      <c r="G1346" s="1" t="n">
        <f aca="false">C1346/C1345-1</f>
        <v>8.15155368605325E-006</v>
      </c>
    </row>
    <row r="1347" customFormat="false" ht="15" hidden="false" customHeight="false" outlineLevel="0" collapsed="false">
      <c r="A1347" s="1" t="s">
        <v>1354</v>
      </c>
      <c r="B1347" s="5" t="n">
        <v>29.4614</v>
      </c>
      <c r="C1347" s="5" t="n">
        <v>12.2678</v>
      </c>
      <c r="D1347" s="1" t="n">
        <f aca="false">LN(B1347/B1346)</f>
        <v>-0.00233930924183053</v>
      </c>
      <c r="E1347" s="1" t="n">
        <f aca="false">LN(C1347/C1346)</f>
        <v>8.15145401556958E-006</v>
      </c>
      <c r="F1347" s="1" t="n">
        <f aca="false">B1347/B1346-1</f>
        <v>-0.00233657519031227</v>
      </c>
      <c r="G1347" s="1" t="n">
        <f aca="false">C1347/C1346-1</f>
        <v>8.15148723876114E-006</v>
      </c>
    </row>
    <row r="1348" customFormat="false" ht="15" hidden="false" customHeight="false" outlineLevel="0" collapsed="false">
      <c r="A1348" s="1" t="s">
        <v>1355</v>
      </c>
      <c r="B1348" s="5" t="n">
        <v>29.9248</v>
      </c>
      <c r="C1348" s="5" t="n">
        <v>12.2679</v>
      </c>
      <c r="D1348" s="1" t="n">
        <f aca="false">LN(B1348/B1347)</f>
        <v>0.0156066360774366</v>
      </c>
      <c r="E1348" s="1" t="n">
        <f aca="false">LN(C1348/C1347)</f>
        <v>8.15138756992932E-006</v>
      </c>
      <c r="F1348" s="1" t="n">
        <f aca="false">B1348/B1347-1</f>
        <v>0.0157290556456924</v>
      </c>
      <c r="G1348" s="1" t="n">
        <f aca="false">C1348/C1347-1</f>
        <v>8.15142079257925E-006</v>
      </c>
    </row>
    <row r="1349" customFormat="false" ht="15" hidden="false" customHeight="false" outlineLevel="0" collapsed="false">
      <c r="A1349" s="1" t="s">
        <v>1356</v>
      </c>
      <c r="B1349" s="5" t="n">
        <v>29.4395</v>
      </c>
      <c r="C1349" s="5" t="n">
        <v>12.2684</v>
      </c>
      <c r="D1349" s="1" t="n">
        <f aca="false">LN(B1349/B1348)</f>
        <v>-0.0163502580257999</v>
      </c>
      <c r="E1349" s="1" t="n">
        <f aca="false">LN(C1349/C1348)</f>
        <v>4.07559412031052E-005</v>
      </c>
      <c r="F1349" s="1" t="n">
        <f aca="false">B1349/B1348-1</f>
        <v>-0.0162173180773139</v>
      </c>
      <c r="G1349" s="1" t="n">
        <f aca="false">C1349/C1348-1</f>
        <v>4.07567717377599E-005</v>
      </c>
    </row>
    <row r="1350" customFormat="false" ht="15" hidden="false" customHeight="false" outlineLevel="0" collapsed="false">
      <c r="A1350" s="1" t="s">
        <v>1357</v>
      </c>
      <c r="B1350" s="5" t="n">
        <v>29.4788</v>
      </c>
      <c r="C1350" s="5" t="n">
        <v>12.2679</v>
      </c>
      <c r="D1350" s="1" t="n">
        <f aca="false">LN(B1350/B1349)</f>
        <v>0.00133405090874955</v>
      </c>
      <c r="E1350" s="1" t="n">
        <f aca="false">LN(C1350/C1349)</f>
        <v>-4.07559412029932E-005</v>
      </c>
      <c r="F1350" s="1" t="n">
        <f aca="false">B1350/B1349-1</f>
        <v>0.00133494115049504</v>
      </c>
      <c r="G1350" s="1" t="n">
        <f aca="false">C1350/C1349-1</f>
        <v>-4.07551106909043E-005</v>
      </c>
    </row>
    <row r="1351" customFormat="false" ht="15" hidden="false" customHeight="false" outlineLevel="0" collapsed="false">
      <c r="A1351" s="1" t="s">
        <v>1358</v>
      </c>
      <c r="B1351" s="5" t="n">
        <v>28.9855</v>
      </c>
      <c r="C1351" s="5" t="n">
        <v>12.2676</v>
      </c>
      <c r="D1351" s="1" t="n">
        <f aca="false">LN(B1351/B1350)</f>
        <v>-0.0168756559847566</v>
      </c>
      <c r="E1351" s="1" t="n">
        <f aca="false">LN(C1351/C1350)</f>
        <v>-2.4454362047997E-005</v>
      </c>
      <c r="F1351" s="1" t="n">
        <f aca="false">B1351/B1350-1</f>
        <v>-0.016734059731061</v>
      </c>
      <c r="G1351" s="1" t="n">
        <f aca="false">C1351/C1350-1</f>
        <v>-2.44540630425227E-005</v>
      </c>
    </row>
    <row r="1352" customFormat="false" ht="15" hidden="false" customHeight="false" outlineLevel="0" collapsed="false">
      <c r="A1352" s="1" t="s">
        <v>1359</v>
      </c>
      <c r="B1352" s="5" t="n">
        <v>28.8563</v>
      </c>
      <c r="C1352" s="5" t="n">
        <v>12.2683</v>
      </c>
      <c r="D1352" s="1" t="n">
        <f aca="false">LN(B1352/B1351)</f>
        <v>-0.00446736494625192</v>
      </c>
      <c r="E1352" s="1" t="n">
        <f aca="false">LN(C1352/C1351)</f>
        <v>5.70592478931915E-005</v>
      </c>
      <c r="F1352" s="1" t="n">
        <f aca="false">B1352/B1351-1</f>
        <v>-0.00445740111435022</v>
      </c>
      <c r="G1352" s="1" t="n">
        <f aca="false">C1352/C1351-1</f>
        <v>5.70608758030389E-005</v>
      </c>
    </row>
    <row r="1353" customFormat="false" ht="15" hidden="false" customHeight="false" outlineLevel="0" collapsed="false">
      <c r="A1353" s="1" t="s">
        <v>1360</v>
      </c>
      <c r="B1353" s="5" t="n">
        <v>28.2878</v>
      </c>
      <c r="C1353" s="5" t="n">
        <v>12.2683</v>
      </c>
      <c r="D1353" s="1" t="n">
        <f aca="false">LN(B1353/B1352)</f>
        <v>-0.0198977237040469</v>
      </c>
      <c r="E1353" s="1" t="n">
        <f aca="false">LN(C1353/C1352)</f>
        <v>0</v>
      </c>
      <c r="F1353" s="1" t="n">
        <f aca="false">B1353/B1352-1</f>
        <v>-0.0197010704768109</v>
      </c>
      <c r="G1353" s="1" t="n">
        <f aca="false">C1353/C1352-1</f>
        <v>0</v>
      </c>
    </row>
    <row r="1354" customFormat="false" ht="15" hidden="false" customHeight="false" outlineLevel="0" collapsed="false">
      <c r="A1354" s="1" t="s">
        <v>1361</v>
      </c>
      <c r="B1354" s="5" t="n">
        <v>28.5777</v>
      </c>
      <c r="C1354" s="5" t="n">
        <v>12.2685</v>
      </c>
      <c r="D1354" s="1" t="n">
        <f aca="false">LN(B1354/B1353)</f>
        <v>0.0101960771116302</v>
      </c>
      <c r="E1354" s="1" t="n">
        <f aca="false">LN(C1354/C1353)</f>
        <v>1.63020442767122E-005</v>
      </c>
      <c r="F1354" s="1" t="n">
        <f aca="false">B1354/B1353-1</f>
        <v>0.010248234221113</v>
      </c>
      <c r="G1354" s="1" t="n">
        <f aca="false">C1354/C1353-1</f>
        <v>1.63021771557581E-005</v>
      </c>
    </row>
    <row r="1355" customFormat="false" ht="15" hidden="false" customHeight="false" outlineLevel="0" collapsed="false">
      <c r="A1355" s="1" t="s">
        <v>1362</v>
      </c>
      <c r="B1355" s="5" t="n">
        <v>28.2408</v>
      </c>
      <c r="C1355" s="5" t="n">
        <v>12.2688</v>
      </c>
      <c r="D1355" s="1" t="n">
        <f aca="false">LN(B1355/B1354)</f>
        <v>-0.0118589525704312</v>
      </c>
      <c r="E1355" s="1" t="n">
        <f aca="false">LN(C1355/C1354)</f>
        <v>2.44525681322533E-005</v>
      </c>
      <c r="F1355" s="1" t="n">
        <f aca="false">B1355/B1354-1</f>
        <v>-0.0117889123337428</v>
      </c>
      <c r="G1355" s="1" t="n">
        <f aca="false">C1355/C1354-1</f>
        <v>2.44528670987343E-005</v>
      </c>
    </row>
    <row r="1356" customFormat="false" ht="15" hidden="false" customHeight="false" outlineLevel="0" collapsed="false">
      <c r="A1356" s="1" t="s">
        <v>1363</v>
      </c>
      <c r="B1356" s="5" t="n">
        <v>28.4937</v>
      </c>
      <c r="C1356" s="5" t="n">
        <v>12.2689</v>
      </c>
      <c r="D1356" s="1" t="n">
        <f aca="false">LN(B1356/B1355)</f>
        <v>0.00891526937159992</v>
      </c>
      <c r="E1356" s="1" t="n">
        <f aca="false">LN(C1356/C1355)</f>
        <v>8.15072317303393E-006</v>
      </c>
      <c r="F1356" s="1" t="n">
        <f aca="false">B1356/B1355-1</f>
        <v>0.00895512874989368</v>
      </c>
      <c r="G1356" s="1" t="n">
        <f aca="false">C1356/C1355-1</f>
        <v>8.1507563902683E-006</v>
      </c>
    </row>
    <row r="1357" customFormat="false" ht="15" hidden="false" customHeight="false" outlineLevel="0" collapsed="false">
      <c r="A1357" s="1" t="s">
        <v>1364</v>
      </c>
      <c r="B1357" s="5" t="n">
        <v>28.6625</v>
      </c>
      <c r="C1357" s="5" t="n">
        <v>12.2689</v>
      </c>
      <c r="D1357" s="1" t="n">
        <f aca="false">LN(B1357/B1356)</f>
        <v>0.00590663797673107</v>
      </c>
      <c r="E1357" s="1" t="n">
        <f aca="false">LN(C1357/C1356)</f>
        <v>0</v>
      </c>
      <c r="F1357" s="1" t="n">
        <f aca="false">B1357/B1356-1</f>
        <v>0.00592411655909908</v>
      </c>
      <c r="G1357" s="1" t="n">
        <f aca="false">C1357/C1356-1</f>
        <v>0</v>
      </c>
    </row>
    <row r="1358" customFormat="false" ht="15" hidden="false" customHeight="false" outlineLevel="0" collapsed="false">
      <c r="A1358" s="1" t="s">
        <v>1365</v>
      </c>
      <c r="B1358" s="5" t="n">
        <v>28.6195</v>
      </c>
      <c r="C1358" s="5" t="n">
        <v>12.2688</v>
      </c>
      <c r="D1358" s="1" t="n">
        <f aca="false">LN(B1358/B1357)</f>
        <v>-0.00150134450881471</v>
      </c>
      <c r="E1358" s="1" t="n">
        <f aca="false">LN(C1358/C1357)</f>
        <v>-8.15072317290865E-006</v>
      </c>
      <c r="F1358" s="1" t="n">
        <f aca="false">B1358/B1357-1</f>
        <v>-0.00150021805494993</v>
      </c>
      <c r="G1358" s="1" t="n">
        <f aca="false">C1358/C1357-1</f>
        <v>-8.15068995585477E-006</v>
      </c>
    </row>
    <row r="1359" customFormat="false" ht="15" hidden="false" customHeight="false" outlineLevel="0" collapsed="false">
      <c r="A1359" s="1" t="s">
        <v>1366</v>
      </c>
      <c r="B1359" s="5" t="n">
        <v>28.3833</v>
      </c>
      <c r="C1359" s="5" t="n">
        <v>12.269</v>
      </c>
      <c r="D1359" s="1" t="n">
        <f aca="false">LN(B1359/B1358)</f>
        <v>-0.00828735963343113</v>
      </c>
      <c r="E1359" s="1" t="n">
        <f aca="false">LN(C1359/C1358)</f>
        <v>1.63013799120991E-005</v>
      </c>
      <c r="F1359" s="1" t="n">
        <f aca="false">B1359/B1358-1</f>
        <v>-0.00825311413546703</v>
      </c>
      <c r="G1359" s="1" t="n">
        <f aca="false">C1359/C1358-1</f>
        <v>1.63015127803146E-005</v>
      </c>
    </row>
    <row r="1360" customFormat="false" ht="15" hidden="false" customHeight="false" outlineLevel="0" collapsed="false">
      <c r="A1360" s="1" t="s">
        <v>1367</v>
      </c>
      <c r="B1360" s="5" t="n">
        <v>28.2847</v>
      </c>
      <c r="C1360" s="5" t="n">
        <v>12.2691</v>
      </c>
      <c r="D1360" s="1" t="n">
        <f aca="false">LN(B1360/B1359)</f>
        <v>-0.0034799216313481</v>
      </c>
      <c r="E1360" s="1" t="n">
        <f aca="false">LN(C1360/C1359)</f>
        <v>8.1505903066221E-006</v>
      </c>
      <c r="F1360" s="1" t="n">
        <f aca="false">B1360/B1359-1</f>
        <v>-0.00347387372151931</v>
      </c>
      <c r="G1360" s="1" t="n">
        <f aca="false">C1360/C1359-1</f>
        <v>8.15062352277352E-006</v>
      </c>
    </row>
    <row r="1361" customFormat="false" ht="15" hidden="false" customHeight="false" outlineLevel="0" collapsed="false">
      <c r="A1361" s="1" t="s">
        <v>1368</v>
      </c>
      <c r="B1361" s="5" t="n">
        <v>28.7116</v>
      </c>
      <c r="C1361" s="5" t="n">
        <v>12.2692</v>
      </c>
      <c r="D1361" s="1" t="n">
        <f aca="false">LN(B1361/B1360)</f>
        <v>0.0149801998806031</v>
      </c>
      <c r="E1361" s="1" t="n">
        <f aca="false">LN(C1361/C1360)</f>
        <v>8.15052387497048E-006</v>
      </c>
      <c r="F1361" s="1" t="n">
        <f aca="false">B1361/B1360-1</f>
        <v>0.0150929654548218</v>
      </c>
      <c r="G1361" s="1" t="n">
        <f aca="false">C1361/C1360-1</f>
        <v>8.15055709058044E-006</v>
      </c>
    </row>
    <row r="1362" customFormat="false" ht="15" hidden="false" customHeight="false" outlineLevel="0" collapsed="false">
      <c r="A1362" s="1" t="s">
        <v>1369</v>
      </c>
      <c r="B1362" s="5" t="n">
        <v>29.1405</v>
      </c>
      <c r="C1362" s="5" t="n">
        <v>12.2693</v>
      </c>
      <c r="D1362" s="1" t="n">
        <f aca="false">LN(B1362/B1361)</f>
        <v>0.0148277368737758</v>
      </c>
      <c r="E1362" s="1" t="n">
        <f aca="false">LN(C1362/C1361)</f>
        <v>8.15045744442906E-006</v>
      </c>
      <c r="F1362" s="1" t="n">
        <f aca="false">B1362/B1361-1</f>
        <v>0.0149382131264018</v>
      </c>
      <c r="G1362" s="1" t="n">
        <f aca="false">C1362/C1361-1</f>
        <v>8.15049065949758E-006</v>
      </c>
    </row>
    <row r="1363" customFormat="false" ht="15" hidden="false" customHeight="false" outlineLevel="0" collapsed="false">
      <c r="A1363" s="1" t="s">
        <v>1370</v>
      </c>
      <c r="B1363" s="5" t="n">
        <v>28.6441</v>
      </c>
      <c r="C1363" s="5" t="n">
        <v>12.2696</v>
      </c>
      <c r="D1363" s="1" t="n">
        <f aca="false">LN(B1363/B1362)</f>
        <v>-0.0171814708936852</v>
      </c>
      <c r="E1363" s="1" t="n">
        <f aca="false">LN(C1363/C1362)</f>
        <v>2.44509737613016E-005</v>
      </c>
      <c r="F1363" s="1" t="n">
        <f aca="false">B1363/B1362-1</f>
        <v>-0.017034711140852</v>
      </c>
      <c r="G1363" s="1" t="n">
        <f aca="false">C1363/C1362-1</f>
        <v>2.44512726887969E-005</v>
      </c>
    </row>
    <row r="1364" customFormat="false" ht="15" hidden="false" customHeight="false" outlineLevel="0" collapsed="false">
      <c r="A1364" s="1" t="s">
        <v>1371</v>
      </c>
      <c r="B1364" s="5" t="n">
        <v>28.5622</v>
      </c>
      <c r="C1364" s="5" t="n">
        <v>12.2697</v>
      </c>
      <c r="D1364" s="1" t="n">
        <f aca="false">LN(B1364/B1363)</f>
        <v>-0.00286332295413485</v>
      </c>
      <c r="E1364" s="1" t="n">
        <f aca="false">LN(C1364/C1363)</f>
        <v>8.15019173336551E-006</v>
      </c>
      <c r="F1364" s="1" t="n">
        <f aca="false">B1364/B1363-1</f>
        <v>-0.00285922755471457</v>
      </c>
      <c r="G1364" s="1" t="n">
        <f aca="false">C1364/C1363-1</f>
        <v>8.15022494626838E-006</v>
      </c>
    </row>
    <row r="1365" customFormat="false" ht="15" hidden="false" customHeight="false" outlineLevel="0" collapsed="false">
      <c r="A1365" s="1" t="s">
        <v>1372</v>
      </c>
      <c r="B1365" s="5" t="n">
        <v>28.7799</v>
      </c>
      <c r="C1365" s="5" t="n">
        <v>12.2697</v>
      </c>
      <c r="D1365" s="1" t="n">
        <f aca="false">LN(B1365/B1364)</f>
        <v>0.00759306150103402</v>
      </c>
      <c r="E1365" s="1" t="n">
        <f aca="false">LN(C1365/C1364)</f>
        <v>0</v>
      </c>
      <c r="F1365" s="1" t="n">
        <f aca="false">B1365/B1364-1</f>
        <v>0.00762196189369169</v>
      </c>
      <c r="G1365" s="1" t="n">
        <f aca="false">C1365/C1364-1</f>
        <v>0</v>
      </c>
    </row>
    <row r="1366" customFormat="false" ht="15" hidden="false" customHeight="false" outlineLevel="0" collapsed="false">
      <c r="A1366" s="1" t="s">
        <v>1373</v>
      </c>
      <c r="B1366" s="5" t="n">
        <v>28.2416</v>
      </c>
      <c r="C1366" s="5" t="n">
        <v>12.2698</v>
      </c>
      <c r="D1366" s="1" t="n">
        <f aca="false">LN(B1366/B1365)</f>
        <v>-0.0188811585741445</v>
      </c>
      <c r="E1366" s="1" t="n">
        <f aca="false">LN(C1366/C1365)</f>
        <v>8.1501253081531E-006</v>
      </c>
      <c r="F1366" s="1" t="n">
        <f aca="false">B1366/B1365-1</f>
        <v>-0.018704026073753</v>
      </c>
      <c r="G1366" s="1" t="n">
        <f aca="false">C1366/C1365-1</f>
        <v>8.15015852051459E-006</v>
      </c>
    </row>
    <row r="1367" customFormat="false" ht="15" hidden="false" customHeight="false" outlineLevel="0" collapsed="false">
      <c r="A1367" s="1" t="s">
        <v>1374</v>
      </c>
      <c r="B1367" s="5" t="n">
        <v>27.9125</v>
      </c>
      <c r="C1367" s="5" t="n">
        <v>12.2699</v>
      </c>
      <c r="D1367" s="1" t="n">
        <f aca="false">LN(B1367/B1366)</f>
        <v>-0.0117214510776011</v>
      </c>
      <c r="E1367" s="1" t="n">
        <f aca="false">LN(C1367/C1366)</f>
        <v>8.15005888427294E-006</v>
      </c>
      <c r="F1367" s="1" t="n">
        <f aca="false">B1367/B1366-1</f>
        <v>-0.0116530224916435</v>
      </c>
      <c r="G1367" s="1" t="n">
        <f aca="false">C1367/C1366-1</f>
        <v>8.15009209609308E-006</v>
      </c>
    </row>
    <row r="1368" customFormat="false" ht="15" hidden="false" customHeight="false" outlineLevel="0" collapsed="false">
      <c r="A1368" s="1" t="s">
        <v>1375</v>
      </c>
      <c r="B1368" s="5" t="n">
        <v>27.9069</v>
      </c>
      <c r="C1368" s="5" t="n">
        <v>12.2698</v>
      </c>
      <c r="D1368" s="1" t="n">
        <f aca="false">LN(B1368/B1367)</f>
        <v>-0.000200647087528336</v>
      </c>
      <c r="E1368" s="1" t="n">
        <f aca="false">LN(C1368/C1367)</f>
        <v>-8.15005888419942E-006</v>
      </c>
      <c r="F1368" s="1" t="n">
        <f aca="false">B1368/B1367-1</f>
        <v>-0.000200626959247718</v>
      </c>
      <c r="G1368" s="1" t="n">
        <f aca="false">C1368/C1367-1</f>
        <v>-8.15002567255974E-006</v>
      </c>
    </row>
    <row r="1369" customFormat="false" ht="15" hidden="false" customHeight="false" outlineLevel="0" collapsed="false">
      <c r="A1369" s="1" t="s">
        <v>1376</v>
      </c>
      <c r="B1369" s="5" t="n">
        <v>28.3044</v>
      </c>
      <c r="C1369" s="5" t="n">
        <v>12.27</v>
      </c>
      <c r="D1369" s="1" t="n">
        <f aca="false">LN(B1369/B1368)</f>
        <v>0.0141432995169451</v>
      </c>
      <c r="E1369" s="1" t="n">
        <f aca="false">LN(C1369/C1368)</f>
        <v>1.63000513454054E-005</v>
      </c>
      <c r="F1369" s="1" t="n">
        <f aca="false">B1369/B1368-1</f>
        <v>0.0142437891704204</v>
      </c>
      <c r="G1369" s="1" t="n">
        <f aca="false">C1369/C1368-1</f>
        <v>1.63001841919641E-005</v>
      </c>
    </row>
    <row r="1370" customFormat="false" ht="15" hidden="false" customHeight="false" outlineLevel="0" collapsed="false">
      <c r="A1370" s="1" t="s">
        <v>1377</v>
      </c>
      <c r="B1370" s="5" t="n">
        <v>28.3606</v>
      </c>
      <c r="C1370" s="5" t="n">
        <v>12.2703</v>
      </c>
      <c r="D1370" s="1" t="n">
        <f aca="false">LN(B1370/B1369)</f>
        <v>0.00198358840297019</v>
      </c>
      <c r="E1370" s="1" t="n">
        <f aca="false">LN(C1370/C1369)</f>
        <v>2.44495788572428E-005</v>
      </c>
      <c r="F1370" s="1" t="n">
        <f aca="false">B1370/B1369-1</f>
        <v>0.00198555701587044</v>
      </c>
      <c r="G1370" s="1" t="n">
        <f aca="false">C1370/C1369-1</f>
        <v>2.44498777506319E-005</v>
      </c>
    </row>
    <row r="1371" customFormat="false" ht="15" hidden="false" customHeight="false" outlineLevel="0" collapsed="false">
      <c r="A1371" s="1" t="s">
        <v>1378</v>
      </c>
      <c r="B1371" s="5" t="n">
        <v>28.4584</v>
      </c>
      <c r="C1371" s="5" t="n">
        <v>12.2702</v>
      </c>
      <c r="D1371" s="1" t="n">
        <f aca="false">LN(B1371/B1370)</f>
        <v>0.0034425138275868</v>
      </c>
      <c r="E1371" s="1" t="n">
        <f aca="false">LN(C1371/C1370)</f>
        <v>-8.14979319900298E-006</v>
      </c>
      <c r="F1371" s="1" t="n">
        <f aca="false">B1371/B1370-1</f>
        <v>0.00344844608365125</v>
      </c>
      <c r="G1371" s="1" t="n">
        <f aca="false">C1371/C1370-1</f>
        <v>-8.1497599895286E-006</v>
      </c>
    </row>
    <row r="1372" customFormat="false" ht="15" hidden="false" customHeight="false" outlineLevel="0" collapsed="false">
      <c r="A1372" s="1" t="s">
        <v>1379</v>
      </c>
      <c r="B1372" s="5" t="n">
        <v>28.5422</v>
      </c>
      <c r="C1372" s="5" t="n">
        <v>12.2702</v>
      </c>
      <c r="D1372" s="1" t="n">
        <f aca="false">LN(B1372/B1371)</f>
        <v>0.00294032204483317</v>
      </c>
      <c r="E1372" s="1" t="n">
        <f aca="false">LN(C1372/C1371)</f>
        <v>0</v>
      </c>
      <c r="F1372" s="1" t="n">
        <f aca="false">B1372/B1371-1</f>
        <v>0.00294464903156899</v>
      </c>
      <c r="G1372" s="1" t="n">
        <f aca="false">C1372/C1371-1</f>
        <v>0</v>
      </c>
    </row>
    <row r="1373" customFormat="false" ht="15" hidden="false" customHeight="false" outlineLevel="0" collapsed="false">
      <c r="A1373" s="1" t="s">
        <v>1380</v>
      </c>
      <c r="B1373" s="5" t="n">
        <v>28.4427</v>
      </c>
      <c r="C1373" s="5" t="n">
        <v>12.2702</v>
      </c>
      <c r="D1373" s="1" t="n">
        <f aca="false">LN(B1373/B1372)</f>
        <v>-0.00349215673338631</v>
      </c>
      <c r="E1373" s="1" t="n">
        <f aca="false">LN(C1373/C1372)</f>
        <v>0</v>
      </c>
      <c r="F1373" s="1" t="n">
        <f aca="false">B1373/B1372-1</f>
        <v>-0.00348606624576953</v>
      </c>
      <c r="G1373" s="1" t="n">
        <f aca="false">C1373/C1372-1</f>
        <v>0</v>
      </c>
    </row>
    <row r="1374" customFormat="false" ht="15" hidden="false" customHeight="false" outlineLevel="0" collapsed="false">
      <c r="A1374" s="1" t="s">
        <v>1381</v>
      </c>
      <c r="B1374" s="5" t="n">
        <v>28.0754</v>
      </c>
      <c r="C1374" s="5" t="n">
        <v>12.2706</v>
      </c>
      <c r="D1374" s="1" t="n">
        <f aca="false">LN(B1374/B1373)</f>
        <v>-0.0129977890634831</v>
      </c>
      <c r="E1374" s="1" t="n">
        <f aca="false">LN(C1374/C1373)</f>
        <v>3.259877428889E-005</v>
      </c>
      <c r="F1374" s="1" t="n">
        <f aca="false">B1374/B1373-1</f>
        <v>-0.0129136825969405</v>
      </c>
      <c r="G1374" s="1" t="n">
        <f aca="false">C1374/C1373-1</f>
        <v>3.25993056347063E-005</v>
      </c>
    </row>
    <row r="1375" customFormat="false" ht="15" hidden="false" customHeight="false" outlineLevel="0" collapsed="false">
      <c r="A1375" s="1" t="s">
        <v>1382</v>
      </c>
      <c r="B1375" s="5" t="n">
        <v>27.9931</v>
      </c>
      <c r="C1375" s="5" t="n">
        <v>12.2708</v>
      </c>
      <c r="D1375" s="1" t="n">
        <f aca="false">LN(B1375/B1374)</f>
        <v>-0.0029356968389479</v>
      </c>
      <c r="E1375" s="1" t="n">
        <f aca="false">LN(C1375/C1374)</f>
        <v>1.6298988648144E-005</v>
      </c>
      <c r="F1375" s="1" t="n">
        <f aca="false">B1375/B1374-1</f>
        <v>-0.00293139189468361</v>
      </c>
      <c r="G1375" s="1" t="n">
        <f aca="false">C1375/C1374-1</f>
        <v>1.62991214773811E-005</v>
      </c>
    </row>
    <row r="1376" customFormat="false" ht="15" hidden="false" customHeight="false" outlineLevel="0" collapsed="false">
      <c r="A1376" s="1" t="s">
        <v>1383</v>
      </c>
      <c r="B1376" s="5" t="n">
        <v>28.1949</v>
      </c>
      <c r="C1376" s="5" t="n">
        <v>12.2707</v>
      </c>
      <c r="D1376" s="1" t="n">
        <f aca="false">LN(B1376/B1375)</f>
        <v>0.00718305928944677</v>
      </c>
      <c r="E1376" s="1" t="n">
        <f aca="false">LN(C1376/C1375)</f>
        <v>-8.14946111693264E-006</v>
      </c>
      <c r="F1376" s="1" t="n">
        <f aca="false">B1376/B1375-1</f>
        <v>0.00720891934083756</v>
      </c>
      <c r="G1376" s="1" t="n">
        <f aca="false">C1376/C1375-1</f>
        <v>-8.1494279101646E-006</v>
      </c>
    </row>
    <row r="1377" customFormat="false" ht="15" hidden="false" customHeight="false" outlineLevel="0" collapsed="false">
      <c r="A1377" s="1" t="s">
        <v>1384</v>
      </c>
      <c r="B1377" s="5" t="n">
        <v>28.1017</v>
      </c>
      <c r="C1377" s="5" t="n">
        <v>12.271</v>
      </c>
      <c r="D1377" s="1" t="n">
        <f aca="false">LN(B1377/B1376)</f>
        <v>-0.00331103779431535</v>
      </c>
      <c r="E1377" s="1" t="n">
        <f aca="false">LN(C1377/C1376)</f>
        <v>2.44481841123842E-005</v>
      </c>
      <c r="F1377" s="1" t="n">
        <f aca="false">B1377/B1376-1</f>
        <v>-0.00330556235347523</v>
      </c>
      <c r="G1377" s="1" t="n">
        <f aca="false">C1377/C1376-1</f>
        <v>2.44484829716729E-005</v>
      </c>
    </row>
    <row r="1378" customFormat="false" ht="15" hidden="false" customHeight="false" outlineLevel="0" collapsed="false">
      <c r="A1378" s="1" t="s">
        <v>1385</v>
      </c>
      <c r="B1378" s="5" t="n">
        <v>27.7172</v>
      </c>
      <c r="C1378" s="5" t="n">
        <v>12.2711</v>
      </c>
      <c r="D1378" s="1" t="n">
        <f aca="false">LN(B1378/B1377)</f>
        <v>-0.0137769136115686</v>
      </c>
      <c r="E1378" s="1" t="n">
        <f aca="false">LN(C1378/C1377)</f>
        <v>8.14926188053269E-006</v>
      </c>
      <c r="F1378" s="1" t="n">
        <f aca="false">B1378/B1377-1</f>
        <v>-0.0136824462576998</v>
      </c>
      <c r="G1378" s="1" t="n">
        <f aca="false">C1378/C1377-1</f>
        <v>8.14929508585749E-006</v>
      </c>
    </row>
    <row r="1379" customFormat="false" ht="15" hidden="false" customHeight="false" outlineLevel="0" collapsed="false">
      <c r="A1379" s="1" t="s">
        <v>1386</v>
      </c>
      <c r="B1379" s="5" t="n">
        <v>27.6716</v>
      </c>
      <c r="C1379" s="5" t="n">
        <v>12.271</v>
      </c>
      <c r="D1379" s="1" t="n">
        <f aca="false">LN(B1379/B1378)</f>
        <v>-0.00164654263324665</v>
      </c>
      <c r="E1379" s="1" t="n">
        <f aca="false">LN(C1379/C1378)</f>
        <v>-8.1492618806802E-006</v>
      </c>
      <c r="F1379" s="1" t="n">
        <f aca="false">B1379/B1378-1</f>
        <v>-0.00164518782560996</v>
      </c>
      <c r="G1379" s="1" t="n">
        <f aca="false">C1379/C1378-1</f>
        <v>-8.1492286755358E-006</v>
      </c>
    </row>
    <row r="1380" customFormat="false" ht="15" hidden="false" customHeight="false" outlineLevel="0" collapsed="false">
      <c r="A1380" s="1" t="s">
        <v>1387</v>
      </c>
      <c r="B1380" s="5" t="n">
        <v>27.632</v>
      </c>
      <c r="C1380" s="5" t="n">
        <v>12.2713</v>
      </c>
      <c r="D1380" s="1" t="n">
        <f aca="false">LN(B1380/B1379)</f>
        <v>-0.00143209508125904</v>
      </c>
      <c r="E1380" s="1" t="n">
        <f aca="false">LN(C1380/C1379)</f>
        <v>2.44475864131185E-005</v>
      </c>
      <c r="F1380" s="1" t="n">
        <f aca="false">B1380/B1379-1</f>
        <v>-0.00143107012243604</v>
      </c>
      <c r="G1380" s="1" t="n">
        <f aca="false">C1380/C1379-1</f>
        <v>2.44478852577945E-005</v>
      </c>
    </row>
    <row r="1381" customFormat="false" ht="15" hidden="false" customHeight="false" outlineLevel="0" collapsed="false">
      <c r="A1381" s="1" t="s">
        <v>1388</v>
      </c>
      <c r="B1381" s="5" t="n">
        <v>27.413</v>
      </c>
      <c r="C1381" s="5" t="n">
        <v>12.2713</v>
      </c>
      <c r="D1381" s="1" t="n">
        <f aca="false">LN(B1381/B1380)</f>
        <v>-0.00795716797257918</v>
      </c>
      <c r="E1381" s="1" t="n">
        <f aca="false">LN(C1381/C1380)</f>
        <v>0</v>
      </c>
      <c r="F1381" s="1" t="n">
        <f aca="false">B1381/B1380-1</f>
        <v>-0.00792559351476552</v>
      </c>
      <c r="G1381" s="1" t="n">
        <f aca="false">C1381/C1380-1</f>
        <v>0</v>
      </c>
    </row>
    <row r="1382" customFormat="false" ht="15" hidden="false" customHeight="false" outlineLevel="0" collapsed="false">
      <c r="A1382" s="1" t="s">
        <v>1389</v>
      </c>
      <c r="B1382" s="5" t="n">
        <v>27.2397</v>
      </c>
      <c r="C1382" s="5" t="n">
        <v>12.2715</v>
      </c>
      <c r="D1382" s="1" t="n">
        <f aca="false">LN(B1382/B1381)</f>
        <v>-0.00634188542693701</v>
      </c>
      <c r="E1382" s="1" t="n">
        <f aca="false">LN(C1382/C1381)</f>
        <v>1.62980589014745E-005</v>
      </c>
      <c r="F1382" s="1" t="n">
        <f aca="false">B1382/B1381-1</f>
        <v>-0.00632181811549271</v>
      </c>
      <c r="G1382" s="1" t="n">
        <f aca="false">C1382/C1381-1</f>
        <v>1.6298191715558E-005</v>
      </c>
    </row>
    <row r="1383" customFormat="false" ht="15" hidden="false" customHeight="false" outlineLevel="0" collapsed="false">
      <c r="A1383" s="1" t="s">
        <v>1390</v>
      </c>
      <c r="B1383" s="5" t="n">
        <v>27.5341</v>
      </c>
      <c r="C1383" s="5" t="n">
        <v>12.2717</v>
      </c>
      <c r="D1383" s="1" t="n">
        <f aca="false">LN(B1383/B1382)</f>
        <v>0.0107497685026697</v>
      </c>
      <c r="E1383" s="1" t="n">
        <f aca="false">LN(C1383/C1382)</f>
        <v>1.62977932791718E-005</v>
      </c>
      <c r="F1383" s="1" t="n">
        <f aca="false">B1383/B1382-1</f>
        <v>0.0108077548577994</v>
      </c>
      <c r="G1383" s="1" t="n">
        <f aca="false">C1383/C1382-1</f>
        <v>1.62979260889262E-005</v>
      </c>
    </row>
    <row r="1384" customFormat="false" ht="15" hidden="false" customHeight="false" outlineLevel="0" collapsed="false">
      <c r="A1384" s="1" t="s">
        <v>1391</v>
      </c>
      <c r="B1384" s="5" t="n">
        <v>27.7123</v>
      </c>
      <c r="C1384" s="5" t="n">
        <v>12.2721</v>
      </c>
      <c r="D1384" s="1" t="n">
        <f aca="false">LN(B1384/B1383)</f>
        <v>0.00645112144905541</v>
      </c>
      <c r="E1384" s="1" t="n">
        <f aca="false">LN(C1384/C1383)</f>
        <v>3.2594789725756E-005</v>
      </c>
      <c r="F1384" s="1" t="n">
        <f aca="false">B1384/B1383-1</f>
        <v>0.00647197475130845</v>
      </c>
      <c r="G1384" s="1" t="n">
        <f aca="false">C1384/C1383-1</f>
        <v>3.25953209416863E-005</v>
      </c>
    </row>
    <row r="1385" customFormat="false" ht="15" hidden="false" customHeight="false" outlineLevel="0" collapsed="false">
      <c r="A1385" s="1" t="s">
        <v>1392</v>
      </c>
      <c r="B1385" s="5" t="n">
        <v>27.4747</v>
      </c>
      <c r="C1385" s="5" t="n">
        <v>12.2721</v>
      </c>
      <c r="D1385" s="1" t="n">
        <f aca="false">LN(B1385/B1384)</f>
        <v>-0.00861077674374811</v>
      </c>
      <c r="E1385" s="1" t="n">
        <f aca="false">LN(C1385/C1384)</f>
        <v>0</v>
      </c>
      <c r="F1385" s="1" t="n">
        <f aca="false">B1385/B1384-1</f>
        <v>-0.00857381018536896</v>
      </c>
      <c r="G1385" s="1" t="n">
        <f aca="false">C1385/C1384-1</f>
        <v>0</v>
      </c>
    </row>
    <row r="1386" customFormat="false" ht="15" hidden="false" customHeight="false" outlineLevel="0" collapsed="false">
      <c r="A1386" s="1" t="s">
        <v>1393</v>
      </c>
      <c r="B1386" s="5" t="n">
        <v>27.5136</v>
      </c>
      <c r="C1386" s="5" t="n">
        <v>12.2722</v>
      </c>
      <c r="D1386" s="1" t="n">
        <f aca="false">LN(B1386/B1385)</f>
        <v>0.00141484666698702</v>
      </c>
      <c r="E1386" s="1" t="n">
        <f aca="false">LN(C1386/C1385)</f>
        <v>8.14853143101119E-006</v>
      </c>
      <c r="F1386" s="1" t="n">
        <f aca="false">B1386/B1385-1</f>
        <v>0.00141584803473749</v>
      </c>
      <c r="G1386" s="1" t="n">
        <f aca="false">C1386/C1385-1</f>
        <v>8.1485646303836E-006</v>
      </c>
    </row>
    <row r="1387" customFormat="false" ht="15" hidden="false" customHeight="false" outlineLevel="0" collapsed="false">
      <c r="A1387" s="1" t="s">
        <v>1394</v>
      </c>
      <c r="B1387" s="5" t="n">
        <v>27.1478</v>
      </c>
      <c r="C1387" s="5" t="n">
        <v>12.2724</v>
      </c>
      <c r="D1387" s="1" t="n">
        <f aca="false">LN(B1387/B1386)</f>
        <v>-0.0133844160905907</v>
      </c>
      <c r="E1387" s="1" t="n">
        <f aca="false">LN(C1387/C1386)</f>
        <v>1.62968636688344E-005</v>
      </c>
      <c r="F1387" s="1" t="n">
        <f aca="false">B1387/B1386-1</f>
        <v>-0.013295243079786</v>
      </c>
      <c r="G1387" s="1" t="n">
        <f aca="false">C1387/C1386-1</f>
        <v>1.62969964634385E-005</v>
      </c>
    </row>
    <row r="1388" customFormat="false" ht="15" hidden="false" customHeight="false" outlineLevel="0" collapsed="false">
      <c r="A1388" s="1" t="s">
        <v>1395</v>
      </c>
      <c r="B1388" s="5" t="n">
        <v>26.9173</v>
      </c>
      <c r="C1388" s="5" t="n">
        <v>12.2726</v>
      </c>
      <c r="D1388" s="1" t="n">
        <f aca="false">LN(B1388/B1387)</f>
        <v>-0.00852680921957132</v>
      </c>
      <c r="E1388" s="1" t="n">
        <f aca="false">LN(C1388/C1387)</f>
        <v>1.62965980856106E-005</v>
      </c>
      <c r="F1388" s="1" t="n">
        <f aca="false">B1388/B1387-1</f>
        <v>-0.00849055908766083</v>
      </c>
      <c r="G1388" s="1" t="n">
        <f aca="false">C1388/C1387-1</f>
        <v>1.62967308758866E-005</v>
      </c>
    </row>
    <row r="1389" customFormat="false" ht="15" hidden="false" customHeight="false" outlineLevel="0" collapsed="false">
      <c r="A1389" s="1" t="s">
        <v>1396</v>
      </c>
      <c r="B1389" s="5" t="n">
        <v>26.7018</v>
      </c>
      <c r="C1389" s="5" t="n">
        <v>12.2728</v>
      </c>
      <c r="D1389" s="1" t="n">
        <f aca="false">LN(B1389/B1388)</f>
        <v>-0.00803822370540604</v>
      </c>
      <c r="E1389" s="1" t="n">
        <f aca="false">LN(C1389/C1388)</f>
        <v>1.62963325106023E-005</v>
      </c>
      <c r="F1389" s="1" t="n">
        <f aca="false">B1389/B1388-1</f>
        <v>-0.00800600357390979</v>
      </c>
      <c r="G1389" s="1" t="n">
        <f aca="false">C1389/C1388-1</f>
        <v>1.62964652965503E-005</v>
      </c>
    </row>
    <row r="1390" customFormat="false" ht="15" hidden="false" customHeight="false" outlineLevel="0" collapsed="false">
      <c r="A1390" s="1" t="s">
        <v>1397</v>
      </c>
      <c r="B1390" s="5" t="n">
        <v>26.2029</v>
      </c>
      <c r="C1390" s="5" t="n">
        <v>12.2727</v>
      </c>
      <c r="D1390" s="1" t="n">
        <f aca="false">LN(B1390/B1389)</f>
        <v>-0.0188608871996073</v>
      </c>
      <c r="E1390" s="1" t="n">
        <f aca="false">LN(C1390/C1389)</f>
        <v>-8.14813305899389E-006</v>
      </c>
      <c r="F1390" s="1" t="n">
        <f aca="false">B1390/B1389-1</f>
        <v>-0.018684133653911</v>
      </c>
      <c r="G1390" s="1" t="n">
        <f aca="false">C1390/C1389-1</f>
        <v>-8.14809986304788E-006</v>
      </c>
    </row>
    <row r="1391" customFormat="false" ht="15" hidden="false" customHeight="false" outlineLevel="0" collapsed="false">
      <c r="A1391" s="1" t="s">
        <v>1398</v>
      </c>
      <c r="B1391" s="5" t="n">
        <v>26.1635</v>
      </c>
      <c r="C1391" s="5" t="n">
        <v>12.2725</v>
      </c>
      <c r="D1391" s="1" t="n">
        <f aca="false">LN(B1391/B1390)</f>
        <v>-0.00150478197602581</v>
      </c>
      <c r="E1391" s="1" t="n">
        <f aca="false">LN(C1391/C1390)</f>
        <v>-1.62964652969931E-005</v>
      </c>
      <c r="F1391" s="1" t="n">
        <f aca="false">B1391/B1390-1</f>
        <v>-0.00150365035931144</v>
      </c>
      <c r="G1391" s="1" t="n">
        <f aca="false">C1391/C1390-1</f>
        <v>-1.62963325103238E-005</v>
      </c>
    </row>
    <row r="1392" customFormat="false" ht="15" hidden="false" customHeight="false" outlineLevel="0" collapsed="false">
      <c r="A1392" s="1" t="s">
        <v>1399</v>
      </c>
      <c r="B1392" s="5" t="n">
        <v>26.6925</v>
      </c>
      <c r="C1392" s="5" t="n">
        <v>12.273</v>
      </c>
      <c r="D1392" s="1" t="n">
        <f aca="false">LN(B1392/B1391)</f>
        <v>0.0200173173817507</v>
      </c>
      <c r="E1392" s="1" t="n">
        <f aca="false">LN(C1392/C1391)</f>
        <v>4.07406653006511E-005</v>
      </c>
      <c r="F1392" s="1" t="n">
        <f aca="false">B1392/B1391-1</f>
        <v>0.0202190073957995</v>
      </c>
      <c r="G1392" s="1" t="n">
        <f aca="false">C1392/C1391-1</f>
        <v>4.0741495212826E-005</v>
      </c>
    </row>
    <row r="1393" customFormat="false" ht="15" hidden="false" customHeight="false" outlineLevel="0" collapsed="false">
      <c r="A1393" s="1" t="s">
        <v>1400</v>
      </c>
      <c r="B1393" s="5" t="n">
        <v>26.5079</v>
      </c>
      <c r="C1393" s="5" t="n">
        <v>12.2729</v>
      </c>
      <c r="D1393" s="1" t="n">
        <f aca="false">LN(B1393/B1392)</f>
        <v>-0.00693982529750968</v>
      </c>
      <c r="E1393" s="1" t="n">
        <f aca="false">LN(C1393/C1392)</f>
        <v>-8.14800027701459E-006</v>
      </c>
      <c r="F1393" s="1" t="n">
        <f aca="false">B1393/B1392-1</f>
        <v>-0.00691580031844152</v>
      </c>
      <c r="G1393" s="1" t="n">
        <f aca="false">C1393/C1392-1</f>
        <v>-8.14796708215049E-006</v>
      </c>
    </row>
    <row r="1394" customFormat="false" ht="15" hidden="false" customHeight="false" outlineLevel="0" collapsed="false">
      <c r="A1394" s="1" t="s">
        <v>1401</v>
      </c>
      <c r="B1394" s="5" t="n">
        <v>26.0152</v>
      </c>
      <c r="C1394" s="5" t="n">
        <v>12.2729</v>
      </c>
      <c r="D1394" s="1" t="n">
        <f aca="false">LN(B1394/B1393)</f>
        <v>-0.018761819187714</v>
      </c>
      <c r="E1394" s="1" t="n">
        <f aca="false">LN(C1394/C1393)</f>
        <v>0</v>
      </c>
      <c r="F1394" s="1" t="n">
        <f aca="false">B1394/B1393-1</f>
        <v>-0.0185869118262857</v>
      </c>
      <c r="G1394" s="1" t="n">
        <f aca="false">C1394/C1393-1</f>
        <v>0</v>
      </c>
    </row>
    <row r="1395" customFormat="false" ht="15" hidden="false" customHeight="false" outlineLevel="0" collapsed="false">
      <c r="A1395" s="1" t="s">
        <v>1402</v>
      </c>
      <c r="B1395" s="5" t="n">
        <v>26.2433</v>
      </c>
      <c r="C1395" s="5" t="n">
        <v>12.2729</v>
      </c>
      <c r="D1395" s="1" t="n">
        <f aca="false">LN(B1395/B1394)</f>
        <v>0.00872973577851176</v>
      </c>
      <c r="E1395" s="1" t="n">
        <f aca="false">LN(C1395/C1394)</f>
        <v>0</v>
      </c>
      <c r="F1395" s="1" t="n">
        <f aca="false">B1395/B1394-1</f>
        <v>0.00876795104400507</v>
      </c>
      <c r="G1395" s="1" t="n">
        <f aca="false">C1395/C1394-1</f>
        <v>0</v>
      </c>
    </row>
    <row r="1396" customFormat="false" ht="15" hidden="false" customHeight="false" outlineLevel="0" collapsed="false">
      <c r="A1396" s="1" t="s">
        <v>1403</v>
      </c>
      <c r="B1396" s="5" t="n">
        <v>25.8899</v>
      </c>
      <c r="C1396" s="5" t="n">
        <v>12.2731</v>
      </c>
      <c r="D1396" s="1" t="n">
        <f aca="false">LN(B1396/B1395)</f>
        <v>-0.0135577871027934</v>
      </c>
      <c r="E1396" s="1" t="n">
        <f aca="false">LN(C1396/C1395)</f>
        <v>1.62959341648538E-005</v>
      </c>
      <c r="F1396" s="1" t="n">
        <f aca="false">B1396/B1395-1</f>
        <v>-0.0134662942541525</v>
      </c>
      <c r="G1396" s="1" t="n">
        <f aca="false">C1396/C1395-1</f>
        <v>1.62960669443102E-005</v>
      </c>
    </row>
    <row r="1397" customFormat="false" ht="15" hidden="false" customHeight="false" outlineLevel="0" collapsed="false">
      <c r="A1397" s="1" t="s">
        <v>1404</v>
      </c>
      <c r="B1397" s="5" t="n">
        <v>26.0362</v>
      </c>
      <c r="C1397" s="5" t="n">
        <v>12.2734</v>
      </c>
      <c r="D1397" s="1" t="n">
        <f aca="false">LN(B1397/B1396)</f>
        <v>0.00563494609135381</v>
      </c>
      <c r="E1397" s="1" t="n">
        <f aca="false">LN(C1397/C1396)</f>
        <v>2.4443403337795E-005</v>
      </c>
      <c r="F1397" s="1" t="n">
        <f aca="false">B1397/B1396-1</f>
        <v>0.00565085226285156</v>
      </c>
      <c r="G1397" s="1" t="n">
        <f aca="false">C1397/C1396-1</f>
        <v>2.44437020802124E-005</v>
      </c>
    </row>
    <row r="1398" customFormat="false" ht="15" hidden="false" customHeight="false" outlineLevel="0" collapsed="false">
      <c r="A1398" s="1" t="s">
        <v>1405</v>
      </c>
      <c r="B1398" s="5" t="n">
        <v>26.2257</v>
      </c>
      <c r="C1398" s="5" t="n">
        <v>12.2735</v>
      </c>
      <c r="D1398" s="1" t="n">
        <f aca="false">LN(B1398/B1397)</f>
        <v>0.00725196866166732</v>
      </c>
      <c r="E1398" s="1" t="n">
        <f aca="false">LN(C1398/C1397)</f>
        <v>8.1476683411165E-006</v>
      </c>
      <c r="F1398" s="1" t="n">
        <f aca="false">B1398/B1397-1</f>
        <v>0.00727832786658578</v>
      </c>
      <c r="G1398" s="1" t="n">
        <f aca="false">C1398/C1397-1</f>
        <v>8.14770153345634E-006</v>
      </c>
    </row>
    <row r="1399" customFormat="false" ht="15" hidden="false" customHeight="false" outlineLevel="0" collapsed="false">
      <c r="A1399" s="1" t="s">
        <v>1406</v>
      </c>
      <c r="B1399" s="5" t="n">
        <v>26.5488</v>
      </c>
      <c r="C1399" s="5" t="n">
        <v>12.2736</v>
      </c>
      <c r="D1399" s="1" t="n">
        <f aca="false">LN(B1399/B1398)</f>
        <v>0.0122447029125503</v>
      </c>
      <c r="E1399" s="1" t="n">
        <f aca="false">LN(C1399/C1398)</f>
        <v>8.14760195698184E-006</v>
      </c>
      <c r="F1399" s="1" t="n">
        <f aca="false">B1399/B1398-1</f>
        <v>0.0123199762065456</v>
      </c>
      <c r="G1399" s="1" t="n">
        <f aca="false">C1399/C1398-1</f>
        <v>8.14763514878081E-006</v>
      </c>
    </row>
    <row r="1400" customFormat="false" ht="15" hidden="false" customHeight="false" outlineLevel="0" collapsed="false">
      <c r="A1400" s="1" t="s">
        <v>1407</v>
      </c>
      <c r="B1400" s="5" t="n">
        <v>26.7998</v>
      </c>
      <c r="C1400" s="5" t="n">
        <v>12.2737</v>
      </c>
      <c r="D1400" s="1" t="n">
        <f aca="false">LN(B1400/B1399)</f>
        <v>0.00940987587601175</v>
      </c>
      <c r="E1400" s="1" t="n">
        <f aca="false">LN(C1400/C1399)</f>
        <v>8.14753557417943E-006</v>
      </c>
      <c r="F1400" s="1" t="n">
        <f aca="false">B1400/B1399-1</f>
        <v>0.00945428795275127</v>
      </c>
      <c r="G1400" s="1" t="n">
        <f aca="false">C1400/C1399-1</f>
        <v>8.14756876543754E-006</v>
      </c>
    </row>
    <row r="1401" customFormat="false" ht="15" hidden="false" customHeight="false" outlineLevel="0" collapsed="false">
      <c r="A1401" s="1" t="s">
        <v>1408</v>
      </c>
      <c r="B1401" s="5" t="n">
        <v>26.6615</v>
      </c>
      <c r="C1401" s="5" t="n">
        <v>12.2737</v>
      </c>
      <c r="D1401" s="1" t="n">
        <f aca="false">LN(B1401/B1400)</f>
        <v>-0.00517384756858191</v>
      </c>
      <c r="E1401" s="1" t="n">
        <f aca="false">LN(C1401/C1400)</f>
        <v>0</v>
      </c>
      <c r="F1401" s="1" t="n">
        <f aca="false">B1401/B1400-1</f>
        <v>-0.0051604862722856</v>
      </c>
      <c r="G1401" s="1" t="n">
        <f aca="false">C1401/C1400-1</f>
        <v>0</v>
      </c>
    </row>
    <row r="1402" customFormat="false" ht="15" hidden="false" customHeight="false" outlineLevel="0" collapsed="false">
      <c r="A1402" s="1" t="s">
        <v>1409</v>
      </c>
      <c r="B1402" s="5" t="n">
        <v>26.7849</v>
      </c>
      <c r="C1402" s="5" t="n">
        <v>12.2739</v>
      </c>
      <c r="D1402" s="1" t="n">
        <f aca="false">LN(B1402/B1401)</f>
        <v>0.00461771865924701</v>
      </c>
      <c r="E1402" s="1" t="n">
        <f aca="false">LN(C1402/C1401)</f>
        <v>1.6294872004039E-005</v>
      </c>
      <c r="F1402" s="1" t="n">
        <f aca="false">B1402/B1401-1</f>
        <v>0.00462839675187077</v>
      </c>
      <c r="G1402" s="1" t="n">
        <f aca="false">C1402/C1401-1</f>
        <v>1.6295004766187E-005</v>
      </c>
    </row>
    <row r="1403" customFormat="false" ht="15" hidden="false" customHeight="false" outlineLevel="0" collapsed="false">
      <c r="A1403" s="1" t="s">
        <v>1410</v>
      </c>
      <c r="B1403" s="5" t="n">
        <v>26.46</v>
      </c>
      <c r="C1403" s="5" t="n">
        <v>12.2738</v>
      </c>
      <c r="D1403" s="1" t="n">
        <f aca="false">LN(B1403/B1402)</f>
        <v>-0.0122041372062532</v>
      </c>
      <c r="E1403" s="1" t="n">
        <f aca="false">LN(C1403/C1402)</f>
        <v>-8.14740281173216E-006</v>
      </c>
      <c r="F1403" s="1" t="n">
        <f aca="false">B1403/B1402-1</f>
        <v>-0.01212996875105</v>
      </c>
      <c r="G1403" s="1" t="n">
        <f aca="false">C1403/C1402-1</f>
        <v>-8.14736962173601E-006</v>
      </c>
    </row>
    <row r="1404" customFormat="false" ht="15" hidden="false" customHeight="false" outlineLevel="0" collapsed="false">
      <c r="A1404" s="1" t="s">
        <v>1411</v>
      </c>
      <c r="B1404" s="5" t="n">
        <v>26.0363</v>
      </c>
      <c r="C1404" s="5" t="n">
        <v>12.2739</v>
      </c>
      <c r="D1404" s="1" t="n">
        <f aca="false">LN(B1404/B1403)</f>
        <v>-0.0161424405357548</v>
      </c>
      <c r="E1404" s="1" t="n">
        <f aca="false">LN(C1404/C1403)</f>
        <v>8.14740281168321E-006</v>
      </c>
      <c r="F1404" s="1" t="n">
        <f aca="false">B1404/B1403-1</f>
        <v>-0.0160128495842782</v>
      </c>
      <c r="G1404" s="1" t="n">
        <f aca="false">C1404/C1403-1</f>
        <v>8.14743600185963E-006</v>
      </c>
    </row>
    <row r="1405" customFormat="false" ht="15" hidden="false" customHeight="false" outlineLevel="0" collapsed="false">
      <c r="A1405" s="1" t="s">
        <v>1412</v>
      </c>
      <c r="B1405" s="5" t="n">
        <v>25.8547</v>
      </c>
      <c r="C1405" s="5" t="n">
        <v>12.274</v>
      </c>
      <c r="D1405" s="1" t="n">
        <f aca="false">LN(B1405/B1404)</f>
        <v>-0.00699931554172099</v>
      </c>
      <c r="E1405" s="1" t="n">
        <f aca="false">LN(C1405/C1404)</f>
        <v>8.14733643198939E-006</v>
      </c>
      <c r="F1405" s="1" t="n">
        <f aca="false">B1405/B1404-1</f>
        <v>-0.00697487738273106</v>
      </c>
      <c r="G1405" s="1" t="n">
        <f aca="false">C1405/C1404-1</f>
        <v>8.14736962162499E-006</v>
      </c>
    </row>
    <row r="1406" customFormat="false" ht="15" hidden="false" customHeight="false" outlineLevel="0" collapsed="false">
      <c r="A1406" s="1" t="s">
        <v>1413</v>
      </c>
      <c r="B1406" s="5" t="n">
        <v>25.3398</v>
      </c>
      <c r="C1406" s="5" t="n">
        <v>12.2742</v>
      </c>
      <c r="D1406" s="1" t="n">
        <f aca="false">LN(B1406/B1405)</f>
        <v>-0.0201161204073145</v>
      </c>
      <c r="E1406" s="1" t="n">
        <f aca="false">LN(C1406/C1405)</f>
        <v>1.62944737297871E-005</v>
      </c>
      <c r="F1406" s="1" t="n">
        <f aca="false">B1406/B1405-1</f>
        <v>-0.0199151411542196</v>
      </c>
      <c r="G1406" s="1" t="n">
        <f aca="false">C1406/C1405-1</f>
        <v>1.62946064854452E-005</v>
      </c>
    </row>
    <row r="1407" customFormat="false" ht="15" hidden="false" customHeight="false" outlineLevel="0" collapsed="false">
      <c r="A1407" s="1" t="s">
        <v>1414</v>
      </c>
      <c r="B1407" s="5" t="n">
        <v>25.331</v>
      </c>
      <c r="C1407" s="5" t="n">
        <v>12.2741</v>
      </c>
      <c r="D1407" s="1" t="n">
        <f aca="false">LN(B1407/B1406)</f>
        <v>-0.00034734008890619</v>
      </c>
      <c r="E1407" s="1" t="n">
        <f aca="false">LN(C1407/C1406)</f>
        <v>-8.14720367606716E-006</v>
      </c>
      <c r="F1407" s="1" t="n">
        <f aca="false">B1407/B1406-1</f>
        <v>-0.000347279773321052</v>
      </c>
      <c r="G1407" s="1" t="n">
        <f aca="false">C1407/C1406-1</f>
        <v>-8.14717048769342E-006</v>
      </c>
    </row>
    <row r="1408" customFormat="false" ht="15" hidden="false" customHeight="false" outlineLevel="0" collapsed="false">
      <c r="A1408" s="1" t="s">
        <v>1415</v>
      </c>
      <c r="B1408" s="5" t="n">
        <v>25.4764</v>
      </c>
      <c r="C1408" s="5" t="n">
        <v>12.274</v>
      </c>
      <c r="D1408" s="1" t="n">
        <f aca="false">LN(B1408/B1407)</f>
        <v>0.00572359132471649</v>
      </c>
      <c r="E1408" s="1" t="n">
        <f aca="false">LN(C1408/C1407)</f>
        <v>-8.14727005362295E-006</v>
      </c>
      <c r="F1408" s="1" t="n">
        <f aca="false">B1408/B1407-1</f>
        <v>0.00574000236863936</v>
      </c>
      <c r="G1408" s="1" t="n">
        <f aca="false">C1408/C1407-1</f>
        <v>-8.14723686470842E-006</v>
      </c>
    </row>
    <row r="1409" customFormat="false" ht="15" hidden="false" customHeight="false" outlineLevel="0" collapsed="false">
      <c r="A1409" s="1" t="s">
        <v>1416</v>
      </c>
      <c r="B1409" s="5" t="n">
        <v>25.3957</v>
      </c>
      <c r="C1409" s="5" t="n">
        <v>12.2742</v>
      </c>
      <c r="D1409" s="1" t="n">
        <f aca="false">LN(B1409/B1408)</f>
        <v>-0.00317266508331754</v>
      </c>
      <c r="E1409" s="1" t="n">
        <f aca="false">LN(C1409/C1408)</f>
        <v>1.62944737297871E-005</v>
      </c>
      <c r="F1409" s="1" t="n">
        <f aca="false">B1409/B1408-1</f>
        <v>-0.00316763749980376</v>
      </c>
      <c r="G1409" s="1" t="n">
        <f aca="false">C1409/C1408-1</f>
        <v>1.62946064854452E-005</v>
      </c>
    </row>
    <row r="1410" customFormat="false" ht="15" hidden="false" customHeight="false" outlineLevel="0" collapsed="false">
      <c r="A1410" s="1" t="s">
        <v>1417</v>
      </c>
      <c r="B1410" s="5" t="n">
        <v>25.2351</v>
      </c>
      <c r="C1410" s="5" t="n">
        <v>12.2743</v>
      </c>
      <c r="D1410" s="1" t="n">
        <f aca="false">LN(B1410/B1409)</f>
        <v>-0.00634398581998952</v>
      </c>
      <c r="E1410" s="1" t="n">
        <f aca="false">LN(C1410/C1409)</f>
        <v>8.14713729956918E-006</v>
      </c>
      <c r="F1410" s="1" t="n">
        <f aca="false">B1410/B1409-1</f>
        <v>-0.00632390522805049</v>
      </c>
      <c r="G1410" s="1" t="n">
        <f aca="false">C1410/C1409-1</f>
        <v>8.1471704875824E-006</v>
      </c>
    </row>
    <row r="1411" customFormat="false" ht="15" hidden="false" customHeight="false" outlineLevel="0" collapsed="false">
      <c r="A1411" s="1" t="s">
        <v>1418</v>
      </c>
      <c r="B1411" s="5" t="n">
        <v>25.2595</v>
      </c>
      <c r="C1411" s="5" t="n">
        <v>12.2742</v>
      </c>
      <c r="D1411" s="1" t="n">
        <f aca="false">LN(B1411/B1410)</f>
        <v>0.000966440050981473</v>
      </c>
      <c r="E1411" s="1" t="n">
        <f aca="false">LN(C1411/C1410)</f>
        <v>-8.14713729962161E-006</v>
      </c>
      <c r="F1411" s="1" t="n">
        <f aca="false">B1411/B1410-1</f>
        <v>0.000966907204647427</v>
      </c>
      <c r="G1411" s="1" t="n">
        <f aca="false">C1411/C1410-1</f>
        <v>-8.14710411178865E-006</v>
      </c>
    </row>
    <row r="1412" customFormat="false" ht="15" hidden="false" customHeight="false" outlineLevel="0" collapsed="false">
      <c r="A1412" s="1" t="s">
        <v>1419</v>
      </c>
      <c r="B1412" s="5" t="n">
        <v>25.1737</v>
      </c>
      <c r="C1412" s="5" t="n">
        <v>12.2744</v>
      </c>
      <c r="D1412" s="1" t="n">
        <f aca="false">LN(B1412/B1411)</f>
        <v>-0.00340252384448098</v>
      </c>
      <c r="E1412" s="1" t="n">
        <f aca="false">LN(C1412/C1411)</f>
        <v>1.6294208224055E-005</v>
      </c>
      <c r="F1412" s="1" t="n">
        <f aca="false">B1412/B1411-1</f>
        <v>-0.00339674181990934</v>
      </c>
      <c r="G1412" s="1" t="n">
        <f aca="false">C1412/C1411-1</f>
        <v>1.62943409753868E-005</v>
      </c>
    </row>
    <row r="1413" customFormat="false" ht="15" hidden="false" customHeight="false" outlineLevel="0" collapsed="false">
      <c r="A1413" s="1" t="s">
        <v>1420</v>
      </c>
      <c r="B1413" s="5" t="n">
        <v>25.0105</v>
      </c>
      <c r="C1413" s="5" t="n">
        <v>12.2743</v>
      </c>
      <c r="D1413" s="1" t="n">
        <f aca="false">LN(B1413/B1412)</f>
        <v>-0.00650406204813421</v>
      </c>
      <c r="E1413" s="1" t="n">
        <f aca="false">LN(C1413/C1412)</f>
        <v>-8.14707092439732E-006</v>
      </c>
      <c r="F1413" s="1" t="n">
        <f aca="false">B1413/B1412-1</f>
        <v>-0.00648295641880214</v>
      </c>
      <c r="G1413" s="1" t="n">
        <f aca="false">C1413/C1412-1</f>
        <v>-8.14703773710512E-006</v>
      </c>
    </row>
    <row r="1414" customFormat="false" ht="15" hidden="false" customHeight="false" outlineLevel="0" collapsed="false">
      <c r="A1414" s="1" t="s">
        <v>1421</v>
      </c>
      <c r="B1414" s="5" t="n">
        <v>24.8503</v>
      </c>
      <c r="C1414" s="5" t="n">
        <v>12.2745</v>
      </c>
      <c r="D1414" s="1" t="n">
        <f aca="false">LN(B1414/B1413)</f>
        <v>-0.00642591178851482</v>
      </c>
      <c r="E1414" s="1" t="n">
        <f aca="false">LN(C1414/C1413)</f>
        <v>1.62940754744085E-005</v>
      </c>
      <c r="F1414" s="1" t="n">
        <f aca="false">B1414/B1413-1</f>
        <v>-0.00640530976989662</v>
      </c>
      <c r="G1414" s="1" t="n">
        <f aca="false">C1414/C1413-1</f>
        <v>1.62942082235773E-005</v>
      </c>
    </row>
    <row r="1415" customFormat="false" ht="15" hidden="false" customHeight="false" outlineLevel="0" collapsed="false">
      <c r="A1415" s="1" t="s">
        <v>1422</v>
      </c>
      <c r="B1415" s="5" t="n">
        <v>25.002</v>
      </c>
      <c r="C1415" s="5" t="n">
        <v>12.2744</v>
      </c>
      <c r="D1415" s="1" t="n">
        <f aca="false">LN(B1415/B1414)</f>
        <v>0.00608599676399723</v>
      </c>
      <c r="E1415" s="1" t="n">
        <f aca="false">LN(C1415/C1414)</f>
        <v>-8.14700455017224E-006</v>
      </c>
      <c r="F1415" s="1" t="n">
        <f aca="false">B1415/B1414-1</f>
        <v>0.00610455406976973</v>
      </c>
      <c r="G1415" s="1" t="n">
        <f aca="false">C1415/C1414-1</f>
        <v>-8.1469713634208E-006</v>
      </c>
    </row>
    <row r="1416" customFormat="false" ht="15" hidden="false" customHeight="false" outlineLevel="0" collapsed="false">
      <c r="A1416" s="1" t="s">
        <v>1423</v>
      </c>
      <c r="B1416" s="5" t="n">
        <v>25.5021</v>
      </c>
      <c r="C1416" s="5" t="n">
        <v>12.2744</v>
      </c>
      <c r="D1416" s="1" t="n">
        <f aca="false">LN(B1416/B1415)</f>
        <v>0.0198049800463683</v>
      </c>
      <c r="E1416" s="1" t="n">
        <f aca="false">LN(C1416/C1415)</f>
        <v>0</v>
      </c>
      <c r="F1416" s="1" t="n">
        <f aca="false">B1416/B1415-1</f>
        <v>0.0200023998080154</v>
      </c>
      <c r="G1416" s="1" t="n">
        <f aca="false">C1416/C1415-1</f>
        <v>0</v>
      </c>
    </row>
    <row r="1417" customFormat="false" ht="15" hidden="false" customHeight="false" outlineLevel="0" collapsed="false">
      <c r="A1417" s="1" t="s">
        <v>1424</v>
      </c>
      <c r="B1417" s="5" t="n">
        <v>25.4736</v>
      </c>
      <c r="C1417" s="5" t="n">
        <v>12.2746</v>
      </c>
      <c r="D1417" s="1" t="n">
        <f aca="false">LN(B1417/B1416)</f>
        <v>-0.00111817995513637</v>
      </c>
      <c r="E1417" s="1" t="n">
        <f aca="false">LN(C1417/C1416)</f>
        <v>1.62939427272045E-005</v>
      </c>
      <c r="F1417" s="1" t="n">
        <f aca="false">B1417/B1416-1</f>
        <v>-0.0011175550248802</v>
      </c>
      <c r="G1417" s="1" t="n">
        <f aca="false">C1417/C1416-1</f>
        <v>1.62940754742102E-005</v>
      </c>
    </row>
    <row r="1418" customFormat="false" ht="15" hidden="false" customHeight="false" outlineLevel="0" collapsed="false">
      <c r="A1418" s="1" t="s">
        <v>1425</v>
      </c>
      <c r="B1418" s="5" t="n">
        <v>26.613</v>
      </c>
      <c r="C1418" s="5" t="n">
        <v>12.2748</v>
      </c>
      <c r="D1418" s="1" t="n">
        <f aca="false">LN(B1418/B1417)</f>
        <v>0.0437571964469563</v>
      </c>
      <c r="E1418" s="1" t="n">
        <f aca="false">LN(C1418/C1417)</f>
        <v>1.62936772390134E-005</v>
      </c>
      <c r="F1418" s="1" t="n">
        <f aca="false">B1418/B1417-1</f>
        <v>0.0447286602600339</v>
      </c>
      <c r="G1418" s="1" t="n">
        <f aca="false">C1418/C1417-1</f>
        <v>1.62938099816934E-005</v>
      </c>
    </row>
    <row r="1419" customFormat="false" ht="15" hidden="false" customHeight="false" outlineLevel="0" collapsed="false">
      <c r="A1419" s="1" t="s">
        <v>1426</v>
      </c>
      <c r="B1419" s="5" t="n">
        <v>26.5599</v>
      </c>
      <c r="C1419" s="5" t="n">
        <v>12.275</v>
      </c>
      <c r="D1419" s="1" t="n">
        <f aca="false">LN(B1419/B1418)</f>
        <v>-0.00199725866565533</v>
      </c>
      <c r="E1419" s="1" t="n">
        <f aca="false">LN(C1419/C1418)</f>
        <v>1.62934117592599E-005</v>
      </c>
      <c r="F1419" s="1" t="n">
        <f aca="false">B1419/B1418-1</f>
        <v>-0.00199526547176199</v>
      </c>
      <c r="G1419" s="1" t="n">
        <f aca="false">C1419/C1418-1</f>
        <v>1.62935444976142E-005</v>
      </c>
    </row>
    <row r="1420" customFormat="false" ht="15" hidden="false" customHeight="false" outlineLevel="0" collapsed="false">
      <c r="A1420" s="1" t="s">
        <v>1427</v>
      </c>
      <c r="B1420" s="5" t="n">
        <v>27.2544</v>
      </c>
      <c r="C1420" s="5" t="n">
        <v>12.2748</v>
      </c>
      <c r="D1420" s="1" t="n">
        <f aca="false">LN(B1420/B1419)</f>
        <v>0.0258124164237204</v>
      </c>
      <c r="E1420" s="1" t="n">
        <f aca="false">LN(C1420/C1419)</f>
        <v>-1.62934117593293E-005</v>
      </c>
      <c r="F1420" s="1" t="n">
        <f aca="false">B1420/B1419-1</f>
        <v>0.0261484418239526</v>
      </c>
      <c r="G1420" s="1" t="n">
        <f aca="false">C1420/C1419-1</f>
        <v>-1.62932790224168E-005</v>
      </c>
    </row>
    <row r="1421" customFormat="false" ht="15" hidden="false" customHeight="false" outlineLevel="0" collapsed="false">
      <c r="A1421" s="1" t="s">
        <v>1428</v>
      </c>
      <c r="B1421" s="5" t="n">
        <v>29.133</v>
      </c>
      <c r="C1421" s="5" t="n">
        <v>12.2751</v>
      </c>
      <c r="D1421" s="1" t="n">
        <f aca="false">LN(B1421/B1420)</f>
        <v>0.0666565763157019</v>
      </c>
      <c r="E1421" s="1" t="n">
        <f aca="false">LN(C1421/C1420)</f>
        <v>2.44400180867462E-005</v>
      </c>
      <c r="F1421" s="1" t="n">
        <f aca="false">B1421/B1420-1</f>
        <v>0.0689283198309263</v>
      </c>
      <c r="G1421" s="1" t="n">
        <f aca="false">C1421/C1420-1</f>
        <v>2.44403167464213E-005</v>
      </c>
    </row>
    <row r="1422" customFormat="false" ht="15" hidden="false" customHeight="false" outlineLevel="0" collapsed="false">
      <c r="A1422" s="1" t="s">
        <v>1429</v>
      </c>
      <c r="B1422" s="5" t="n">
        <v>29.213</v>
      </c>
      <c r="C1422" s="5" t="n">
        <v>12.2748</v>
      </c>
      <c r="D1422" s="1" t="n">
        <f aca="false">LN(B1422/B1421)</f>
        <v>0.00274226339880661</v>
      </c>
      <c r="E1422" s="1" t="n">
        <f aca="false">LN(C1422/C1421)</f>
        <v>-2.44400180868102E-005</v>
      </c>
      <c r="F1422" s="1" t="n">
        <f aca="false">B1422/B1421-1</f>
        <v>0.00274602684241243</v>
      </c>
      <c r="G1422" s="1" t="n">
        <f aca="false">C1422/C1421-1</f>
        <v>-2.44397194320012E-005</v>
      </c>
    </row>
    <row r="1423" customFormat="false" ht="15" hidden="false" customHeight="false" outlineLevel="0" collapsed="false">
      <c r="A1423" s="1" t="s">
        <v>1430</v>
      </c>
      <c r="B1423" s="5" t="n">
        <v>28.8866</v>
      </c>
      <c r="C1423" s="5" t="n">
        <v>12.2753</v>
      </c>
      <c r="D1423" s="1" t="n">
        <f aca="false">LN(B1423/B1422)</f>
        <v>-0.0112359959079788</v>
      </c>
      <c r="E1423" s="1" t="n">
        <f aca="false">LN(C1423/C1422)</f>
        <v>4.07330316428381E-005</v>
      </c>
      <c r="F1423" s="1" t="n">
        <f aca="false">B1423/B1422-1</f>
        <v>-0.0111731078629377</v>
      </c>
      <c r="G1423" s="1" t="n">
        <f aca="false">C1423/C1422-1</f>
        <v>4.07338612440356E-005</v>
      </c>
    </row>
    <row r="1424" customFormat="false" ht="15" hidden="false" customHeight="false" outlineLevel="0" collapsed="false">
      <c r="A1424" s="1" t="s">
        <v>1431</v>
      </c>
      <c r="B1424" s="5" t="n">
        <v>29.1215</v>
      </c>
      <c r="C1424" s="5" t="n">
        <v>12.275</v>
      </c>
      <c r="D1424" s="1" t="n">
        <f aca="false">LN(B1424/B1423)</f>
        <v>0.00809891321969637</v>
      </c>
      <c r="E1424" s="1" t="n">
        <f aca="false">LN(C1424/C1423)</f>
        <v>-2.44396198836001E-005</v>
      </c>
      <c r="F1424" s="1" t="n">
        <f aca="false">B1424/B1423-1</f>
        <v>0.00813179813477527</v>
      </c>
      <c r="G1424" s="1" t="n">
        <f aca="false">C1424/C1423-1</f>
        <v>-2.4439321238523E-005</v>
      </c>
    </row>
    <row r="1425" customFormat="false" ht="15" hidden="false" customHeight="false" outlineLevel="0" collapsed="false">
      <c r="A1425" s="1" t="s">
        <v>1432</v>
      </c>
      <c r="B1425" s="5" t="n">
        <v>29.2154</v>
      </c>
      <c r="C1425" s="5" t="n">
        <v>12.2751</v>
      </c>
      <c r="D1425" s="1" t="n">
        <f aca="false">LN(B1425/B1424)</f>
        <v>0.00321923451860298</v>
      </c>
      <c r="E1425" s="1" t="n">
        <f aca="false">LN(C1425/C1424)</f>
        <v>8.14660632752098E-006</v>
      </c>
      <c r="F1425" s="1" t="n">
        <f aca="false">B1425/B1424-1</f>
        <v>0.00322442181893101</v>
      </c>
      <c r="G1425" s="1" t="n">
        <f aca="false">C1425/C1424-1</f>
        <v>8.14663951120842E-006</v>
      </c>
    </row>
    <row r="1426" customFormat="false" ht="15" hidden="false" customHeight="false" outlineLevel="0" collapsed="false">
      <c r="A1426" s="1" t="s">
        <v>1433</v>
      </c>
      <c r="B1426" s="5" t="n">
        <v>29.1632</v>
      </c>
      <c r="C1426" s="5" t="n">
        <v>12.2752</v>
      </c>
      <c r="D1426" s="1" t="n">
        <f aca="false">LN(B1426/B1425)</f>
        <v>-0.00178832702092173</v>
      </c>
      <c r="E1426" s="1" t="n">
        <f aca="false">LN(C1426/C1425)</f>
        <v>8.14653996092763E-006</v>
      </c>
      <c r="F1426" s="1" t="n">
        <f aca="false">B1426/B1425-1</f>
        <v>-0.00178672891694098</v>
      </c>
      <c r="G1426" s="1" t="n">
        <f aca="false">C1426/C1425-1</f>
        <v>8.14657314407441E-006</v>
      </c>
    </row>
    <row r="1427" customFormat="false" ht="15" hidden="false" customHeight="false" outlineLevel="0" collapsed="false">
      <c r="A1427" s="1" t="s">
        <v>1434</v>
      </c>
      <c r="B1427" s="5" t="n">
        <v>29.5549</v>
      </c>
      <c r="C1427" s="5" t="n">
        <v>12.2752</v>
      </c>
      <c r="D1427" s="1" t="n">
        <f aca="false">LN(B1427/B1426)</f>
        <v>0.01334191025983</v>
      </c>
      <c r="E1427" s="1" t="n">
        <f aca="false">LN(C1427/C1426)</f>
        <v>0</v>
      </c>
      <c r="F1427" s="1" t="n">
        <f aca="false">B1427/B1426-1</f>
        <v>0.013431310692928</v>
      </c>
      <c r="G1427" s="1" t="n">
        <f aca="false">C1427/C1426-1</f>
        <v>0</v>
      </c>
    </row>
    <row r="1428" customFormat="false" ht="15" hidden="false" customHeight="false" outlineLevel="0" collapsed="false">
      <c r="A1428" s="1" t="s">
        <v>1435</v>
      </c>
      <c r="B1428" s="5" t="n">
        <v>29.5918</v>
      </c>
      <c r="C1428" s="5" t="n">
        <v>12.2755</v>
      </c>
      <c r="D1428" s="1" t="n">
        <f aca="false">LN(B1428/B1427)</f>
        <v>0.00124774517555067</v>
      </c>
      <c r="E1428" s="1" t="n">
        <f aca="false">LN(C1428/C1427)</f>
        <v>2.44392216934964E-005</v>
      </c>
      <c r="F1428" s="1" t="n">
        <f aca="false">B1428/B1427-1</f>
        <v>0.00124852393342567</v>
      </c>
      <c r="G1428" s="1" t="n">
        <f aca="false">C1428/C1427-1</f>
        <v>2.44395203337078E-005</v>
      </c>
    </row>
    <row r="1429" customFormat="false" ht="15" hidden="false" customHeight="false" outlineLevel="0" collapsed="false">
      <c r="A1429" s="1" t="s">
        <v>1436</v>
      </c>
      <c r="B1429" s="5" t="n">
        <v>30.079</v>
      </c>
      <c r="C1429" s="5" t="n">
        <v>12.2755</v>
      </c>
      <c r="D1429" s="1" t="n">
        <f aca="false">LN(B1429/B1428)</f>
        <v>0.0163299579242588</v>
      </c>
      <c r="E1429" s="1" t="n">
        <f aca="false">LN(C1429/C1428)</f>
        <v>0</v>
      </c>
      <c r="F1429" s="1" t="n">
        <f aca="false">B1429/B1428-1</f>
        <v>0.0164640204380944</v>
      </c>
      <c r="G1429" s="1" t="n">
        <f aca="false">C1429/C1428-1</f>
        <v>0</v>
      </c>
    </row>
    <row r="1430" customFormat="false" ht="15" hidden="false" customHeight="false" outlineLevel="0" collapsed="false">
      <c r="A1430" s="1" t="s">
        <v>1437</v>
      </c>
      <c r="B1430" s="5" t="n">
        <v>30.8484</v>
      </c>
      <c r="C1430" s="5" t="n">
        <v>12.2756</v>
      </c>
      <c r="D1430" s="1" t="n">
        <f aca="false">LN(B1430/B1429)</f>
        <v>0.0252576313008748</v>
      </c>
      <c r="E1430" s="1" t="n">
        <f aca="false">LN(C1430/C1429)</f>
        <v>8.14627450521225E-006</v>
      </c>
      <c r="F1430" s="1" t="n">
        <f aca="false">B1430/B1429-1</f>
        <v>0.0255793078227335</v>
      </c>
      <c r="G1430" s="1" t="n">
        <f aca="false">C1430/C1429-1</f>
        <v>8.14630768619651E-006</v>
      </c>
    </row>
    <row r="1431" customFormat="false" ht="15" hidden="false" customHeight="false" outlineLevel="0" collapsed="false">
      <c r="A1431" s="1" t="s">
        <v>1438</v>
      </c>
      <c r="B1431" s="5" t="n">
        <v>30.3606</v>
      </c>
      <c r="C1431" s="5" t="n">
        <v>12.2758</v>
      </c>
      <c r="D1431" s="1" t="n">
        <f aca="false">LN(B1431/B1430)</f>
        <v>-0.0159391699710496</v>
      </c>
      <c r="E1431" s="1" t="n">
        <f aca="false">LN(C1431/C1430)</f>
        <v>1.62923499275072E-005</v>
      </c>
      <c r="F1431" s="1" t="n">
        <f aca="false">B1431/B1430-1</f>
        <v>-0.0158128136305287</v>
      </c>
      <c r="G1431" s="1" t="n">
        <f aca="false">C1431/C1430-1</f>
        <v>1.62924826485611E-005</v>
      </c>
    </row>
    <row r="1432" customFormat="false" ht="15" hidden="false" customHeight="false" outlineLevel="0" collapsed="false">
      <c r="A1432" s="1" t="s">
        <v>1439</v>
      </c>
      <c r="B1432" s="5" t="n">
        <v>30.7415</v>
      </c>
      <c r="C1432" s="5" t="n">
        <v>12.2762</v>
      </c>
      <c r="D1432" s="1" t="n">
        <f aca="false">LN(B1432/B1431)</f>
        <v>0.0124678180984884</v>
      </c>
      <c r="E1432" s="1" t="n">
        <f aca="false">LN(C1432/C1431)</f>
        <v>3.258390355441E-005</v>
      </c>
      <c r="F1432" s="1" t="n">
        <f aca="false">B1432/B1431-1</f>
        <v>0.0125458653649795</v>
      </c>
      <c r="G1432" s="1" t="n">
        <f aca="false">C1432/C1431-1</f>
        <v>3.25844344155613E-005</v>
      </c>
    </row>
    <row r="1433" customFormat="false" ht="15" hidden="false" customHeight="false" outlineLevel="0" collapsed="false">
      <c r="A1433" s="1" t="s">
        <v>1440</v>
      </c>
      <c r="B1433" s="5" t="n">
        <v>31.0455</v>
      </c>
      <c r="C1433" s="5" t="n">
        <v>12.2764</v>
      </c>
      <c r="D1433" s="1" t="n">
        <f aca="false">LN(B1433/B1432)</f>
        <v>0.00984033706376065</v>
      </c>
      <c r="E1433" s="1" t="n">
        <f aca="false">LN(C1433/C1432)</f>
        <v>1.62915536445622E-005</v>
      </c>
      <c r="F1433" s="1" t="n">
        <f aca="false">B1433/B1432-1</f>
        <v>0.00988891238228451</v>
      </c>
      <c r="G1433" s="1" t="n">
        <f aca="false">C1433/C1432-1</f>
        <v>1.6291686352643E-005</v>
      </c>
    </row>
    <row r="1434" customFormat="false" ht="15" hidden="false" customHeight="false" outlineLevel="0" collapsed="false">
      <c r="A1434" s="1" t="s">
        <v>1441</v>
      </c>
      <c r="B1434" s="5" t="n">
        <v>31.0302</v>
      </c>
      <c r="C1434" s="5" t="n">
        <v>12.2766</v>
      </c>
      <c r="D1434" s="1" t="n">
        <f aca="false">LN(B1434/B1433)</f>
        <v>-0.000492946525285063</v>
      </c>
      <c r="E1434" s="1" t="n">
        <f aca="false">LN(C1434/C1433)</f>
        <v>1.62912882338629E-005</v>
      </c>
      <c r="F1434" s="1" t="n">
        <f aca="false">B1434/B1433-1</f>
        <v>-0.000492825047108236</v>
      </c>
      <c r="G1434" s="1" t="n">
        <f aca="false">C1434/C1433-1</f>
        <v>1.62914209376197E-005</v>
      </c>
    </row>
    <row r="1435" customFormat="false" ht="15" hidden="false" customHeight="false" outlineLevel="0" collapsed="false">
      <c r="A1435" s="1" t="s">
        <v>1442</v>
      </c>
      <c r="B1435" s="5" t="n">
        <v>30.2147</v>
      </c>
      <c r="C1435" s="5" t="n">
        <v>12.2764</v>
      </c>
      <c r="D1435" s="1" t="n">
        <f aca="false">LN(B1435/B1434)</f>
        <v>-0.0266323628940199</v>
      </c>
      <c r="E1435" s="1" t="n">
        <f aca="false">LN(C1435/C1434)</f>
        <v>-1.62912882339047E-005</v>
      </c>
      <c r="F1435" s="1" t="n">
        <f aca="false">B1435/B1434-1</f>
        <v>-0.0262808489793814</v>
      </c>
      <c r="G1435" s="1" t="n">
        <f aca="false">C1435/C1434-1</f>
        <v>-1.62911555315892E-005</v>
      </c>
    </row>
    <row r="1436" customFormat="false" ht="15" hidden="false" customHeight="false" outlineLevel="0" collapsed="false">
      <c r="A1436" s="1" t="s">
        <v>1443</v>
      </c>
      <c r="B1436" s="5" t="n">
        <v>30.5765</v>
      </c>
      <c r="C1436" s="5" t="n">
        <v>12.2768</v>
      </c>
      <c r="D1436" s="1" t="n">
        <f aca="false">LN(B1436/B1435)</f>
        <v>0.0119031791381966</v>
      </c>
      <c r="E1436" s="1" t="n">
        <f aca="false">LN(C1436/C1435)</f>
        <v>3.25823110661993E-005</v>
      </c>
      <c r="F1436" s="1" t="n">
        <f aca="false">B1436/B1435-1</f>
        <v>0.0119743038984335</v>
      </c>
      <c r="G1436" s="1" t="n">
        <f aca="false">C1436/C1435-1</f>
        <v>3.25828418754615E-005</v>
      </c>
    </row>
    <row r="1437" customFormat="false" ht="15" hidden="false" customHeight="false" outlineLevel="0" collapsed="false">
      <c r="A1437" s="1" t="s">
        <v>1444</v>
      </c>
      <c r="B1437" s="5" t="n">
        <v>30.5075</v>
      </c>
      <c r="C1437" s="5" t="n">
        <v>12.2774</v>
      </c>
      <c r="D1437" s="1" t="n">
        <f aca="false">LN(B1437/B1436)</f>
        <v>-0.00225918503527989</v>
      </c>
      <c r="E1437" s="1" t="n">
        <f aca="false">LN(C1437/C1436)</f>
        <v>4.88714761726093E-005</v>
      </c>
      <c r="F1437" s="1" t="n">
        <f aca="false">B1437/B1436-1</f>
        <v>-0.00225663499746531</v>
      </c>
      <c r="G1437" s="1" t="n">
        <f aca="false">C1437/C1436-1</f>
        <v>4.88726704026554E-005</v>
      </c>
    </row>
    <row r="1438" customFormat="false" ht="15" hidden="false" customHeight="false" outlineLevel="0" collapsed="false">
      <c r="A1438" s="1" t="s">
        <v>1445</v>
      </c>
      <c r="B1438" s="5" t="n">
        <v>30.9529</v>
      </c>
      <c r="C1438" s="5" t="n">
        <v>12.2787</v>
      </c>
      <c r="D1438" s="1" t="n">
        <f aca="false">LN(B1438/B1437)</f>
        <v>0.0144941392325695</v>
      </c>
      <c r="E1438" s="1" t="n">
        <f aca="false">LN(C1438/C1437)</f>
        <v>0.000105880005474307</v>
      </c>
      <c r="F1438" s="1" t="n">
        <f aca="false">B1438/B1437-1</f>
        <v>0.0145996886011637</v>
      </c>
      <c r="G1438" s="1" t="n">
        <f aca="false">C1438/C1437-1</f>
        <v>0.000105885610959922</v>
      </c>
    </row>
    <row r="1439" customFormat="false" ht="15" hidden="false" customHeight="false" outlineLevel="0" collapsed="false">
      <c r="A1439" s="1" t="s">
        <v>1446</v>
      </c>
      <c r="B1439" s="5" t="n">
        <v>31.2526</v>
      </c>
      <c r="C1439" s="5" t="n">
        <v>12.2786</v>
      </c>
      <c r="D1439" s="1" t="n">
        <f aca="false">LN(B1439/B1438)</f>
        <v>0.00963587846505538</v>
      </c>
      <c r="E1439" s="1" t="n">
        <f aca="false">LN(C1439/C1438)</f>
        <v>-8.14421780895002E-006</v>
      </c>
      <c r="F1439" s="1" t="n">
        <f aca="false">B1439/B1438-1</f>
        <v>0.00968245301732629</v>
      </c>
      <c r="G1439" s="1" t="n">
        <f aca="false">C1439/C1438-1</f>
        <v>-8.14418464489819E-006</v>
      </c>
    </row>
    <row r="1440" customFormat="false" ht="15" hidden="false" customHeight="false" outlineLevel="0" collapsed="false">
      <c r="A1440" s="1" t="s">
        <v>1447</v>
      </c>
      <c r="B1440" s="5" t="n">
        <v>31.7738</v>
      </c>
      <c r="C1440" s="5" t="n">
        <v>12.2793</v>
      </c>
      <c r="D1440" s="1" t="n">
        <f aca="false">LN(B1440/B1439)</f>
        <v>0.0165394781019537</v>
      </c>
      <c r="E1440" s="1" t="n">
        <f aca="false">LN(C1440/C1439)</f>
        <v>5.7008131818017E-005</v>
      </c>
      <c r="F1440" s="1" t="n">
        <f aca="false">B1440/B1439-1</f>
        <v>0.0166770124725624</v>
      </c>
      <c r="G1440" s="1" t="n">
        <f aca="false">C1440/C1439-1</f>
        <v>5.70097568124428E-005</v>
      </c>
    </row>
    <row r="1441" customFormat="false" ht="15" hidden="false" customHeight="false" outlineLevel="0" collapsed="false">
      <c r="A1441" s="1" t="s">
        <v>1448</v>
      </c>
      <c r="B1441" s="5" t="n">
        <v>31.862</v>
      </c>
      <c r="C1441" s="5" t="n">
        <v>12.2796</v>
      </c>
      <c r="D1441" s="1" t="n">
        <f aca="false">LN(B1441/B1440)</f>
        <v>0.00277202632726699</v>
      </c>
      <c r="E1441" s="1" t="n">
        <f aca="false">LN(C1441/C1440)</f>
        <v>2.44310616530734E-005</v>
      </c>
      <c r="F1441" s="1" t="n">
        <f aca="false">B1441/B1440-1</f>
        <v>0.00277587194480988</v>
      </c>
      <c r="G1441" s="1" t="n">
        <f aca="false">C1441/C1440-1</f>
        <v>2.44313600938906E-005</v>
      </c>
    </row>
    <row r="1442" customFormat="false" ht="15" hidden="false" customHeight="false" outlineLevel="0" collapsed="false">
      <c r="A1442" s="1" t="s">
        <v>1449</v>
      </c>
      <c r="B1442" s="5" t="n">
        <v>31.509</v>
      </c>
      <c r="C1442" s="5" t="n">
        <v>12.2803</v>
      </c>
      <c r="D1442" s="1" t="n">
        <f aca="false">LN(B1442/B1441)</f>
        <v>-0.0111408578419551</v>
      </c>
      <c r="E1442" s="1" t="n">
        <f aca="false">LN(C1442/C1441)</f>
        <v>5.70034894432828E-005</v>
      </c>
      <c r="F1442" s="1" t="n">
        <f aca="false">B1442/B1441-1</f>
        <v>-0.0110790283095851</v>
      </c>
      <c r="G1442" s="1" t="n">
        <f aca="false">C1442/C1441-1</f>
        <v>5.70051141730588E-005</v>
      </c>
    </row>
    <row r="1443" customFormat="false" ht="15" hidden="false" customHeight="false" outlineLevel="0" collapsed="false">
      <c r="A1443" s="1" t="s">
        <v>1450</v>
      </c>
      <c r="B1443" s="5" t="n">
        <v>31.5539</v>
      </c>
      <c r="C1443" s="5" t="n">
        <v>12.2804</v>
      </c>
      <c r="D1443" s="1" t="n">
        <f aca="false">LN(B1443/B1442)</f>
        <v>0.00142397535118095</v>
      </c>
      <c r="E1443" s="1" t="n">
        <f aca="false">LN(C1443/C1442)</f>
        <v>8.1430903841999E-006</v>
      </c>
      <c r="F1443" s="1" t="n">
        <f aca="false">B1443/B1442-1</f>
        <v>0.00142498968548654</v>
      </c>
      <c r="G1443" s="1" t="n">
        <f aca="false">C1443/C1442-1</f>
        <v>8.1431235392504E-006</v>
      </c>
    </row>
    <row r="1444" customFormat="false" ht="15" hidden="false" customHeight="false" outlineLevel="0" collapsed="false">
      <c r="A1444" s="1" t="s">
        <v>1451</v>
      </c>
      <c r="B1444" s="5" t="n">
        <v>31.6072</v>
      </c>
      <c r="C1444" s="5" t="n">
        <v>12.279</v>
      </c>
      <c r="D1444" s="1" t="n">
        <f aca="false">LN(B1444/B1443)</f>
        <v>0.00168774808076665</v>
      </c>
      <c r="E1444" s="1" t="n">
        <f aca="false">LN(C1444/C1443)</f>
        <v>-0.000114009300025034</v>
      </c>
      <c r="F1444" s="1" t="n">
        <f aca="false">B1444/B1443-1</f>
        <v>0.00168917312915351</v>
      </c>
      <c r="G1444" s="1" t="n">
        <f aca="false">C1444/C1443-1</f>
        <v>-0.000114002801211766</v>
      </c>
    </row>
    <row r="1445" customFormat="false" ht="15" hidden="false" customHeight="false" outlineLevel="0" collapsed="false">
      <c r="A1445" s="1" t="s">
        <v>1452</v>
      </c>
      <c r="B1445" s="5" t="n">
        <v>31.5426</v>
      </c>
      <c r="C1445" s="5" t="n">
        <v>12.2794</v>
      </c>
      <c r="D1445" s="1" t="n">
        <f aca="false">LN(B1445/B1444)</f>
        <v>-0.00204592960021109</v>
      </c>
      <c r="E1445" s="1" t="n">
        <f aca="false">LN(C1445/C1444)</f>
        <v>3.25754120819821E-005</v>
      </c>
      <c r="F1445" s="1" t="n">
        <f aca="false">B1445/B1444-1</f>
        <v>-0.00204383811283504</v>
      </c>
      <c r="G1445" s="1" t="n">
        <f aca="false">C1445/C1444-1</f>
        <v>3.25759426664796E-005</v>
      </c>
    </row>
    <row r="1446" customFormat="false" ht="15" hidden="false" customHeight="false" outlineLevel="0" collapsed="false">
      <c r="A1446" s="1" t="s">
        <v>1453</v>
      </c>
      <c r="B1446" s="5" t="n">
        <v>31.4861</v>
      </c>
      <c r="C1446" s="5" t="n">
        <v>12.28</v>
      </c>
      <c r="D1446" s="1" t="n">
        <f aca="false">LN(B1446/B1445)</f>
        <v>-0.00179283453835433</v>
      </c>
      <c r="E1446" s="1" t="n">
        <f aca="false">LN(C1446/C1445)</f>
        <v>4.88611285388158E-005</v>
      </c>
      <c r="F1446" s="1" t="n">
        <f aca="false">B1446/B1445-1</f>
        <v>-0.00179122837052115</v>
      </c>
      <c r="G1446" s="1" t="n">
        <f aca="false">C1446/C1445-1</f>
        <v>4.8862322263199E-005</v>
      </c>
    </row>
    <row r="1447" customFormat="false" ht="15" hidden="false" customHeight="false" outlineLevel="0" collapsed="false">
      <c r="A1447" s="1" t="s">
        <v>1454</v>
      </c>
      <c r="B1447" s="5" t="n">
        <v>29.6624</v>
      </c>
      <c r="C1447" s="5" t="n">
        <v>12.2798</v>
      </c>
      <c r="D1447" s="1" t="n">
        <f aca="false">LN(B1447/B1446)</f>
        <v>-0.0596659281059396</v>
      </c>
      <c r="E1447" s="1" t="n">
        <f aca="false">LN(C1447/C1446)</f>
        <v>-1.62867775799665E-005</v>
      </c>
      <c r="F1447" s="1" t="n">
        <f aca="false">B1447/B1446-1</f>
        <v>-0.0579207967960465</v>
      </c>
      <c r="G1447" s="1" t="n">
        <f aca="false">C1447/C1446-1</f>
        <v>-1.62866449511245E-005</v>
      </c>
    </row>
    <row r="1448" customFormat="false" ht="15" hidden="false" customHeight="false" outlineLevel="0" collapsed="false">
      <c r="A1448" s="1" t="s">
        <v>1455</v>
      </c>
      <c r="B1448" s="5" t="n">
        <v>30.1209</v>
      </c>
      <c r="C1448" s="5" t="n">
        <v>12.2796</v>
      </c>
      <c r="D1448" s="1" t="n">
        <f aca="false">LN(B1448/B1447)</f>
        <v>0.0153390324671769</v>
      </c>
      <c r="E1448" s="1" t="n">
        <f aca="false">LN(C1448/C1447)</f>
        <v>-1.62870428434347E-005</v>
      </c>
      <c r="F1448" s="1" t="n">
        <f aca="false">B1448/B1447-1</f>
        <v>0.0154572792491503</v>
      </c>
      <c r="G1448" s="1" t="n">
        <f aca="false">C1448/C1447-1</f>
        <v>-1.62869102102725E-005</v>
      </c>
    </row>
    <row r="1449" customFormat="false" ht="15" hidden="false" customHeight="false" outlineLevel="0" collapsed="false">
      <c r="A1449" s="1" t="s">
        <v>1456</v>
      </c>
      <c r="B1449" s="5" t="n">
        <v>29.7209</v>
      </c>
      <c r="C1449" s="5" t="n">
        <v>12.2789</v>
      </c>
      <c r="D1449" s="1" t="n">
        <f aca="false">LN(B1449/B1448)</f>
        <v>-0.013368780934365</v>
      </c>
      <c r="E1449" s="1" t="n">
        <f aca="false">LN(C1449/C1448)</f>
        <v>-5.700673902633E-005</v>
      </c>
      <c r="F1449" s="1" t="n">
        <f aca="false">B1449/B1448-1</f>
        <v>-0.0132798156761583</v>
      </c>
      <c r="G1449" s="1" t="n">
        <f aca="false">C1449/C1448-1</f>
        <v>-5.70051141730588E-005</v>
      </c>
    </row>
    <row r="1450" customFormat="false" ht="15" hidden="false" customHeight="false" outlineLevel="0" collapsed="false">
      <c r="A1450" s="1" t="s">
        <v>1457</v>
      </c>
      <c r="B1450" s="5" t="n">
        <v>30.2508</v>
      </c>
      <c r="C1450" s="5" t="n">
        <v>12.2789</v>
      </c>
      <c r="D1450" s="1" t="n">
        <f aca="false">LN(B1450/B1449)</f>
        <v>0.0176721283791426</v>
      </c>
      <c r="E1450" s="1" t="n">
        <f aca="false">LN(C1450/C1449)</f>
        <v>0</v>
      </c>
      <c r="F1450" s="1" t="n">
        <f aca="false">B1450/B1449-1</f>
        <v>0.0178292043646053</v>
      </c>
      <c r="G1450" s="1" t="n">
        <f aca="false">C1450/C1449-1</f>
        <v>0</v>
      </c>
    </row>
    <row r="1451" customFormat="false" ht="15" hidden="false" customHeight="false" outlineLevel="0" collapsed="false">
      <c r="A1451" s="1" t="s">
        <v>1458</v>
      </c>
      <c r="B1451" s="5" t="n">
        <v>30.5231</v>
      </c>
      <c r="C1451" s="5" t="n">
        <v>12.2786</v>
      </c>
      <c r="D1451" s="1" t="n">
        <f aca="false">LN(B1451/B1450)</f>
        <v>0.00896114358913668</v>
      </c>
      <c r="E1451" s="1" t="n">
        <f aca="false">LN(C1451/C1450)</f>
        <v>-2.44324544447916E-005</v>
      </c>
      <c r="F1451" s="1" t="n">
        <f aca="false">B1451/B1450-1</f>
        <v>0.00900141483861572</v>
      </c>
      <c r="G1451" s="1" t="n">
        <f aca="false">C1451/C1450-1</f>
        <v>-2.44321559748073E-005</v>
      </c>
    </row>
    <row r="1452" customFormat="false" ht="15" hidden="false" customHeight="false" outlineLevel="0" collapsed="false">
      <c r="A1452" s="1" t="s">
        <v>1459</v>
      </c>
      <c r="B1452" s="5" t="n">
        <v>30.1068</v>
      </c>
      <c r="C1452" s="5" t="n">
        <v>12.2791</v>
      </c>
      <c r="D1452" s="1" t="n">
        <f aca="false">LN(B1452/B1451)</f>
        <v>-0.0137327141358292</v>
      </c>
      <c r="E1452" s="1" t="n">
        <f aca="false">LN(C1452/C1451)</f>
        <v>4.07204257783027E-005</v>
      </c>
      <c r="F1452" s="1" t="n">
        <f aca="false">B1452/B1451-1</f>
        <v>-0.0136388505754658</v>
      </c>
      <c r="G1452" s="1" t="n">
        <f aca="false">C1452/C1451-1</f>
        <v>4.0721254866094E-005</v>
      </c>
    </row>
    <row r="1453" customFormat="false" ht="15" hidden="false" customHeight="false" outlineLevel="0" collapsed="false">
      <c r="A1453" s="1" t="s">
        <v>1460</v>
      </c>
      <c r="B1453" s="5" t="n">
        <v>30.7134</v>
      </c>
      <c r="C1453" s="5" t="n">
        <v>12.2796</v>
      </c>
      <c r="D1453" s="1" t="n">
        <f aca="false">LN(B1453/B1452)</f>
        <v>0.0199479815857938</v>
      </c>
      <c r="E1453" s="1" t="n">
        <f aca="false">LN(C1453/C1452)</f>
        <v>4.07187676928723E-005</v>
      </c>
      <c r="F1453" s="1" t="n">
        <f aca="false">B1453/B1452-1</f>
        <v>0.0201482721511419</v>
      </c>
      <c r="G1453" s="1" t="n">
        <f aca="false">C1453/C1452-1</f>
        <v>4.07195967131457E-005</v>
      </c>
    </row>
    <row r="1454" customFormat="false" ht="15" hidden="false" customHeight="false" outlineLevel="0" collapsed="false">
      <c r="A1454" s="1" t="s">
        <v>1461</v>
      </c>
      <c r="B1454" s="5" t="n">
        <v>30.1481</v>
      </c>
      <c r="C1454" s="5" t="n">
        <v>12.2795</v>
      </c>
      <c r="D1454" s="1" t="n">
        <f aca="false">LN(B1454/B1453)</f>
        <v>-0.018577138501908</v>
      </c>
      <c r="E1454" s="1" t="n">
        <f aca="false">LN(C1454/C1453)</f>
        <v>-8.14362089823077E-006</v>
      </c>
      <c r="F1454" s="1" t="n">
        <f aca="false">B1454/B1453-1</f>
        <v>-0.018405647046566</v>
      </c>
      <c r="G1454" s="1" t="n">
        <f aca="false">C1454/C1453-1</f>
        <v>-8.14358773904012E-006</v>
      </c>
    </row>
    <row r="1455" customFormat="false" ht="15" hidden="false" customHeight="false" outlineLevel="0" collapsed="false">
      <c r="A1455" s="1" t="s">
        <v>1462</v>
      </c>
      <c r="B1455" s="5" t="n">
        <v>30.6031</v>
      </c>
      <c r="C1455" s="5" t="n">
        <v>12.2799</v>
      </c>
      <c r="D1455" s="1" t="n">
        <f aca="false">LN(B1455/B1454)</f>
        <v>0.0149794080713119</v>
      </c>
      <c r="E1455" s="1" t="n">
        <f aca="false">LN(C1455/C1454)</f>
        <v>3.25740856888956E-005</v>
      </c>
      <c r="F1455" s="1" t="n">
        <f aca="false">B1455/B1454-1</f>
        <v>0.0150921616950985</v>
      </c>
      <c r="G1455" s="1" t="n">
        <f aca="false">C1455/C1454-1</f>
        <v>3.25746162301854E-005</v>
      </c>
    </row>
    <row r="1456" customFormat="false" ht="15" hidden="false" customHeight="false" outlineLevel="0" collapsed="false">
      <c r="A1456" s="1" t="s">
        <v>1463</v>
      </c>
      <c r="B1456" s="5" t="n">
        <v>31.5783</v>
      </c>
      <c r="C1456" s="5" t="n">
        <v>12.2794</v>
      </c>
      <c r="D1456" s="1" t="n">
        <f aca="false">LN(B1456/B1455)</f>
        <v>0.0313688648229273</v>
      </c>
      <c r="E1456" s="1" t="n">
        <f aca="false">LN(C1456/C1455)</f>
        <v>-4.07177729061793E-005</v>
      </c>
      <c r="F1456" s="1" t="n">
        <f aca="false">B1456/B1455-1</f>
        <v>0.0318660527855021</v>
      </c>
      <c r="G1456" s="1" t="n">
        <f aca="false">C1456/C1455-1</f>
        <v>-4.07169439489152E-005</v>
      </c>
    </row>
    <row r="1457" customFormat="false" ht="15" hidden="false" customHeight="false" outlineLevel="0" collapsed="false">
      <c r="A1457" s="1" t="s">
        <v>1464</v>
      </c>
      <c r="B1457" s="5" t="n">
        <v>31.1301</v>
      </c>
      <c r="C1457" s="5" t="n">
        <v>12.2784</v>
      </c>
      <c r="D1457" s="1" t="n">
        <f aca="false">LN(B1457/B1456)</f>
        <v>-0.0142949790558529</v>
      </c>
      <c r="E1457" s="1" t="n">
        <f aca="false">LN(C1457/C1456)</f>
        <v>-8.14405199614155E-005</v>
      </c>
      <c r="F1457" s="1" t="n">
        <f aca="false">B1457/B1456-1</f>
        <v>-0.0141932909624647</v>
      </c>
      <c r="G1457" s="1" t="n">
        <f aca="false">C1457/C1456-1</f>
        <v>-8.14372037722944E-005</v>
      </c>
    </row>
    <row r="1458" customFormat="false" ht="15" hidden="false" customHeight="false" outlineLevel="0" collapsed="false">
      <c r="A1458" s="1" t="s">
        <v>1465</v>
      </c>
      <c r="B1458" s="5" t="n">
        <v>31.6235</v>
      </c>
      <c r="C1458" s="5" t="n">
        <v>12.2781</v>
      </c>
      <c r="D1458" s="1" t="n">
        <f aca="false">LN(B1458/B1457)</f>
        <v>0.0157253183090423</v>
      </c>
      <c r="E1458" s="1" t="n">
        <f aca="false">LN(C1458/C1457)</f>
        <v>-2.44334493933549E-005</v>
      </c>
      <c r="F1458" s="1" t="n">
        <f aca="false">B1458/B1457-1</f>
        <v>0.0158496117905178</v>
      </c>
      <c r="G1458" s="1" t="n">
        <f aca="false">C1458/C1457-1</f>
        <v>-2.44331508990614E-005</v>
      </c>
    </row>
    <row r="1459" customFormat="false" ht="15" hidden="false" customHeight="false" outlineLevel="0" collapsed="false">
      <c r="A1459" s="1" t="s">
        <v>1466</v>
      </c>
      <c r="B1459" s="5" t="n">
        <v>32.355</v>
      </c>
      <c r="C1459" s="5" t="n">
        <v>12.2783</v>
      </c>
      <c r="D1459" s="1" t="n">
        <f aca="false">LN(B1459/B1458)</f>
        <v>0.022868053416462</v>
      </c>
      <c r="E1459" s="1" t="n">
        <f aca="false">LN(C1459/C1458)</f>
        <v>1.62890325947396E-005</v>
      </c>
      <c r="F1459" s="1" t="n">
        <f aca="false">B1459/B1458-1</f>
        <v>0.0231315319303682</v>
      </c>
      <c r="G1459" s="1" t="n">
        <f aca="false">C1459/C1458-1</f>
        <v>1.62891652617514E-005</v>
      </c>
    </row>
    <row r="1460" customFormat="false" ht="15" hidden="false" customHeight="false" outlineLevel="0" collapsed="false">
      <c r="A1460" s="1" t="s">
        <v>1467</v>
      </c>
      <c r="B1460" s="5" t="n">
        <v>32.2653</v>
      </c>
      <c r="C1460" s="5" t="n">
        <v>12.2786</v>
      </c>
      <c r="D1460" s="1" t="n">
        <f aca="false">LN(B1460/B1459)</f>
        <v>-0.0027762191637225</v>
      </c>
      <c r="E1460" s="1" t="n">
        <f aca="false">LN(C1460/C1459)</f>
        <v>2.44330514043395E-005</v>
      </c>
      <c r="F1460" s="1" t="n">
        <f aca="false">B1460/B1459-1</f>
        <v>-0.00277236903106148</v>
      </c>
      <c r="G1460" s="1" t="n">
        <f aca="false">C1460/C1459-1</f>
        <v>2.4433349893771E-005</v>
      </c>
    </row>
    <row r="1461" customFormat="false" ht="15" hidden="false" customHeight="false" outlineLevel="0" collapsed="false">
      <c r="A1461" s="1" t="s">
        <v>1468</v>
      </c>
      <c r="B1461" s="5" t="n">
        <v>32.2842</v>
      </c>
      <c r="C1461" s="5" t="n">
        <v>12.2783</v>
      </c>
      <c r="D1461" s="1" t="n">
        <f aca="false">LN(B1461/B1460)</f>
        <v>0.000585597116634624</v>
      </c>
      <c r="E1461" s="1" t="n">
        <f aca="false">LN(C1461/C1460)</f>
        <v>-2.44330514044257E-005</v>
      </c>
      <c r="F1461" s="1" t="n">
        <f aca="false">B1461/B1460-1</f>
        <v>0.000585768612100246</v>
      </c>
      <c r="G1461" s="1" t="n">
        <f aca="false">C1461/C1460-1</f>
        <v>-2.44327529198563E-005</v>
      </c>
    </row>
    <row r="1462" customFormat="false" ht="15" hidden="false" customHeight="false" outlineLevel="0" collapsed="false">
      <c r="A1462" s="1" t="s">
        <v>1469</v>
      </c>
      <c r="B1462" s="5" t="n">
        <v>32.4561</v>
      </c>
      <c r="C1462" s="5" t="n">
        <v>12.2782</v>
      </c>
      <c r="D1462" s="1" t="n">
        <f aca="false">LN(B1462/B1461)</f>
        <v>0.00531046053166292</v>
      </c>
      <c r="E1462" s="1" t="n">
        <f aca="false">LN(C1462/C1461)</f>
        <v>-8.14448313076602E-006</v>
      </c>
      <c r="F1462" s="1" t="n">
        <f aca="false">B1462/B1461-1</f>
        <v>0.00532458602040631</v>
      </c>
      <c r="G1462" s="1" t="n">
        <f aca="false">C1462/C1461-1</f>
        <v>-8.14444996455332E-006</v>
      </c>
    </row>
    <row r="1463" customFormat="false" ht="15" hidden="false" customHeight="false" outlineLevel="0" collapsed="false">
      <c r="A1463" s="1" t="s">
        <v>1470</v>
      </c>
      <c r="B1463" s="5" t="n">
        <v>32.1535</v>
      </c>
      <c r="C1463" s="5" t="n">
        <v>12.2788</v>
      </c>
      <c r="D1463" s="1" t="n">
        <f aca="false">LN(B1463/B1462)</f>
        <v>-0.00936709753877287</v>
      </c>
      <c r="E1463" s="1" t="n">
        <f aca="false">LN(C1463/C1462)</f>
        <v>4.88659038254522E-005</v>
      </c>
      <c r="F1463" s="1" t="n">
        <f aca="false">B1463/B1462-1</f>
        <v>-0.00932336294255931</v>
      </c>
      <c r="G1463" s="1" t="n">
        <f aca="false">C1463/C1462-1</f>
        <v>4.88670977831784E-005</v>
      </c>
    </row>
    <row r="1464" customFormat="false" ht="15" hidden="false" customHeight="false" outlineLevel="0" collapsed="false">
      <c r="A1464" s="1" t="s">
        <v>1471</v>
      </c>
      <c r="B1464" s="5" t="n">
        <v>31.7089</v>
      </c>
      <c r="C1464" s="5" t="n">
        <v>12.279</v>
      </c>
      <c r="D1464" s="1" t="n">
        <f aca="false">LN(B1464/B1463)</f>
        <v>-0.0139239108789034</v>
      </c>
      <c r="E1464" s="1" t="n">
        <f aca="false">LN(C1464/C1463)</f>
        <v>1.62881039835785E-005</v>
      </c>
      <c r="F1464" s="1" t="n">
        <f aca="false">B1464/B1463-1</f>
        <v>-0.0138274215870745</v>
      </c>
      <c r="G1464" s="1" t="n">
        <f aca="false">C1464/C1463-1</f>
        <v>1.62882366354644E-005</v>
      </c>
    </row>
    <row r="1465" customFormat="false" ht="15" hidden="false" customHeight="false" outlineLevel="0" collapsed="false">
      <c r="A1465" s="1" t="s">
        <v>1472</v>
      </c>
      <c r="B1465" s="6" t="n">
        <v>31.7089</v>
      </c>
      <c r="C1465" s="6" t="n">
        <v>12.2783</v>
      </c>
      <c r="D1465" s="1" t="n">
        <f aca="false">LN(B1465/B1464)</f>
        <v>0</v>
      </c>
      <c r="E1465" s="1" t="n">
        <f aca="false">LN(C1465/C1464)</f>
        <v>-5.70095246781887E-005</v>
      </c>
      <c r="F1465" s="1" t="n">
        <f aca="false">B1465/B1464-1</f>
        <v>0</v>
      </c>
      <c r="G1465" s="1" t="n">
        <f aca="false">C1465/C1464-1</f>
        <v>-5.70078996661172E-005</v>
      </c>
      <c r="H1465" s="7" t="s">
        <v>108</v>
      </c>
    </row>
    <row r="1466" customFormat="false" ht="15" hidden="false" customHeight="false" outlineLevel="0" collapsed="false">
      <c r="A1466" s="1" t="s">
        <v>1473</v>
      </c>
      <c r="B1466" s="5" t="n">
        <v>31.7177</v>
      </c>
      <c r="C1466" s="5" t="n">
        <v>12.2789</v>
      </c>
      <c r="D1466" s="1" t="n">
        <f aca="false">LN(B1466/B1465)</f>
        <v>0.000277486103826039</v>
      </c>
      <c r="E1466" s="1" t="n">
        <f aca="false">LN(C1466/C1465)</f>
        <v>4.88655058492637E-005</v>
      </c>
      <c r="F1466" s="1" t="n">
        <f aca="false">B1466/B1465-1</f>
        <v>0.000277524606656199</v>
      </c>
      <c r="G1466" s="1" t="n">
        <f aca="false">C1466/C1465-1</f>
        <v>4.8866699787542E-005</v>
      </c>
    </row>
    <row r="1467" customFormat="false" ht="15" hidden="false" customHeight="false" outlineLevel="0" collapsed="false">
      <c r="A1467" s="1" t="s">
        <v>1474</v>
      </c>
      <c r="B1467" s="5" t="n">
        <v>31.5429</v>
      </c>
      <c r="C1467" s="5" t="n">
        <v>12.279</v>
      </c>
      <c r="D1467" s="1" t="n">
        <f aca="false">LN(B1467/B1466)</f>
        <v>-0.005526360637598</v>
      </c>
      <c r="E1467" s="1" t="n">
        <f aca="false">LN(C1467/C1466)</f>
        <v>8.14401882906508E-006</v>
      </c>
      <c r="F1467" s="1" t="n">
        <f aca="false">B1467/B1466-1</f>
        <v>-0.00551111839761398</v>
      </c>
      <c r="G1467" s="1" t="n">
        <f aca="false">C1467/C1466-1</f>
        <v>8.14405199167645E-006</v>
      </c>
    </row>
    <row r="1468" customFormat="false" ht="15" hidden="false" customHeight="false" outlineLevel="0" collapsed="false">
      <c r="A1468" s="1" t="s">
        <v>1475</v>
      </c>
      <c r="B1468" s="5" t="n">
        <v>31.5002</v>
      </c>
      <c r="C1468" s="5" t="n">
        <v>12.2787</v>
      </c>
      <c r="D1468" s="1" t="n">
        <f aca="false">LN(B1468/B1467)</f>
        <v>-0.00135462902457558</v>
      </c>
      <c r="E1468" s="1" t="n">
        <f aca="false">LN(C1468/C1467)</f>
        <v>-2.44322554648715E-005</v>
      </c>
      <c r="F1468" s="1" t="n">
        <f aca="false">B1468/B1467-1</f>
        <v>-0.00135371192883338</v>
      </c>
      <c r="G1468" s="1" t="n">
        <f aca="false">C1468/C1467-1</f>
        <v>-2.44319569997487E-005</v>
      </c>
    </row>
    <row r="1469" customFormat="false" ht="15" hidden="false" customHeight="false" outlineLevel="0" collapsed="false">
      <c r="A1469" s="1" t="s">
        <v>1476</v>
      </c>
      <c r="B1469" s="5" t="n">
        <v>31.1098</v>
      </c>
      <c r="C1469" s="5" t="n">
        <v>12.2789</v>
      </c>
      <c r="D1469" s="1" t="n">
        <f aca="false">LN(B1469/B1468)</f>
        <v>-0.0124710129299283</v>
      </c>
      <c r="E1469" s="1" t="n">
        <f aca="false">LN(C1469/C1468)</f>
        <v>1.62882366357498E-005</v>
      </c>
      <c r="F1469" s="1" t="n">
        <f aca="false">B1469/B1468-1</f>
        <v>-0.0123935721043041</v>
      </c>
      <c r="G1469" s="1" t="n">
        <f aca="false">C1469/C1468-1</f>
        <v>1.62883692897964E-005</v>
      </c>
    </row>
    <row r="1470" customFormat="false" ht="15" hidden="false" customHeight="false" outlineLevel="0" collapsed="false">
      <c r="A1470" s="1" t="s">
        <v>1477</v>
      </c>
      <c r="B1470" s="5" t="n">
        <v>31.183</v>
      </c>
      <c r="C1470" s="5" t="n">
        <v>12.2788</v>
      </c>
      <c r="D1470" s="1" t="n">
        <f aca="false">LN(B1470/B1469)</f>
        <v>0.0023501924361328</v>
      </c>
      <c r="E1470" s="1" t="n">
        <f aca="false">LN(C1470/C1469)</f>
        <v>-8.1440851545369E-006</v>
      </c>
      <c r="F1470" s="1" t="n">
        <f aca="false">B1470/B1469-1</f>
        <v>0.00235295630315857</v>
      </c>
      <c r="G1470" s="1" t="n">
        <f aca="false">C1470/C1469-1</f>
        <v>-8.14405199156543E-006</v>
      </c>
    </row>
    <row r="1471" customFormat="false" ht="15" hidden="false" customHeight="false" outlineLevel="0" collapsed="false">
      <c r="A1471" s="1" t="s">
        <v>1478</v>
      </c>
      <c r="B1471" s="5" t="n">
        <v>31.48</v>
      </c>
      <c r="C1471" s="5" t="n">
        <v>12.2794</v>
      </c>
      <c r="D1471" s="1" t="n">
        <f aca="false">LN(B1471/B1470)</f>
        <v>0.00947934902521759</v>
      </c>
      <c r="E1471" s="1" t="n">
        <f aca="false">LN(C1471/C1470)</f>
        <v>4.88635160655691E-005</v>
      </c>
      <c r="F1471" s="1" t="n">
        <f aca="false">B1471/B1470-1</f>
        <v>0.00952442035724599</v>
      </c>
      <c r="G1471" s="1" t="n">
        <f aca="false">C1471/C1470-1</f>
        <v>4.88647099066153E-005</v>
      </c>
    </row>
    <row r="1472" customFormat="false" ht="15" hidden="false" customHeight="false" outlineLevel="0" collapsed="false">
      <c r="A1472" s="1" t="s">
        <v>1479</v>
      </c>
      <c r="B1472" s="5" t="n">
        <v>31.0096</v>
      </c>
      <c r="C1472" s="5" t="n">
        <v>12.279</v>
      </c>
      <c r="D1472" s="1" t="n">
        <f aca="false">LN(B1472/B1471)</f>
        <v>-0.0150555895848564</v>
      </c>
      <c r="E1472" s="1" t="n">
        <f aca="false">LN(C1472/C1471)</f>
        <v>-3.25754120819593E-005</v>
      </c>
      <c r="F1472" s="1" t="n">
        <f aca="false">B1472/B1471-1</f>
        <v>-0.0149428208386277</v>
      </c>
      <c r="G1472" s="1" t="n">
        <f aca="false">C1472/C1471-1</f>
        <v>-3.25748815089844E-005</v>
      </c>
    </row>
    <row r="1473" customFormat="false" ht="15" hidden="false" customHeight="false" outlineLevel="0" collapsed="false">
      <c r="A1473" s="1" t="s">
        <v>1480</v>
      </c>
      <c r="B1473" s="5" t="n">
        <v>30.3557</v>
      </c>
      <c r="C1473" s="5" t="n">
        <v>12.2791</v>
      </c>
      <c r="D1473" s="1" t="n">
        <f aca="false">LN(B1473/B1472)</f>
        <v>-0.0213125251965109</v>
      </c>
      <c r="E1473" s="1" t="n">
        <f aca="false">LN(C1473/C1472)</f>
        <v>8.14395250443765E-006</v>
      </c>
      <c r="F1473" s="1" t="n">
        <f aca="false">B1473/B1472-1</f>
        <v>-0.0210870182137145</v>
      </c>
      <c r="G1473" s="1" t="n">
        <f aca="false">C1473/C1472-1</f>
        <v>8.14398566650887E-006</v>
      </c>
    </row>
    <row r="1474" customFormat="false" ht="15" hidden="false" customHeight="false" outlineLevel="0" collapsed="false">
      <c r="A1474" s="1" t="s">
        <v>1481</v>
      </c>
      <c r="B1474" s="5" t="n">
        <v>30.3529</v>
      </c>
      <c r="C1474" s="5" t="n">
        <v>12.2793</v>
      </c>
      <c r="D1474" s="1" t="n">
        <f aca="false">LN(B1474/B1473)</f>
        <v>-9.2243932555878E-005</v>
      </c>
      <c r="E1474" s="1" t="n">
        <f aca="false">LN(C1474/C1473)</f>
        <v>1.62877060397209E-005</v>
      </c>
      <c r="F1474" s="1" t="n">
        <f aca="false">B1474/B1473-1</f>
        <v>-9.22396782151447E-005</v>
      </c>
      <c r="G1474" s="1" t="n">
        <f aca="false">C1474/C1473-1</f>
        <v>1.62878386851251E-005</v>
      </c>
    </row>
    <row r="1475" customFormat="false" ht="15" hidden="false" customHeight="false" outlineLevel="0" collapsed="false">
      <c r="A1475" s="1" t="s">
        <v>1482</v>
      </c>
      <c r="B1475" s="5" t="n">
        <v>30.5563</v>
      </c>
      <c r="C1475" s="5" t="n">
        <v>12.279</v>
      </c>
      <c r="D1475" s="1" t="n">
        <f aca="false">LN(B1475/B1474)</f>
        <v>0.00667881883464777</v>
      </c>
      <c r="E1475" s="1" t="n">
        <f aca="false">LN(C1475/C1474)</f>
        <v>-2.44316585443186E-005</v>
      </c>
      <c r="F1475" s="1" t="n">
        <f aca="false">B1475/B1474-1</f>
        <v>0.00670117188143471</v>
      </c>
      <c r="G1475" s="1" t="n">
        <f aca="false">C1475/C1474-1</f>
        <v>-2.44313600937796E-005</v>
      </c>
    </row>
    <row r="1476" customFormat="false" ht="15" hidden="false" customHeight="false" outlineLevel="0" collapsed="false">
      <c r="A1476" s="1" t="s">
        <v>1483</v>
      </c>
      <c r="B1476" s="5" t="n">
        <v>30.7266</v>
      </c>
      <c r="C1476" s="5" t="n">
        <v>12.2793</v>
      </c>
      <c r="D1476" s="1" t="n">
        <f aca="false">LN(B1476/B1475)</f>
        <v>0.00555784528393097</v>
      </c>
      <c r="E1476" s="1" t="n">
        <f aca="false">LN(C1476/C1475)</f>
        <v>2.44316585443485E-005</v>
      </c>
      <c r="F1476" s="1" t="n">
        <f aca="false">B1476/B1475-1</f>
        <v>0.00557331875914291</v>
      </c>
      <c r="G1476" s="1" t="n">
        <f aca="false">C1476/C1475-1</f>
        <v>2.44319569997487E-005</v>
      </c>
    </row>
    <row r="1477" customFormat="false" ht="15" hidden="false" customHeight="false" outlineLevel="0" collapsed="false">
      <c r="A1477" s="1" t="s">
        <v>1484</v>
      </c>
      <c r="B1477" s="5" t="n">
        <v>30.5907</v>
      </c>
      <c r="C1477" s="5" t="n">
        <v>12.2793</v>
      </c>
      <c r="D1477" s="1" t="n">
        <f aca="false">LN(B1477/B1476)</f>
        <v>-0.00443268775767014</v>
      </c>
      <c r="E1477" s="1" t="n">
        <f aca="false">LN(C1477/C1476)</f>
        <v>0</v>
      </c>
      <c r="F1477" s="1" t="n">
        <f aca="false">B1477/B1476-1</f>
        <v>-0.00442287789732687</v>
      </c>
      <c r="G1477" s="1" t="n">
        <f aca="false">C1477/C1476-1</f>
        <v>0</v>
      </c>
    </row>
    <row r="1478" customFormat="false" ht="15" hidden="false" customHeight="false" outlineLevel="0" collapsed="false">
      <c r="A1478" s="1" t="s">
        <v>1485</v>
      </c>
      <c r="B1478" s="5" t="n">
        <v>30.5763</v>
      </c>
      <c r="C1478" s="5" t="n">
        <v>12.2793</v>
      </c>
      <c r="D1478" s="1" t="n">
        <f aca="false">LN(B1478/B1477)</f>
        <v>-0.000470842129449887</v>
      </c>
      <c r="E1478" s="1" t="n">
        <f aca="false">LN(C1478/C1477)</f>
        <v>0</v>
      </c>
      <c r="F1478" s="1" t="n">
        <f aca="false">B1478/B1477-1</f>
        <v>-0.00047073130068942</v>
      </c>
      <c r="G1478" s="1" t="n">
        <f aca="false">C1478/C1477-1</f>
        <v>0</v>
      </c>
    </row>
    <row r="1479" customFormat="false" ht="15" hidden="false" customHeight="false" outlineLevel="0" collapsed="false">
      <c r="A1479" s="1" t="s">
        <v>1486</v>
      </c>
      <c r="B1479" s="5" t="n">
        <v>30.906</v>
      </c>
      <c r="C1479" s="5" t="n">
        <v>12.2794</v>
      </c>
      <c r="D1479" s="1" t="n">
        <f aca="false">LN(B1479/B1478)</f>
        <v>0.010725140744765</v>
      </c>
      <c r="E1479" s="1" t="n">
        <f aca="false">LN(C1479/C1478)</f>
        <v>8.1437535376607E-006</v>
      </c>
      <c r="F1479" s="1" t="n">
        <f aca="false">B1479/B1478-1</f>
        <v>0.0107828612356629</v>
      </c>
      <c r="G1479" s="1" t="n">
        <f aca="false">C1479/C1478-1</f>
        <v>8.14378669811156E-006</v>
      </c>
    </row>
    <row r="1480" customFormat="false" ht="15" hidden="false" customHeight="false" outlineLevel="0" collapsed="false">
      <c r="A1480" s="1" t="s">
        <v>1487</v>
      </c>
      <c r="B1480" s="5" t="n">
        <v>31.3878</v>
      </c>
      <c r="C1480" s="5" t="n">
        <v>12.2793</v>
      </c>
      <c r="D1480" s="1" t="n">
        <f aca="false">LN(B1480/B1479)</f>
        <v>0.0154689425715651</v>
      </c>
      <c r="E1480" s="1" t="n">
        <f aca="false">LN(C1480/C1479)</f>
        <v>-8.14375353765569E-006</v>
      </c>
      <c r="F1480" s="1" t="n">
        <f aca="false">B1480/B1479-1</f>
        <v>0.0155892059794214</v>
      </c>
      <c r="G1480" s="1" t="n">
        <f aca="false">C1480/C1479-1</f>
        <v>-8.14372037738487E-006</v>
      </c>
    </row>
    <row r="1481" customFormat="false" ht="15" hidden="false" customHeight="false" outlineLevel="0" collapsed="false">
      <c r="A1481" s="1" t="s">
        <v>1488</v>
      </c>
      <c r="B1481" s="5" t="n">
        <v>31.4279</v>
      </c>
      <c r="C1481" s="5" t="n">
        <v>12.2795</v>
      </c>
      <c r="D1481" s="1" t="n">
        <f aca="false">LN(B1481/B1480)</f>
        <v>0.00127675104941054</v>
      </c>
      <c r="E1481" s="1" t="n">
        <f aca="false">LN(C1481/C1480)</f>
        <v>1.62874407549178E-005</v>
      </c>
      <c r="F1481" s="1" t="n">
        <f aca="false">B1481/B1480-1</f>
        <v>0.00127756644301291</v>
      </c>
      <c r="G1481" s="1" t="n">
        <f aca="false">C1481/C1480-1</f>
        <v>1.62875733960011E-005</v>
      </c>
    </row>
    <row r="1482" customFormat="false" ht="15" hidden="false" customHeight="false" outlineLevel="0" collapsed="false">
      <c r="A1482" s="1" t="s">
        <v>1489</v>
      </c>
      <c r="B1482" s="5" t="n">
        <v>31.4545</v>
      </c>
      <c r="C1482" s="5" t="n">
        <v>12.2793</v>
      </c>
      <c r="D1482" s="1" t="n">
        <f aca="false">LN(B1482/B1481)</f>
        <v>0.000846023739125382</v>
      </c>
      <c r="E1482" s="1" t="n">
        <f aca="false">LN(C1482/C1481)</f>
        <v>-1.62874407548468E-005</v>
      </c>
      <c r="F1482" s="1" t="n">
        <f aca="false">B1482/B1481-1</f>
        <v>0.000846381718154765</v>
      </c>
      <c r="G1482" s="1" t="n">
        <f aca="false">C1482/C1481-1</f>
        <v>-1.62873081152037E-005</v>
      </c>
    </row>
    <row r="1483" customFormat="false" ht="15" hidden="false" customHeight="false" outlineLevel="0" collapsed="false">
      <c r="A1483" s="1" t="s">
        <v>1490</v>
      </c>
      <c r="B1483" s="5" t="n">
        <v>31.2259</v>
      </c>
      <c r="C1483" s="5" t="n">
        <v>12.2795</v>
      </c>
      <c r="D1483" s="1" t="n">
        <f aca="false">LN(B1483/B1482)</f>
        <v>-0.00729417851689265</v>
      </c>
      <c r="E1483" s="1" t="n">
        <f aca="false">LN(C1483/C1482)</f>
        <v>1.62874407549178E-005</v>
      </c>
      <c r="F1483" s="1" t="n">
        <f aca="false">B1483/B1482-1</f>
        <v>-0.00726764056017426</v>
      </c>
      <c r="G1483" s="1" t="n">
        <f aca="false">C1483/C1482-1</f>
        <v>1.62875733960011E-005</v>
      </c>
    </row>
    <row r="1484" customFormat="false" ht="15" hidden="false" customHeight="false" outlineLevel="0" collapsed="false">
      <c r="A1484" s="1" t="s">
        <v>1491</v>
      </c>
      <c r="B1484" s="5" t="n">
        <v>31.4673</v>
      </c>
      <c r="C1484" s="5" t="n">
        <v>12.2794</v>
      </c>
      <c r="D1484" s="1" t="n">
        <f aca="false">LN(B1484/B1483)</f>
        <v>0.00770103274472997</v>
      </c>
      <c r="E1484" s="1" t="n">
        <f aca="false">LN(C1484/C1483)</f>
        <v>-8.14368721727709E-006</v>
      </c>
      <c r="F1484" s="1" t="n">
        <f aca="false">B1484/B1483-1</f>
        <v>0.00773076196362643</v>
      </c>
      <c r="G1484" s="1" t="n">
        <f aca="false">C1484/C1483-1</f>
        <v>-8.14365405754636E-006</v>
      </c>
    </row>
    <row r="1485" customFormat="false" ht="15" hidden="false" customHeight="false" outlineLevel="0" collapsed="false">
      <c r="A1485" s="1" t="s">
        <v>1492</v>
      </c>
      <c r="B1485" s="5" t="n">
        <v>31.466</v>
      </c>
      <c r="C1485" s="5" t="n">
        <v>12.2794</v>
      </c>
      <c r="D1485" s="1" t="n">
        <f aca="false">LN(B1485/B1484)</f>
        <v>-4.13135812100671E-005</v>
      </c>
      <c r="E1485" s="1" t="n">
        <f aca="false">LN(C1485/C1484)</f>
        <v>0</v>
      </c>
      <c r="F1485" s="1" t="n">
        <f aca="false">B1485/B1484-1</f>
        <v>-4.13127278158232E-005</v>
      </c>
      <c r="G1485" s="1" t="n">
        <f aca="false">C1485/C1484-1</f>
        <v>0</v>
      </c>
    </row>
    <row r="1486" customFormat="false" ht="15" hidden="false" customHeight="false" outlineLevel="0" collapsed="false">
      <c r="A1486" s="1" t="s">
        <v>1493</v>
      </c>
      <c r="B1486" s="5" t="n">
        <v>31.207</v>
      </c>
      <c r="C1486" s="5" t="n">
        <v>12.279</v>
      </c>
      <c r="D1486" s="1" t="n">
        <f aca="false">LN(B1486/B1485)</f>
        <v>-0.00826516919314674</v>
      </c>
      <c r="E1486" s="1" t="n">
        <f aca="false">LN(C1486/C1485)</f>
        <v>-3.25754120819593E-005</v>
      </c>
      <c r="F1486" s="1" t="n">
        <f aca="false">B1486/B1485-1</f>
        <v>-0.00823110659124138</v>
      </c>
      <c r="G1486" s="1" t="n">
        <f aca="false">C1486/C1485-1</f>
        <v>-3.25748815089844E-005</v>
      </c>
    </row>
    <row r="1487" customFormat="false" ht="15" hidden="false" customHeight="false" outlineLevel="0" collapsed="false">
      <c r="A1487" s="1" t="s">
        <v>1494</v>
      </c>
      <c r="B1487" s="5" t="n">
        <v>31.0717</v>
      </c>
      <c r="C1487" s="5" t="n">
        <v>12.279</v>
      </c>
      <c r="D1487" s="1" t="n">
        <f aca="false">LN(B1487/B1486)</f>
        <v>-0.00434499155763092</v>
      </c>
      <c r="E1487" s="1" t="n">
        <f aca="false">LN(C1487/C1486)</f>
        <v>0</v>
      </c>
      <c r="F1487" s="1" t="n">
        <f aca="false">B1487/B1486-1</f>
        <v>-0.00433556573845617</v>
      </c>
      <c r="G1487" s="1" t="n">
        <f aca="false">C1487/C1486-1</f>
        <v>0</v>
      </c>
    </row>
    <row r="1488" customFormat="false" ht="15" hidden="false" customHeight="false" outlineLevel="0" collapsed="false">
      <c r="A1488" s="1" t="s">
        <v>1495</v>
      </c>
      <c r="B1488" s="5" t="n">
        <v>30.8506</v>
      </c>
      <c r="C1488" s="5" t="n">
        <v>12.2789</v>
      </c>
      <c r="D1488" s="1" t="n">
        <f aca="false">LN(B1488/B1487)</f>
        <v>-0.00714123795867009</v>
      </c>
      <c r="E1488" s="1" t="n">
        <f aca="false">LN(C1488/C1487)</f>
        <v>-8.14401882905121E-006</v>
      </c>
      <c r="F1488" s="1" t="n">
        <f aca="false">B1488/B1487-1</f>
        <v>-0.00711579990795486</v>
      </c>
      <c r="G1488" s="1" t="n">
        <f aca="false">C1488/C1487-1</f>
        <v>-8.14398566661989E-006</v>
      </c>
    </row>
    <row r="1489" customFormat="false" ht="15" hidden="false" customHeight="false" outlineLevel="0" collapsed="false">
      <c r="A1489" s="1" t="s">
        <v>1496</v>
      </c>
      <c r="B1489" s="5" t="n">
        <v>30.3932</v>
      </c>
      <c r="C1489" s="5" t="n">
        <v>12.2787</v>
      </c>
      <c r="D1489" s="1" t="n">
        <f aca="false">LN(B1489/B1488)</f>
        <v>-0.0149372999281785</v>
      </c>
      <c r="E1489" s="1" t="n">
        <f aca="false">LN(C1489/C1488)</f>
        <v>-1.6288236635848E-005</v>
      </c>
      <c r="F1489" s="1" t="n">
        <f aca="false">B1489/B1488-1</f>
        <v>-0.0148262918711467</v>
      </c>
      <c r="G1489" s="1" t="n">
        <f aca="false">C1489/C1488-1</f>
        <v>-1.62881039832419E-005</v>
      </c>
    </row>
    <row r="1490" customFormat="false" ht="15" hidden="false" customHeight="false" outlineLevel="0" collapsed="false">
      <c r="A1490" s="1" t="s">
        <v>1497</v>
      </c>
      <c r="B1490" s="5" t="n">
        <v>30.9538</v>
      </c>
      <c r="C1490" s="5" t="n">
        <v>12.2789</v>
      </c>
      <c r="D1490" s="1" t="n">
        <f aca="false">LN(B1490/B1489)</f>
        <v>0.0182768710885977</v>
      </c>
      <c r="E1490" s="1" t="n">
        <f aca="false">LN(C1490/C1489)</f>
        <v>1.62882366357498E-005</v>
      </c>
      <c r="F1490" s="1" t="n">
        <f aca="false">B1490/B1489-1</f>
        <v>0.0184449153100035</v>
      </c>
      <c r="G1490" s="1" t="n">
        <f aca="false">C1490/C1489-1</f>
        <v>1.62883692897964E-005</v>
      </c>
    </row>
    <row r="1491" customFormat="false" ht="15" hidden="false" customHeight="false" outlineLevel="0" collapsed="false">
      <c r="A1491" s="1" t="s">
        <v>1498</v>
      </c>
      <c r="B1491" s="5" t="n">
        <v>30.738</v>
      </c>
      <c r="C1491" s="5" t="n">
        <v>12.2794</v>
      </c>
      <c r="D1491" s="1" t="n">
        <f aca="false">LN(B1491/B1490)</f>
        <v>-0.00699609608408294</v>
      </c>
      <c r="E1491" s="1" t="n">
        <f aca="false">LN(C1491/C1490)</f>
        <v>4.07194309108806E-005</v>
      </c>
      <c r="F1491" s="1" t="n">
        <f aca="false">B1491/B1490-1</f>
        <v>-0.00697168037526896</v>
      </c>
      <c r="G1491" s="1" t="n">
        <f aca="false">C1491/C1490-1</f>
        <v>4.07202599581602E-005</v>
      </c>
    </row>
    <row r="1492" customFormat="false" ht="15" hidden="false" customHeight="false" outlineLevel="0" collapsed="false">
      <c r="A1492" s="1" t="s">
        <v>1499</v>
      </c>
      <c r="B1492" s="5" t="n">
        <v>30.8598</v>
      </c>
      <c r="C1492" s="5" t="n">
        <v>12.279</v>
      </c>
      <c r="D1492" s="1" t="n">
        <f aca="false">LN(B1492/B1491)</f>
        <v>0.00395469184749368</v>
      </c>
      <c r="E1492" s="1" t="n">
        <f aca="false">LN(C1492/C1491)</f>
        <v>-3.25754120819593E-005</v>
      </c>
      <c r="F1492" s="1" t="n">
        <f aca="false">B1492/B1491-1</f>
        <v>0.00396252195978919</v>
      </c>
      <c r="G1492" s="1" t="n">
        <f aca="false">C1492/C1491-1</f>
        <v>-3.25748815089844E-005</v>
      </c>
    </row>
    <row r="1493" customFormat="false" ht="15" hidden="false" customHeight="false" outlineLevel="0" collapsed="false">
      <c r="A1493" s="1" t="s">
        <v>1500</v>
      </c>
      <c r="B1493" s="5" t="n">
        <v>30.9856</v>
      </c>
      <c r="C1493" s="5" t="n">
        <v>12.2799</v>
      </c>
      <c r="D1493" s="1" t="n">
        <f aca="false">LN(B1493/B1492)</f>
        <v>0.0040682144024611</v>
      </c>
      <c r="E1493" s="1" t="n">
        <f aca="false">LN(C1493/C1492)</f>
        <v>7.32931849881414E-005</v>
      </c>
      <c r="F1493" s="1" t="n">
        <f aca="false">B1493/B1492-1</f>
        <v>0.0040765008198369</v>
      </c>
      <c r="G1493" s="1" t="n">
        <f aca="false">C1493/C1492-1</f>
        <v>7.3295870999246E-005</v>
      </c>
    </row>
    <row r="1494" customFormat="false" ht="15" hidden="false" customHeight="false" outlineLevel="0" collapsed="false">
      <c r="A1494" s="1" t="s">
        <v>1501</v>
      </c>
      <c r="B1494" s="5" t="n">
        <v>31.0037</v>
      </c>
      <c r="C1494" s="5" t="n">
        <v>12.2793</v>
      </c>
      <c r="D1494" s="1" t="n">
        <f aca="false">LN(B1494/B1493)</f>
        <v>0.000583971766558915</v>
      </c>
      <c r="E1494" s="1" t="n">
        <f aca="false">LN(C1494/C1493)</f>
        <v>-4.8861526443817E-005</v>
      </c>
      <c r="F1494" s="1" t="n">
        <f aca="false">B1494/B1493-1</f>
        <v>0.000584142311267133</v>
      </c>
      <c r="G1494" s="1" t="n">
        <f aca="false">C1494/C1493-1</f>
        <v>-4.88603327388759E-005</v>
      </c>
    </row>
    <row r="1495" customFormat="false" ht="15" hidden="false" customHeight="false" outlineLevel="0" collapsed="false">
      <c r="A1495" s="1" t="s">
        <v>1502</v>
      </c>
      <c r="B1495" s="5" t="n">
        <v>32.0307</v>
      </c>
      <c r="C1495" s="5" t="n">
        <v>12.2792</v>
      </c>
      <c r="D1495" s="1" t="n">
        <f aca="false">LN(B1495/B1494)</f>
        <v>0.0325882656920224</v>
      </c>
      <c r="E1495" s="1" t="n">
        <f aca="false">LN(C1495/C1494)</f>
        <v>-8.14381985870044E-006</v>
      </c>
      <c r="F1495" s="1" t="n">
        <f aca="false">B1495/B1494-1</f>
        <v>0.0331250786196489</v>
      </c>
      <c r="G1495" s="1" t="n">
        <f aca="false">C1495/C1494-1</f>
        <v>-8.14378669788951E-006</v>
      </c>
    </row>
    <row r="1496" customFormat="false" ht="15" hidden="false" customHeight="false" outlineLevel="0" collapsed="false">
      <c r="A1496" s="1" t="s">
        <v>1503</v>
      </c>
      <c r="B1496" s="5" t="n">
        <v>31.7582</v>
      </c>
      <c r="C1496" s="5" t="n">
        <v>12.2794</v>
      </c>
      <c r="D1496" s="1" t="n">
        <f aca="false">LN(B1496/B1495)</f>
        <v>-0.00854385818378548</v>
      </c>
      <c r="E1496" s="1" t="n">
        <f aca="false">LN(C1496/C1495)</f>
        <v>1.62875733964312E-005</v>
      </c>
      <c r="F1496" s="1" t="n">
        <f aca="false">B1496/B1495-1</f>
        <v>-0.00850746315253814</v>
      </c>
      <c r="G1496" s="1" t="n">
        <f aca="false">C1496/C1495-1</f>
        <v>1.62877060396749E-005</v>
      </c>
    </row>
    <row r="1497" customFormat="false" ht="15" hidden="false" customHeight="false" outlineLevel="0" collapsed="false">
      <c r="A1497" s="1" t="s">
        <v>1504</v>
      </c>
      <c r="B1497" s="5" t="n">
        <v>31.9292</v>
      </c>
      <c r="C1497" s="5" t="n">
        <v>12.2794</v>
      </c>
      <c r="D1497" s="1" t="n">
        <f aca="false">LN(B1497/B1496)</f>
        <v>0.005369991895552</v>
      </c>
      <c r="E1497" s="1" t="n">
        <f aca="false">LN(C1497/C1496)</f>
        <v>0</v>
      </c>
      <c r="F1497" s="1" t="n">
        <f aca="false">B1497/B1496-1</f>
        <v>0.00538443614562545</v>
      </c>
      <c r="G1497" s="1" t="n">
        <f aca="false">C1497/C1496-1</f>
        <v>0</v>
      </c>
    </row>
    <row r="1498" customFormat="false" ht="15" hidden="false" customHeight="false" outlineLevel="0" collapsed="false">
      <c r="A1498" s="1" t="s">
        <v>1505</v>
      </c>
      <c r="B1498" s="5" t="n">
        <v>31.9272</v>
      </c>
      <c r="C1498" s="5" t="n">
        <v>12.2797</v>
      </c>
      <c r="D1498" s="1" t="n">
        <f aca="false">LN(B1498/B1497)</f>
        <v>-6.26405497539685E-005</v>
      </c>
      <c r="E1498" s="1" t="n">
        <f aca="false">LN(C1498/C1497)</f>
        <v>2.44308626955321E-005</v>
      </c>
      <c r="F1498" s="1" t="n">
        <f aca="false">B1498/B1497-1</f>
        <v>-6.26385878756963E-005</v>
      </c>
      <c r="G1498" s="1" t="n">
        <f aca="false">C1498/C1497-1</f>
        <v>2.44311611314885E-005</v>
      </c>
    </row>
    <row r="1499" customFormat="false" ht="15" hidden="false" customHeight="false" outlineLevel="0" collapsed="false">
      <c r="A1499" s="1" t="s">
        <v>1506</v>
      </c>
      <c r="B1499" s="5" t="n">
        <v>32.029</v>
      </c>
      <c r="C1499" s="5" t="n">
        <v>12.2797</v>
      </c>
      <c r="D1499" s="1" t="n">
        <f aca="false">LN(B1499/B1498)</f>
        <v>0.00318343134745595</v>
      </c>
      <c r="E1499" s="1" t="n">
        <f aca="false">LN(C1499/C1498)</f>
        <v>0</v>
      </c>
      <c r="F1499" s="1" t="n">
        <f aca="false">B1499/B1498-1</f>
        <v>0.00318850384625025</v>
      </c>
      <c r="G1499" s="1" t="n">
        <f aca="false">C1499/C1498-1</f>
        <v>0</v>
      </c>
    </row>
    <row r="1500" customFormat="false" ht="15" hidden="false" customHeight="false" outlineLevel="0" collapsed="false">
      <c r="A1500" s="1" t="s">
        <v>1507</v>
      </c>
      <c r="B1500" s="5" t="n">
        <v>32.5369</v>
      </c>
      <c r="C1500" s="5" t="n">
        <v>12.2802</v>
      </c>
      <c r="D1500" s="1" t="n">
        <f aca="false">LN(B1500/B1499)</f>
        <v>0.0157330874862986</v>
      </c>
      <c r="E1500" s="1" t="n">
        <f aca="false">LN(C1500/C1499)</f>
        <v>4.07167781685136E-005</v>
      </c>
      <c r="F1500" s="1" t="n">
        <f aca="false">B1500/B1499-1</f>
        <v>0.015857504136876</v>
      </c>
      <c r="G1500" s="1" t="n">
        <f aca="false">C1500/C1499-1</f>
        <v>4.07176071077764E-005</v>
      </c>
    </row>
    <row r="1501" customFormat="false" ht="15" hidden="false" customHeight="false" outlineLevel="0" collapsed="false">
      <c r="A1501" s="1" t="s">
        <v>1508</v>
      </c>
      <c r="B1501" s="5" t="n">
        <v>32.6357</v>
      </c>
      <c r="C1501" s="5" t="n">
        <v>12.2805</v>
      </c>
      <c r="D1501" s="1" t="n">
        <f aca="false">LN(B1501/B1500)</f>
        <v>0.0030319513319029</v>
      </c>
      <c r="E1501" s="1" t="n">
        <f aca="false">LN(C1501/C1500)</f>
        <v>2.4429271153769E-005</v>
      </c>
      <c r="F1501" s="1" t="n">
        <f aca="false">B1501/B1500-1</f>
        <v>0.00303655234518341</v>
      </c>
      <c r="G1501" s="1" t="n">
        <f aca="false">C1501/C1500-1</f>
        <v>2.44295695508434E-005</v>
      </c>
    </row>
    <row r="1502" customFormat="false" ht="15" hidden="false" customHeight="false" outlineLevel="0" collapsed="false">
      <c r="A1502" s="1" t="s">
        <v>1509</v>
      </c>
      <c r="B1502" s="5" t="n">
        <v>32.4622</v>
      </c>
      <c r="C1502" s="5" t="n">
        <v>12.2801</v>
      </c>
      <c r="D1502" s="1" t="n">
        <f aca="false">LN(B1502/B1501)</f>
        <v>-0.00533044570758343</v>
      </c>
      <c r="E1502" s="1" t="n">
        <f aca="false">LN(C1502/C1501)</f>
        <v>-3.25724941602656E-005</v>
      </c>
      <c r="F1502" s="1" t="n">
        <f aca="false">B1502/B1501-1</f>
        <v>-0.00531626409116393</v>
      </c>
      <c r="G1502" s="1" t="n">
        <f aca="false">C1502/C1501-1</f>
        <v>-3.25719636823374E-005</v>
      </c>
    </row>
    <row r="1503" customFormat="false" ht="15" hidden="false" customHeight="false" outlineLevel="0" collapsed="false">
      <c r="A1503" s="1" t="s">
        <v>1510</v>
      </c>
      <c r="B1503" s="5" t="n">
        <v>32.3026</v>
      </c>
      <c r="C1503" s="5" t="n">
        <v>12.28</v>
      </c>
      <c r="D1503" s="1" t="n">
        <f aca="false">LN(B1503/B1502)</f>
        <v>-0.00492861316867197</v>
      </c>
      <c r="E1503" s="1" t="n">
        <f aca="false">LN(C1503/C1502)</f>
        <v>-8.14328931887556E-006</v>
      </c>
      <c r="F1503" s="1" t="n">
        <f aca="false">B1503/B1502-1</f>
        <v>-0.0049164874839045</v>
      </c>
      <c r="G1503" s="1" t="n">
        <f aca="false">C1503/C1502-1</f>
        <v>-8.14325616238509E-006</v>
      </c>
    </row>
    <row r="1504" customFormat="false" ht="15" hidden="false" customHeight="false" outlineLevel="0" collapsed="false">
      <c r="A1504" s="1" t="s">
        <v>1511</v>
      </c>
      <c r="B1504" s="5" t="n">
        <v>32.2039</v>
      </c>
      <c r="C1504" s="5" t="n">
        <v>12.2799</v>
      </c>
      <c r="D1504" s="1" t="n">
        <f aca="false">LN(B1504/B1503)</f>
        <v>-0.00306015911647995</v>
      </c>
      <c r="E1504" s="1" t="n">
        <f aca="false">LN(C1504/C1503)</f>
        <v>-8.14335563259274E-006</v>
      </c>
      <c r="F1504" s="1" t="n">
        <f aca="false">B1504/B1503-1</f>
        <v>-0.00305548160210012</v>
      </c>
      <c r="G1504" s="1" t="n">
        <f aca="false">C1504/C1503-1</f>
        <v>-8.14332247556227E-006</v>
      </c>
    </row>
    <row r="1505" customFormat="false" ht="15" hidden="false" customHeight="false" outlineLevel="0" collapsed="false">
      <c r="A1505" s="1" t="s">
        <v>1512</v>
      </c>
      <c r="B1505" s="5" t="n">
        <v>32.2757</v>
      </c>
      <c r="C1505" s="5" t="n">
        <v>12.2803</v>
      </c>
      <c r="D1505" s="1" t="n">
        <f aca="false">LN(B1505/B1504)</f>
        <v>0.00222706188239892</v>
      </c>
      <c r="E1505" s="1" t="n">
        <f aca="false">LN(C1505/C1504)</f>
        <v>3.25730246526711E-005</v>
      </c>
      <c r="F1505" s="1" t="n">
        <f aca="false">B1505/B1504-1</f>
        <v>0.00222954362670369</v>
      </c>
      <c r="G1505" s="1" t="n">
        <f aca="false">C1505/C1504-1</f>
        <v>3.25735551593986E-005</v>
      </c>
    </row>
    <row r="1506" customFormat="false" ht="15" hidden="false" customHeight="false" outlineLevel="0" collapsed="false">
      <c r="A1506" s="1" t="s">
        <v>1513</v>
      </c>
      <c r="B1506" s="5" t="n">
        <v>32.2324</v>
      </c>
      <c r="C1506" s="5" t="n">
        <v>12.2803</v>
      </c>
      <c r="D1506" s="1" t="n">
        <f aca="false">LN(B1506/B1505)</f>
        <v>-0.00134246727164521</v>
      </c>
      <c r="E1506" s="1" t="n">
        <f aca="false">LN(C1506/C1505)</f>
        <v>0</v>
      </c>
      <c r="F1506" s="1" t="n">
        <f aca="false">B1506/B1505-1</f>
        <v>-0.00134156656555873</v>
      </c>
      <c r="G1506" s="1" t="n">
        <f aca="false">C1506/C1505-1</f>
        <v>0</v>
      </c>
    </row>
    <row r="1507" customFormat="false" ht="15" hidden="false" customHeight="false" outlineLevel="0" collapsed="false">
      <c r="A1507" s="1" t="s">
        <v>1514</v>
      </c>
      <c r="B1507" s="5" t="n">
        <v>32.0105</v>
      </c>
      <c r="C1507" s="5" t="n">
        <v>12.2801</v>
      </c>
      <c r="D1507" s="1" t="n">
        <f aca="false">LN(B1507/B1506)</f>
        <v>-0.00690818386085257</v>
      </c>
      <c r="E1507" s="1" t="n">
        <f aca="false">LN(C1507/C1506)</f>
        <v>-1.62863797010847E-005</v>
      </c>
      <c r="F1507" s="1" t="n">
        <f aca="false">B1507/B1506-1</f>
        <v>-0.00688437721050861</v>
      </c>
      <c r="G1507" s="1" t="n">
        <f aca="false">C1507/C1506-1</f>
        <v>-1.62862470787228E-005</v>
      </c>
    </row>
    <row r="1508" customFormat="false" ht="15" hidden="false" customHeight="false" outlineLevel="0" collapsed="false">
      <c r="A1508" s="1" t="s">
        <v>1515</v>
      </c>
      <c r="B1508" s="5" t="n">
        <v>32.0114</v>
      </c>
      <c r="C1508" s="5" t="n">
        <v>12.2801</v>
      </c>
      <c r="D1508" s="1" t="n">
        <f aca="false">LN(B1508/B1507)</f>
        <v>2.81153792704703E-005</v>
      </c>
      <c r="E1508" s="1" t="n">
        <f aca="false">LN(C1508/C1507)</f>
        <v>0</v>
      </c>
      <c r="F1508" s="1" t="n">
        <f aca="false">B1508/B1507-1</f>
        <v>2.81157745114502E-005</v>
      </c>
      <c r="G1508" s="1" t="n">
        <f aca="false">C1508/C1507-1</f>
        <v>0</v>
      </c>
    </row>
    <row r="1509" customFormat="false" ht="15" hidden="false" customHeight="false" outlineLevel="0" collapsed="false">
      <c r="A1509" s="1" t="s">
        <v>1516</v>
      </c>
      <c r="B1509" s="5" t="n">
        <v>31.954</v>
      </c>
      <c r="C1509" s="5" t="n">
        <v>12.2806</v>
      </c>
      <c r="D1509" s="1" t="n">
        <f aca="false">LN(B1509/B1508)</f>
        <v>-0.00179472075238259</v>
      </c>
      <c r="E1509" s="1" t="n">
        <f aca="false">LN(C1509/C1508)</f>
        <v>4.07154519267743E-005</v>
      </c>
      <c r="F1509" s="1" t="n">
        <f aca="false">B1509/B1508-1</f>
        <v>-0.00179311120413361</v>
      </c>
      <c r="G1509" s="1" t="n">
        <f aca="false">C1509/C1508-1</f>
        <v>4.07162808120365E-005</v>
      </c>
    </row>
    <row r="1510" customFormat="false" ht="15" hidden="false" customHeight="false" outlineLevel="0" collapsed="false">
      <c r="A1510" s="1" t="s">
        <v>1517</v>
      </c>
      <c r="B1510" s="5" t="n">
        <v>32.0807</v>
      </c>
      <c r="C1510" s="5" t="n">
        <v>12.2806</v>
      </c>
      <c r="D1510" s="1" t="n">
        <f aca="false">LN(B1510/B1509)</f>
        <v>0.0039572346037491</v>
      </c>
      <c r="E1510" s="1" t="n">
        <f aca="false">LN(C1510/C1509)</f>
        <v>0</v>
      </c>
      <c r="F1510" s="1" t="n">
        <f aca="false">B1510/B1509-1</f>
        <v>0.00396507479501773</v>
      </c>
      <c r="G1510" s="1" t="n">
        <f aca="false">C1510/C1509-1</f>
        <v>0</v>
      </c>
    </row>
    <row r="1511" customFormat="false" ht="15" hidden="false" customHeight="false" outlineLevel="0" collapsed="false">
      <c r="A1511" s="1" t="s">
        <v>1518</v>
      </c>
      <c r="B1511" s="5" t="n">
        <v>32.0852</v>
      </c>
      <c r="C1511" s="5" t="n">
        <v>12.2805</v>
      </c>
      <c r="D1511" s="1" t="n">
        <f aca="false">LN(B1511/B1510)</f>
        <v>0.000140261416340482</v>
      </c>
      <c r="E1511" s="1" t="n">
        <f aca="false">LN(C1511/C1510)</f>
        <v>-8.14295776661012E-006</v>
      </c>
      <c r="F1511" s="1" t="n">
        <f aca="false">B1511/B1510-1</f>
        <v>0.000140271253432855</v>
      </c>
      <c r="G1511" s="1" t="n">
        <f aca="false">C1511/C1510-1</f>
        <v>-8.14292461281951E-006</v>
      </c>
    </row>
    <row r="1512" customFormat="false" ht="15" hidden="false" customHeight="false" outlineLevel="0" collapsed="false">
      <c r="A1512" s="1" t="s">
        <v>1519</v>
      </c>
      <c r="B1512" s="5" t="n">
        <v>32.1479</v>
      </c>
      <c r="C1512" s="5" t="n">
        <v>12.2805</v>
      </c>
      <c r="D1512" s="1" t="n">
        <f aca="false">LN(B1512/B1511)</f>
        <v>0.00195226510675159</v>
      </c>
      <c r="E1512" s="1" t="n">
        <f aca="false">LN(C1512/C1511)</f>
        <v>0</v>
      </c>
      <c r="F1512" s="1" t="n">
        <f aca="false">B1512/B1511-1</f>
        <v>0.00195417201700465</v>
      </c>
      <c r="G1512" s="1" t="n">
        <f aca="false">C1512/C1511-1</f>
        <v>0</v>
      </c>
    </row>
    <row r="1513" customFormat="false" ht="15" hidden="false" customHeight="false" outlineLevel="0" collapsed="false">
      <c r="A1513" s="1" t="s">
        <v>1520</v>
      </c>
      <c r="B1513" s="5" t="n">
        <v>32.2793</v>
      </c>
      <c r="C1513" s="5" t="n">
        <v>12.2807</v>
      </c>
      <c r="D1513" s="1" t="n">
        <f aca="false">LN(B1513/B1512)</f>
        <v>0.00407902818037127</v>
      </c>
      <c r="E1513" s="1" t="n">
        <f aca="false">LN(C1513/C1512)</f>
        <v>1.62858492259508E-005</v>
      </c>
      <c r="F1513" s="1" t="n">
        <f aca="false">B1513/B1512-1</f>
        <v>0.00408735873882904</v>
      </c>
      <c r="G1513" s="1" t="n">
        <f aca="false">C1513/C1512-1</f>
        <v>1.62859818411132E-005</v>
      </c>
    </row>
    <row r="1514" customFormat="false" ht="15" hidden="false" customHeight="false" outlineLevel="0" collapsed="false">
      <c r="A1514" s="1" t="s">
        <v>1521</v>
      </c>
      <c r="B1514" s="5" t="n">
        <v>32.4437</v>
      </c>
      <c r="C1514" s="5" t="n">
        <v>12.2808</v>
      </c>
      <c r="D1514" s="1" t="n">
        <f aca="false">LN(B1514/B1513)</f>
        <v>0.00508012155074531</v>
      </c>
      <c r="E1514" s="1" t="n">
        <f aca="false">LN(C1514/C1513)</f>
        <v>8.14282515319091E-006</v>
      </c>
      <c r="F1514" s="1" t="n">
        <f aca="false">B1514/B1513-1</f>
        <v>0.00509304724699722</v>
      </c>
      <c r="G1514" s="1" t="n">
        <f aca="false">C1514/C1513-1</f>
        <v>8.14285830608164E-006</v>
      </c>
    </row>
    <row r="1515" customFormat="false" ht="15" hidden="false" customHeight="false" outlineLevel="0" collapsed="false">
      <c r="A1515" s="1" t="s">
        <v>1522</v>
      </c>
      <c r="B1515" s="5" t="n">
        <v>32.395</v>
      </c>
      <c r="C1515" s="5" t="n">
        <v>12.2808</v>
      </c>
      <c r="D1515" s="1" t="n">
        <f aca="false">LN(B1515/B1514)</f>
        <v>-0.00150218956141702</v>
      </c>
      <c r="E1515" s="1" t="n">
        <f aca="false">LN(C1515/C1514)</f>
        <v>0</v>
      </c>
      <c r="F1515" s="1" t="n">
        <f aca="false">B1515/B1514-1</f>
        <v>-0.00150106183943255</v>
      </c>
      <c r="G1515" s="1" t="n">
        <f aca="false">C1515/C1514-1</f>
        <v>0</v>
      </c>
    </row>
    <row r="1516" customFormat="false" ht="15" hidden="false" customHeight="false" outlineLevel="0" collapsed="false">
      <c r="A1516" s="1" t="s">
        <v>1523</v>
      </c>
      <c r="B1516" s="5" t="n">
        <v>32.5403</v>
      </c>
      <c r="C1516" s="5" t="n">
        <v>12.2808</v>
      </c>
      <c r="D1516" s="1" t="n">
        <f aca="false">LN(B1516/B1515)</f>
        <v>0.00447523126872207</v>
      </c>
      <c r="E1516" s="1" t="n">
        <f aca="false">LN(C1516/C1515)</f>
        <v>0</v>
      </c>
      <c r="F1516" s="1" t="n">
        <f aca="false">B1516/B1515-1</f>
        <v>0.00448526007099859</v>
      </c>
      <c r="G1516" s="1" t="n">
        <f aca="false">C1516/C1515-1</f>
        <v>0</v>
      </c>
    </row>
    <row r="1517" customFormat="false" ht="15" hidden="false" customHeight="false" outlineLevel="0" collapsed="false">
      <c r="A1517" s="1" t="s">
        <v>1524</v>
      </c>
      <c r="B1517" s="5" t="n">
        <v>32.5554</v>
      </c>
      <c r="C1517" s="5" t="n">
        <v>12.2808</v>
      </c>
      <c r="D1517" s="1" t="n">
        <f aca="false">LN(B1517/B1516)</f>
        <v>0.000463932341793096</v>
      </c>
      <c r="E1517" s="1" t="n">
        <f aca="false">LN(C1517/C1516)</f>
        <v>0</v>
      </c>
      <c r="F1517" s="1" t="n">
        <f aca="false">B1517/B1516-1</f>
        <v>0.000464039975046182</v>
      </c>
      <c r="G1517" s="1" t="n">
        <f aca="false">C1517/C1516-1</f>
        <v>0</v>
      </c>
    </row>
    <row r="1518" customFormat="false" ht="15" hidden="false" customHeight="false" outlineLevel="0" collapsed="false">
      <c r="A1518" s="1" t="s">
        <v>1525</v>
      </c>
      <c r="B1518" s="5" t="n">
        <v>32.1789</v>
      </c>
      <c r="C1518" s="5" t="n">
        <v>12.2807</v>
      </c>
      <c r="D1518" s="1" t="n">
        <f aca="false">LN(B1518/B1517)</f>
        <v>-0.011632295254629</v>
      </c>
      <c r="E1518" s="1" t="n">
        <f aca="false">LN(C1518/C1517)</f>
        <v>-8.14282515316473E-006</v>
      </c>
      <c r="F1518" s="1" t="n">
        <f aca="false">B1518/B1517-1</f>
        <v>-0.0115649016752981</v>
      </c>
      <c r="G1518" s="1" t="n">
        <f aca="false">C1518/C1517-1</f>
        <v>-8.14279200045398E-006</v>
      </c>
    </row>
    <row r="1519" customFormat="false" ht="15" hidden="false" customHeight="false" outlineLevel="0" collapsed="false">
      <c r="A1519" s="1" t="s">
        <v>1526</v>
      </c>
      <c r="B1519" s="5" t="n">
        <v>31.7067</v>
      </c>
      <c r="C1519" s="5" t="n">
        <v>12.281</v>
      </c>
      <c r="D1519" s="1" t="n">
        <f aca="false">LN(B1519/B1518)</f>
        <v>-0.0147829432403263</v>
      </c>
      <c r="E1519" s="1" t="n">
        <f aca="false">LN(C1519/C1518)</f>
        <v>2.44282765456899E-005</v>
      </c>
      <c r="F1519" s="1" t="n">
        <f aca="false">B1519/B1518-1</f>
        <v>-0.0146742119836289</v>
      </c>
      <c r="G1519" s="1" t="n">
        <f aca="false">C1519/C1518-1</f>
        <v>2.4428574918467E-005</v>
      </c>
    </row>
    <row r="1520" customFormat="false" ht="15" hidden="false" customHeight="false" outlineLevel="0" collapsed="false">
      <c r="A1520" s="1" t="s">
        <v>1527</v>
      </c>
      <c r="B1520" s="5" t="n">
        <v>31.7273</v>
      </c>
      <c r="C1520" s="5" t="n">
        <v>12.281</v>
      </c>
      <c r="D1520" s="1" t="n">
        <f aca="false">LN(B1520/B1519)</f>
        <v>0.000649493985060518</v>
      </c>
      <c r="E1520" s="1" t="n">
        <f aca="false">LN(C1520/C1519)</f>
        <v>0</v>
      </c>
      <c r="F1520" s="1" t="n">
        <f aca="false">B1520/B1519-1</f>
        <v>0.00064970495195027</v>
      </c>
      <c r="G1520" s="1" t="n">
        <f aca="false">C1520/C1519-1</f>
        <v>0</v>
      </c>
    </row>
    <row r="1521" customFormat="false" ht="15" hidden="false" customHeight="false" outlineLevel="0" collapsed="false">
      <c r="A1521" s="1" t="s">
        <v>1528</v>
      </c>
      <c r="B1521" s="5" t="n">
        <v>31.919</v>
      </c>
      <c r="C1521" s="5" t="n">
        <v>12.281</v>
      </c>
      <c r="D1521" s="1" t="n">
        <f aca="false">LN(B1521/B1520)</f>
        <v>0.00602393476752287</v>
      </c>
      <c r="E1521" s="1" t="n">
        <f aca="false">LN(C1521/C1520)</f>
        <v>0</v>
      </c>
      <c r="F1521" s="1" t="n">
        <f aca="false">B1521/B1520-1</f>
        <v>0.00604211515004427</v>
      </c>
      <c r="G1521" s="1" t="n">
        <f aca="false">C1521/C1520-1</f>
        <v>0</v>
      </c>
    </row>
    <row r="1522" customFormat="false" ht="15" hidden="false" customHeight="false" outlineLevel="0" collapsed="false">
      <c r="A1522" s="1" t="s">
        <v>1529</v>
      </c>
      <c r="B1522" s="5" t="n">
        <v>31.4297</v>
      </c>
      <c r="C1522" s="5" t="n">
        <v>12.2811</v>
      </c>
      <c r="D1522" s="1" t="n">
        <f aca="false">LN(B1522/B1521)</f>
        <v>-0.0154481380268226</v>
      </c>
      <c r="E1522" s="1" t="n">
        <f aca="false">LN(C1522/C1521)</f>
        <v>8.14262624125831E-006</v>
      </c>
      <c r="F1522" s="1" t="n">
        <f aca="false">B1522/B1521-1</f>
        <v>-0.0153294276136471</v>
      </c>
      <c r="G1522" s="1" t="n">
        <f aca="false">C1522/C1521-1</f>
        <v>8.14265939252934E-006</v>
      </c>
    </row>
    <row r="1523" customFormat="false" ht="15" hidden="false" customHeight="false" outlineLevel="0" collapsed="false">
      <c r="A1523" s="1" t="s">
        <v>1530</v>
      </c>
      <c r="B1523" s="5" t="n">
        <v>31.6062</v>
      </c>
      <c r="C1523" s="5" t="n">
        <v>12.2815</v>
      </c>
      <c r="D1523" s="1" t="n">
        <f aca="false">LN(B1523/B1522)</f>
        <v>0.00559999813607113</v>
      </c>
      <c r="E1523" s="1" t="n">
        <f aca="false">LN(C1523/C1522)</f>
        <v>3.25698419576464E-005</v>
      </c>
      <c r="F1523" s="1" t="n">
        <f aca="false">B1523/B1522-1</f>
        <v>0.00561570743596018</v>
      </c>
      <c r="G1523" s="1" t="n">
        <f aca="false">C1523/C1522-1</f>
        <v>3.25703723607074E-005</v>
      </c>
    </row>
    <row r="1524" customFormat="false" ht="15" hidden="false" customHeight="false" outlineLevel="0" collapsed="false">
      <c r="A1524" s="1" t="s">
        <v>1531</v>
      </c>
      <c r="B1524" s="5" t="n">
        <v>32.0657</v>
      </c>
      <c r="C1524" s="5" t="n">
        <v>12.2817</v>
      </c>
      <c r="D1524" s="1" t="n">
        <f aca="false">LN(B1524/B1523)</f>
        <v>0.0144336191397074</v>
      </c>
      <c r="E1524" s="1" t="n">
        <f aca="false">LN(C1524/C1523)</f>
        <v>1.62845231896156E-005</v>
      </c>
      <c r="F1524" s="1" t="n">
        <f aca="false">B1524/B1523-1</f>
        <v>0.014538286791832</v>
      </c>
      <c r="G1524" s="1" t="n">
        <f aca="false">C1524/C1523-1</f>
        <v>1.62846557831831E-005</v>
      </c>
    </row>
    <row r="1525" customFormat="false" ht="15" hidden="false" customHeight="false" outlineLevel="0" collapsed="false">
      <c r="A1525" s="1" t="s">
        <v>1532</v>
      </c>
      <c r="B1525" s="5" t="n">
        <v>32.221</v>
      </c>
      <c r="C1525" s="5" t="n">
        <v>12.2817</v>
      </c>
      <c r="D1525" s="1" t="n">
        <f aca="false">LN(B1525/B1524)</f>
        <v>0.00483149087139773</v>
      </c>
      <c r="E1525" s="1" t="n">
        <f aca="false">LN(C1525/C1524)</f>
        <v>0</v>
      </c>
      <c r="F1525" s="1" t="n">
        <f aca="false">B1525/B1524-1</f>
        <v>0.00484318134330453</v>
      </c>
      <c r="G1525" s="1" t="n">
        <f aca="false">C1525/C1524-1</f>
        <v>0</v>
      </c>
    </row>
    <row r="1526" customFormat="false" ht="15" hidden="false" customHeight="false" outlineLevel="0" collapsed="false">
      <c r="A1526" s="1" t="s">
        <v>1533</v>
      </c>
      <c r="B1526" s="5" t="n">
        <v>32.1757</v>
      </c>
      <c r="C1526" s="5" t="n">
        <v>12.2815</v>
      </c>
      <c r="D1526" s="1" t="n">
        <f aca="false">LN(B1526/B1525)</f>
        <v>-0.00140690462313001</v>
      </c>
      <c r="E1526" s="1" t="n">
        <f aca="false">LN(C1526/C1525)</f>
        <v>-1.62845231896599E-005</v>
      </c>
      <c r="F1526" s="1" t="n">
        <f aca="false">B1526/B1525-1</f>
        <v>-0.0014059153967908</v>
      </c>
      <c r="G1526" s="1" t="n">
        <f aca="false">C1526/C1525-1</f>
        <v>-1.62843905975318E-005</v>
      </c>
    </row>
    <row r="1527" customFormat="false" ht="15" hidden="false" customHeight="false" outlineLevel="0" collapsed="false">
      <c r="A1527" s="1" t="s">
        <v>1534</v>
      </c>
      <c r="B1527" s="5" t="n">
        <v>31.8752</v>
      </c>
      <c r="C1527" s="5" t="n">
        <v>12.2817</v>
      </c>
      <c r="D1527" s="1" t="n">
        <f aca="false">LN(B1527/B1526)</f>
        <v>-0.00938323129857812</v>
      </c>
      <c r="E1527" s="1" t="n">
        <f aca="false">LN(C1527/C1526)</f>
        <v>1.62845231896156E-005</v>
      </c>
      <c r="F1527" s="1" t="n">
        <f aca="false">B1527/B1526-1</f>
        <v>-0.00933934615253129</v>
      </c>
      <c r="G1527" s="1" t="n">
        <f aca="false">C1527/C1526-1</f>
        <v>1.62846557831831E-005</v>
      </c>
    </row>
    <row r="1528" customFormat="false" ht="15" hidden="false" customHeight="false" outlineLevel="0" collapsed="false">
      <c r="A1528" s="1" t="s">
        <v>1535</v>
      </c>
      <c r="B1528" s="5" t="n">
        <v>31.5466</v>
      </c>
      <c r="C1528" s="5" t="n">
        <v>12.2816</v>
      </c>
      <c r="D1528" s="1" t="n">
        <f aca="false">LN(B1528/B1527)</f>
        <v>-0.0103624602402648</v>
      </c>
      <c r="E1528" s="1" t="n">
        <f aca="false">LN(C1528/C1527)</f>
        <v>-8.14222844672902E-006</v>
      </c>
      <c r="F1528" s="1" t="n">
        <f aca="false">B1528/B1527-1</f>
        <v>-0.0103089549242044</v>
      </c>
      <c r="G1528" s="1" t="n">
        <f aca="false">C1528/C1527-1</f>
        <v>-8.14219529887694E-006</v>
      </c>
    </row>
    <row r="1529" customFormat="false" ht="15" hidden="false" customHeight="false" outlineLevel="0" collapsed="false">
      <c r="A1529" s="1" t="s">
        <v>1536</v>
      </c>
      <c r="B1529" s="5" t="n">
        <v>31.5877</v>
      </c>
      <c r="C1529" s="5" t="n">
        <v>12.2815</v>
      </c>
      <c r="D1529" s="1" t="n">
        <f aca="false">LN(B1529/B1528)</f>
        <v>0.00130198658434342</v>
      </c>
      <c r="E1529" s="1" t="n">
        <f aca="false">LN(C1529/C1528)</f>
        <v>-8.14229474290446E-006</v>
      </c>
      <c r="F1529" s="1" t="n">
        <f aca="false">B1529/B1528-1</f>
        <v>0.00130283453684399</v>
      </c>
      <c r="G1529" s="1" t="n">
        <f aca="false">C1529/C1528-1</f>
        <v>-8.14226159451259E-006</v>
      </c>
    </row>
    <row r="1530" customFormat="false" ht="15" hidden="false" customHeight="false" outlineLevel="0" collapsed="false">
      <c r="A1530" s="1" t="s">
        <v>1537</v>
      </c>
      <c r="B1530" s="5" t="n">
        <v>31.5682</v>
      </c>
      <c r="C1530" s="5" t="n">
        <v>12.2815</v>
      </c>
      <c r="D1530" s="1" t="n">
        <f aca="false">LN(B1530/B1529)</f>
        <v>-0.000617519522947564</v>
      </c>
      <c r="E1530" s="1" t="n">
        <f aca="false">LN(C1530/C1529)</f>
        <v>0</v>
      </c>
      <c r="F1530" s="1" t="n">
        <f aca="false">B1530/B1529-1</f>
        <v>-0.000617328897007385</v>
      </c>
      <c r="G1530" s="1" t="n">
        <f aca="false">C1530/C1529-1</f>
        <v>0</v>
      </c>
    </row>
    <row r="1531" customFormat="false" ht="15" hidden="false" customHeight="false" outlineLevel="0" collapsed="false">
      <c r="A1531" s="1" t="s">
        <v>1538</v>
      </c>
      <c r="B1531" s="5" t="n">
        <v>31.9419</v>
      </c>
      <c r="C1531" s="5" t="n">
        <v>12.2816</v>
      </c>
      <c r="D1531" s="1" t="n">
        <f aca="false">LN(B1531/B1530)</f>
        <v>0.0117683427650293</v>
      </c>
      <c r="E1531" s="1" t="n">
        <f aca="false">LN(C1531/C1530)</f>
        <v>8.1422947429087E-006</v>
      </c>
      <c r="F1531" s="1" t="n">
        <f aca="false">B1531/B1530-1</f>
        <v>0.0118378621524191</v>
      </c>
      <c r="G1531" s="1" t="n">
        <f aca="false">C1531/C1530-1</f>
        <v>8.14232789148051E-006</v>
      </c>
    </row>
    <row r="1532" customFormat="false" ht="15" hidden="false" customHeight="false" outlineLevel="0" collapsed="false">
      <c r="A1532" s="1" t="s">
        <v>1539</v>
      </c>
      <c r="B1532" s="5" t="n">
        <v>32.3122</v>
      </c>
      <c r="C1532" s="5" t="n">
        <v>12.2818</v>
      </c>
      <c r="D1532" s="1" t="n">
        <f aca="false">LN(B1532/B1531)</f>
        <v>0.0115262403379897</v>
      </c>
      <c r="E1532" s="1" t="n">
        <f aca="false">LN(C1532/C1531)</f>
        <v>1.62843905978389E-005</v>
      </c>
      <c r="F1532" s="1" t="n">
        <f aca="false">B1532/B1531-1</f>
        <v>0.0115929234015508</v>
      </c>
      <c r="G1532" s="1" t="n">
        <f aca="false">C1532/C1531-1</f>
        <v>1.62845231892472E-005</v>
      </c>
    </row>
    <row r="1533" customFormat="false" ht="15" hidden="false" customHeight="false" outlineLevel="0" collapsed="false">
      <c r="A1533" s="1" t="s">
        <v>1540</v>
      </c>
      <c r="B1533" s="5" t="n">
        <v>32.0278</v>
      </c>
      <c r="C1533" s="5" t="n">
        <v>12.2818</v>
      </c>
      <c r="D1533" s="1" t="n">
        <f aca="false">LN(B1533/B1532)</f>
        <v>-0.00884059223800036</v>
      </c>
      <c r="E1533" s="1" t="n">
        <f aca="false">LN(C1533/C1532)</f>
        <v>0</v>
      </c>
      <c r="F1533" s="1" t="n">
        <f aca="false">B1533/B1532-1</f>
        <v>-0.00880162910603421</v>
      </c>
      <c r="G1533" s="1" t="n">
        <f aca="false">C1533/C1532-1</f>
        <v>0</v>
      </c>
    </row>
    <row r="1534" customFormat="false" ht="15" hidden="false" customHeight="false" outlineLevel="0" collapsed="false">
      <c r="A1534" s="1" t="s">
        <v>1541</v>
      </c>
      <c r="B1534" s="5" t="n">
        <v>31.1876</v>
      </c>
      <c r="C1534" s="5" t="n">
        <v>12.2821</v>
      </c>
      <c r="D1534" s="1" t="n">
        <f aca="false">LN(B1534/B1533)</f>
        <v>-0.0265836957354367</v>
      </c>
      <c r="E1534" s="1" t="n">
        <f aca="false">LN(C1534/C1533)</f>
        <v>2.4426088692389E-005</v>
      </c>
      <c r="F1534" s="1" t="n">
        <f aca="false">B1534/B1533-1</f>
        <v>-0.0262334596819014</v>
      </c>
      <c r="G1534" s="1" t="n">
        <f aca="false">C1534/C1533-1</f>
        <v>2.44263870117223E-005</v>
      </c>
    </row>
    <row r="1535" customFormat="false" ht="15" hidden="false" customHeight="false" outlineLevel="0" collapsed="false">
      <c r="A1535" s="1" t="s">
        <v>1542</v>
      </c>
      <c r="B1535" s="5" t="n">
        <v>31.7319</v>
      </c>
      <c r="C1535" s="5" t="n">
        <v>12.2821</v>
      </c>
      <c r="D1535" s="1" t="n">
        <f aca="false">LN(B1535/B1534)</f>
        <v>0.0173019041224527</v>
      </c>
      <c r="E1535" s="1" t="n">
        <f aca="false">LN(C1535/C1534)</f>
        <v>0</v>
      </c>
      <c r="F1535" s="1" t="n">
        <f aca="false">B1535/B1534-1</f>
        <v>0.0174524490502637</v>
      </c>
      <c r="G1535" s="1" t="n">
        <f aca="false">C1535/C1534-1</f>
        <v>0</v>
      </c>
    </row>
    <row r="1536" customFormat="false" ht="15" hidden="false" customHeight="false" outlineLevel="0" collapsed="false">
      <c r="A1536" s="1" t="s">
        <v>1543</v>
      </c>
      <c r="B1536" s="5" t="n">
        <v>32.0753</v>
      </c>
      <c r="C1536" s="5" t="n">
        <v>12.2821</v>
      </c>
      <c r="D1536" s="1" t="n">
        <f aca="false">LN(B1536/B1535)</f>
        <v>0.0107637794948068</v>
      </c>
      <c r="E1536" s="1" t="n">
        <f aca="false">LN(C1536/C1535)</f>
        <v>0</v>
      </c>
      <c r="F1536" s="1" t="n">
        <f aca="false">B1536/B1535-1</f>
        <v>0.0108219173765201</v>
      </c>
      <c r="G1536" s="1" t="n">
        <f aca="false">C1536/C1535-1</f>
        <v>0</v>
      </c>
    </row>
    <row r="1537" customFormat="false" ht="15" hidden="false" customHeight="false" outlineLevel="0" collapsed="false">
      <c r="A1537" s="1" t="s">
        <v>1544</v>
      </c>
      <c r="B1537" s="5" t="n">
        <v>32.1949</v>
      </c>
      <c r="C1537" s="5" t="n">
        <v>12.2823</v>
      </c>
      <c r="D1537" s="1" t="n">
        <f aca="false">LN(B1537/B1536)</f>
        <v>0.00372179137626925</v>
      </c>
      <c r="E1537" s="1" t="n">
        <f aca="false">LN(C1537/C1536)</f>
        <v>1.62837276711515E-005</v>
      </c>
      <c r="F1537" s="1" t="n">
        <f aca="false">B1537/B1536-1</f>
        <v>0.0037287258420029</v>
      </c>
      <c r="G1537" s="1" t="n">
        <f aca="false">C1537/C1536-1</f>
        <v>1.62838602517645E-005</v>
      </c>
    </row>
    <row r="1538" customFormat="false" ht="15" hidden="false" customHeight="false" outlineLevel="0" collapsed="false">
      <c r="A1538" s="1" t="s">
        <v>1545</v>
      </c>
      <c r="B1538" s="5" t="n">
        <v>32.1125</v>
      </c>
      <c r="C1538" s="5" t="n">
        <v>12.2823</v>
      </c>
      <c r="D1538" s="1" t="n">
        <f aca="false">LN(B1538/B1537)</f>
        <v>-0.00256269247694946</v>
      </c>
      <c r="E1538" s="1" t="n">
        <f aca="false">LN(C1538/C1537)</f>
        <v>0</v>
      </c>
      <c r="F1538" s="1" t="n">
        <f aca="false">B1538/B1537-1</f>
        <v>-0.00255941158382222</v>
      </c>
      <c r="G1538" s="1" t="n">
        <f aca="false">C1538/C1537-1</f>
        <v>0</v>
      </c>
    </row>
    <row r="1539" customFormat="false" ht="15" hidden="false" customHeight="false" outlineLevel="0" collapsed="false">
      <c r="A1539" s="1" t="s">
        <v>1546</v>
      </c>
      <c r="B1539" s="5" t="n">
        <v>31.9642</v>
      </c>
      <c r="C1539" s="5" t="n">
        <v>12.2823</v>
      </c>
      <c r="D1539" s="1" t="n">
        <f aca="false">LN(B1539/B1538)</f>
        <v>-0.00462883590419159</v>
      </c>
      <c r="E1539" s="1" t="n">
        <f aca="false">LN(C1539/C1538)</f>
        <v>0</v>
      </c>
      <c r="F1539" s="1" t="n">
        <f aca="false">B1539/B1538-1</f>
        <v>-0.00461813935383404</v>
      </c>
      <c r="G1539" s="1" t="n">
        <f aca="false">C1539/C1538-1</f>
        <v>0</v>
      </c>
    </row>
    <row r="1540" customFormat="false" ht="15" hidden="false" customHeight="false" outlineLevel="0" collapsed="false">
      <c r="A1540" s="1" t="s">
        <v>1547</v>
      </c>
      <c r="B1540" s="5" t="n">
        <v>31.4915</v>
      </c>
      <c r="C1540" s="5" t="n">
        <v>12.2823</v>
      </c>
      <c r="D1540" s="1" t="n">
        <f aca="false">LN(B1540/B1539)</f>
        <v>-0.0148988583837705</v>
      </c>
      <c r="E1540" s="1" t="n">
        <f aca="false">LN(C1540/C1539)</f>
        <v>0</v>
      </c>
      <c r="F1540" s="1" t="n">
        <f aca="false">B1540/B1539-1</f>
        <v>-0.0147884195443654</v>
      </c>
      <c r="G1540" s="1" t="n">
        <f aca="false">C1540/C1539-1</f>
        <v>0</v>
      </c>
    </row>
    <row r="1541" customFormat="false" ht="15" hidden="false" customHeight="false" outlineLevel="0" collapsed="false">
      <c r="A1541" s="1" t="s">
        <v>1548</v>
      </c>
      <c r="B1541" s="5" t="n">
        <v>31.5036</v>
      </c>
      <c r="C1541" s="5" t="n">
        <v>12.2823</v>
      </c>
      <c r="D1541" s="1" t="n">
        <f aca="false">LN(B1541/B1540)</f>
        <v>0.000384156867718426</v>
      </c>
      <c r="E1541" s="1" t="n">
        <f aca="false">LN(C1541/C1540)</f>
        <v>0</v>
      </c>
      <c r="F1541" s="1" t="n">
        <f aca="false">B1541/B1540-1</f>
        <v>0.000384230665417595</v>
      </c>
      <c r="G1541" s="1" t="n">
        <f aca="false">C1541/C1540-1</f>
        <v>0</v>
      </c>
    </row>
    <row r="1542" customFormat="false" ht="15" hidden="false" customHeight="false" outlineLevel="0" collapsed="false">
      <c r="A1542" s="1" t="s">
        <v>1549</v>
      </c>
      <c r="B1542" s="5" t="n">
        <v>31.5271</v>
      </c>
      <c r="C1542" s="5" t="n">
        <v>12.2824</v>
      </c>
      <c r="D1542" s="1" t="n">
        <f aca="false">LN(B1542/B1541)</f>
        <v>0.000745668415196843</v>
      </c>
      <c r="E1542" s="1" t="n">
        <f aca="false">LN(C1542/C1541)</f>
        <v>8.14176440190355E-006</v>
      </c>
      <c r="F1542" s="1" t="n">
        <f aca="false">B1542/B1541-1</f>
        <v>0.000745946495003702</v>
      </c>
      <c r="G1542" s="1" t="n">
        <f aca="false">C1542/C1541-1</f>
        <v>8.14179754615729E-006</v>
      </c>
    </row>
    <row r="1543" customFormat="false" ht="15" hidden="false" customHeight="false" outlineLevel="0" collapsed="false">
      <c r="A1543" s="1" t="s">
        <v>1550</v>
      </c>
      <c r="B1543" s="5" t="n">
        <v>31.8566</v>
      </c>
      <c r="C1543" s="5" t="n">
        <v>12.2824</v>
      </c>
      <c r="D1543" s="1" t="n">
        <f aca="false">LN(B1543/B1542)</f>
        <v>0.0103970884699173</v>
      </c>
      <c r="E1543" s="1" t="n">
        <f aca="false">LN(C1543/C1542)</f>
        <v>0</v>
      </c>
      <c r="F1543" s="1" t="n">
        <f aca="false">B1543/B1542-1</f>
        <v>0.0104513260020744</v>
      </c>
      <c r="G1543" s="1" t="n">
        <f aca="false">C1543/C1542-1</f>
        <v>0</v>
      </c>
    </row>
    <row r="1544" customFormat="false" ht="15" hidden="false" customHeight="false" outlineLevel="0" collapsed="false">
      <c r="A1544" s="1" t="s">
        <v>1551</v>
      </c>
      <c r="B1544" s="5" t="n">
        <v>31.6759</v>
      </c>
      <c r="C1544" s="5" t="n">
        <v>12.2825</v>
      </c>
      <c r="D1544" s="1" t="n">
        <f aca="false">LN(B1544/B1543)</f>
        <v>-0.00568844252195283</v>
      </c>
      <c r="E1544" s="1" t="n">
        <f aca="false">LN(C1544/C1543)</f>
        <v>8.14169811391303E-006</v>
      </c>
      <c r="F1544" s="1" t="n">
        <f aca="false">B1544/B1543-1</f>
        <v>-0.00567229396734115</v>
      </c>
      <c r="G1544" s="1" t="n">
        <f aca="false">C1544/C1543-1</f>
        <v>8.14173125762707E-006</v>
      </c>
    </row>
    <row r="1545" customFormat="false" ht="15" hidden="false" customHeight="false" outlineLevel="0" collapsed="false">
      <c r="A1545" s="1" t="s">
        <v>1552</v>
      </c>
      <c r="B1545" s="5" t="n">
        <v>31.504</v>
      </c>
      <c r="C1545" s="5" t="n">
        <v>12.2825</v>
      </c>
      <c r="D1545" s="1" t="n">
        <f aca="false">LN(B1545/B1544)</f>
        <v>-0.00544161748214984</v>
      </c>
      <c r="E1545" s="1" t="n">
        <f aca="false">LN(C1545/C1544)</f>
        <v>0</v>
      </c>
      <c r="F1545" s="1" t="n">
        <f aca="false">B1545/B1544-1</f>
        <v>-0.00542683870071559</v>
      </c>
      <c r="G1545" s="1" t="n">
        <f aca="false">C1545/C1544-1</f>
        <v>0</v>
      </c>
    </row>
    <row r="1546" customFormat="false" ht="15" hidden="false" customHeight="false" outlineLevel="0" collapsed="false">
      <c r="A1546" s="1" t="s">
        <v>1553</v>
      </c>
      <c r="B1546" s="5" t="n">
        <v>31.4772</v>
      </c>
      <c r="C1546" s="5" t="n">
        <v>12.2826</v>
      </c>
      <c r="D1546" s="1" t="n">
        <f aca="false">LN(B1546/B1545)</f>
        <v>-0.000851047665575306</v>
      </c>
      <c r="E1546" s="1" t="n">
        <f aca="false">LN(C1546/C1545)</f>
        <v>8.14163182725477E-006</v>
      </c>
      <c r="F1546" s="1" t="n">
        <f aca="false">B1546/B1545-1</f>
        <v>-0.000850685627222014</v>
      </c>
      <c r="G1546" s="1" t="n">
        <f aca="false">C1546/C1545-1</f>
        <v>8.14166497042912E-006</v>
      </c>
    </row>
    <row r="1547" customFormat="false" ht="15" hidden="false" customHeight="false" outlineLevel="0" collapsed="false">
      <c r="A1547" s="1" t="s">
        <v>1554</v>
      </c>
      <c r="B1547" s="5" t="n">
        <v>31.3861</v>
      </c>
      <c r="C1547" s="5" t="n">
        <v>12.2827</v>
      </c>
      <c r="D1547" s="1" t="n">
        <f aca="false">LN(B1547/B1546)</f>
        <v>-0.00289835448579612</v>
      </c>
      <c r="E1547" s="1" t="n">
        <f aca="false">LN(C1547/C1546)</f>
        <v>8.14156554170671E-006</v>
      </c>
      <c r="F1547" s="1" t="n">
        <f aca="false">B1547/B1546-1</f>
        <v>-0.00289415831141271</v>
      </c>
      <c r="G1547" s="1" t="n">
        <f aca="false">C1547/C1546-1</f>
        <v>8.14159868434139E-006</v>
      </c>
    </row>
    <row r="1548" customFormat="false" ht="15" hidden="false" customHeight="false" outlineLevel="0" collapsed="false">
      <c r="A1548" s="1" t="s">
        <v>1555</v>
      </c>
      <c r="B1548" s="5" t="n">
        <v>31.8275</v>
      </c>
      <c r="C1548" s="5" t="n">
        <v>12.2828</v>
      </c>
      <c r="D1548" s="1" t="n">
        <f aca="false">LN(B1548/B1547)</f>
        <v>0.013965576208265</v>
      </c>
      <c r="E1548" s="1" t="n">
        <f aca="false">LN(C1548/C1547)</f>
        <v>8.14149925704682E-006</v>
      </c>
      <c r="F1548" s="1" t="n">
        <f aca="false">B1548/B1547-1</f>
        <v>0.0140635504251883</v>
      </c>
      <c r="G1548" s="1" t="n">
        <f aca="false">C1548/C1547-1</f>
        <v>8.14153239914184E-006</v>
      </c>
    </row>
    <row r="1549" customFormat="false" ht="15" hidden="false" customHeight="false" outlineLevel="0" collapsed="false">
      <c r="A1549" s="1" t="s">
        <v>1556</v>
      </c>
      <c r="B1549" s="5" t="n">
        <v>32.1329</v>
      </c>
      <c r="C1549" s="5" t="n">
        <v>12.2829</v>
      </c>
      <c r="D1549" s="1" t="n">
        <f aca="false">LN(B1549/B1548)</f>
        <v>0.0095497314266185</v>
      </c>
      <c r="E1549" s="1" t="n">
        <f aca="false">LN(C1549/C1548)</f>
        <v>8.14143297371918E-006</v>
      </c>
      <c r="F1549" s="1" t="n">
        <f aca="false">B1549/B1548-1</f>
        <v>0.00959547561071394</v>
      </c>
      <c r="G1549" s="1" t="n">
        <f aca="false">C1549/C1548-1</f>
        <v>8.14146611527455E-006</v>
      </c>
    </row>
    <row r="1550" customFormat="false" ht="15" hidden="false" customHeight="false" outlineLevel="0" collapsed="false">
      <c r="A1550" s="1" t="s">
        <v>1557</v>
      </c>
      <c r="B1550" s="5" t="n">
        <v>32.1042</v>
      </c>
      <c r="C1550" s="5" t="n">
        <v>12.2832</v>
      </c>
      <c r="D1550" s="1" t="n">
        <f aca="false">LN(B1550/B1549)</f>
        <v>-0.000893564681769435</v>
      </c>
      <c r="E1550" s="1" t="n">
        <f aca="false">LN(C1550/C1549)</f>
        <v>2.44239012309824E-005</v>
      </c>
      <c r="F1550" s="1" t="n">
        <f aca="false">B1550/B1549-1</f>
        <v>-0.000893165571734911</v>
      </c>
      <c r="G1550" s="1" t="n">
        <f aca="false">C1550/C1549-1</f>
        <v>2.44241994968863E-005</v>
      </c>
    </row>
    <row r="1551" customFormat="false" ht="15" hidden="false" customHeight="false" outlineLevel="0" collapsed="false">
      <c r="A1551" s="1" t="s">
        <v>1558</v>
      </c>
      <c r="B1551" s="5" t="n">
        <v>32.3159</v>
      </c>
      <c r="C1551" s="5" t="n">
        <v>12.2831</v>
      </c>
      <c r="D1551" s="1" t="n">
        <f aca="false">LN(B1551/B1550)</f>
        <v>0.00657250647178026</v>
      </c>
      <c r="E1551" s="1" t="n">
        <f aca="false">LN(C1551/C1550)</f>
        <v>-8.14123412988714E-006</v>
      </c>
      <c r="F1551" s="1" t="n">
        <f aca="false">B1551/B1550-1</f>
        <v>0.00659415278997755</v>
      </c>
      <c r="G1551" s="1" t="n">
        <f aca="false">C1551/C1550-1</f>
        <v>-8.14120099013049E-006</v>
      </c>
    </row>
    <row r="1552" customFormat="false" ht="15" hidden="false" customHeight="false" outlineLevel="0" collapsed="false">
      <c r="A1552" s="1" t="s">
        <v>1559</v>
      </c>
      <c r="B1552" s="5" t="n">
        <v>32.936</v>
      </c>
      <c r="C1552" s="5" t="n">
        <v>12.2829</v>
      </c>
      <c r="D1552" s="1" t="n">
        <f aca="false">LN(B1552/B1551)</f>
        <v>0.0190069152973107</v>
      </c>
      <c r="E1552" s="1" t="n">
        <f aca="false">LN(C1552/C1551)</f>
        <v>-1.62826671012403E-005</v>
      </c>
      <c r="F1552" s="1" t="n">
        <f aca="false">B1552/B1551-1</f>
        <v>0.0191886965858912</v>
      </c>
      <c r="G1552" s="1" t="n">
        <f aca="false">C1552/C1551-1</f>
        <v>-1.62825345393358E-005</v>
      </c>
    </row>
    <row r="1553" customFormat="false" ht="15" hidden="false" customHeight="false" outlineLevel="0" collapsed="false">
      <c r="A1553" s="1" t="s">
        <v>1560</v>
      </c>
      <c r="B1553" s="5" t="n">
        <v>32.8381</v>
      </c>
      <c r="C1553" s="5" t="n">
        <v>12.2829</v>
      </c>
      <c r="D1553" s="1" t="n">
        <f aca="false">LN(B1553/B1552)</f>
        <v>-0.00297685782995285</v>
      </c>
      <c r="E1553" s="1" t="n">
        <f aca="false">LN(C1553/C1552)</f>
        <v>0</v>
      </c>
      <c r="F1553" s="1" t="n">
        <f aca="false">B1553/B1552-1</f>
        <v>-0.00297243138207437</v>
      </c>
      <c r="G1553" s="1" t="n">
        <f aca="false">C1553/C1552-1</f>
        <v>0</v>
      </c>
    </row>
    <row r="1554" customFormat="false" ht="15" hidden="false" customHeight="false" outlineLevel="0" collapsed="false">
      <c r="A1554" s="1" t="s">
        <v>1561</v>
      </c>
      <c r="B1554" s="5" t="n">
        <v>32.6383</v>
      </c>
      <c r="C1554" s="5" t="n">
        <v>12.283</v>
      </c>
      <c r="D1554" s="1" t="n">
        <f aca="false">LN(B1554/B1553)</f>
        <v>-0.00610298123146157</v>
      </c>
      <c r="E1554" s="1" t="n">
        <f aca="false">LN(C1554/C1553)</f>
        <v>8.14136669127971E-006</v>
      </c>
      <c r="F1554" s="1" t="n">
        <f aca="false">B1554/B1553-1</f>
        <v>-0.00608439586943199</v>
      </c>
      <c r="G1554" s="1" t="n">
        <f aca="false">C1554/C1553-1</f>
        <v>8.14139983229545E-006</v>
      </c>
    </row>
    <row r="1555" customFormat="false" ht="15" hidden="false" customHeight="false" outlineLevel="0" collapsed="false">
      <c r="A1555" s="1" t="s">
        <v>1562</v>
      </c>
      <c r="B1555" s="5" t="n">
        <v>32.6583</v>
      </c>
      <c r="C1555" s="5" t="n">
        <v>12.2831</v>
      </c>
      <c r="D1555" s="1" t="n">
        <f aca="false">LN(B1555/B1554)</f>
        <v>0.000612589342337478</v>
      </c>
      <c r="E1555" s="1" t="n">
        <f aca="false">LN(C1555/C1554)</f>
        <v>8.14130040995045E-006</v>
      </c>
      <c r="F1555" s="1" t="n">
        <f aca="false">B1555/B1554-1</f>
        <v>0.000612777013508481</v>
      </c>
      <c r="G1555" s="1" t="n">
        <f aca="false">C1555/C1554-1</f>
        <v>8.14133355042657E-006</v>
      </c>
    </row>
    <row r="1556" customFormat="false" ht="15" hidden="false" customHeight="false" outlineLevel="0" collapsed="false">
      <c r="A1556" s="1" t="s">
        <v>1563</v>
      </c>
      <c r="B1556" s="5" t="n">
        <v>32.6635</v>
      </c>
      <c r="C1556" s="5" t="n">
        <v>12.2831</v>
      </c>
      <c r="D1556" s="1" t="n">
        <f aca="false">LN(B1556/B1555)</f>
        <v>0.000159211779558592</v>
      </c>
      <c r="E1556" s="1" t="n">
        <f aca="false">LN(C1556/C1555)</f>
        <v>0</v>
      </c>
      <c r="F1556" s="1" t="n">
        <f aca="false">B1556/B1555-1</f>
        <v>0.000159224454426621</v>
      </c>
      <c r="G1556" s="1" t="n">
        <f aca="false">C1556/C1555-1</f>
        <v>0</v>
      </c>
    </row>
    <row r="1557" customFormat="false" ht="15" hidden="false" customHeight="false" outlineLevel="0" collapsed="false">
      <c r="A1557" s="1" t="s">
        <v>1564</v>
      </c>
      <c r="B1557" s="5" t="n">
        <v>32.9608</v>
      </c>
      <c r="C1557" s="5" t="n">
        <v>12.2832</v>
      </c>
      <c r="D1557" s="1" t="n">
        <f aca="false">LN(B1557/B1556)</f>
        <v>0.00906073006328947</v>
      </c>
      <c r="E1557" s="1" t="n">
        <f aca="false">LN(C1557/C1556)</f>
        <v>8.14123412995344E-006</v>
      </c>
      <c r="F1557" s="1" t="n">
        <f aca="false">B1557/B1556-1</f>
        <v>0.00910190273546929</v>
      </c>
      <c r="G1557" s="1" t="n">
        <f aca="false">C1557/C1556-1</f>
        <v>8.14126726988995E-006</v>
      </c>
    </row>
    <row r="1558" customFormat="false" ht="15" hidden="false" customHeight="false" outlineLevel="0" collapsed="false">
      <c r="A1558" s="1" t="s">
        <v>1565</v>
      </c>
      <c r="B1558" s="5" t="n">
        <v>32.9452</v>
      </c>
      <c r="C1558" s="5" t="n">
        <v>12.2832</v>
      </c>
      <c r="D1558" s="1" t="n">
        <f aca="false">LN(B1558/B1557)</f>
        <v>-0.000473401520084416</v>
      </c>
      <c r="E1558" s="1" t="n">
        <f aca="false">LN(C1558/C1557)</f>
        <v>0</v>
      </c>
      <c r="F1558" s="1" t="n">
        <f aca="false">B1558/B1557-1</f>
        <v>-0.000473289483264971</v>
      </c>
      <c r="G1558" s="1" t="n">
        <f aca="false">C1558/C1557-1</f>
        <v>0</v>
      </c>
    </row>
    <row r="1559" customFormat="false" ht="15" hidden="false" customHeight="false" outlineLevel="0" collapsed="false">
      <c r="A1559" s="1" t="s">
        <v>1566</v>
      </c>
      <c r="B1559" s="5" t="n">
        <v>33.2514</v>
      </c>
      <c r="C1559" s="5" t="n">
        <v>12.2833</v>
      </c>
      <c r="D1559" s="1" t="n">
        <f aca="false">LN(B1559/B1558)</f>
        <v>0.00925129640732907</v>
      </c>
      <c r="E1559" s="1" t="n">
        <f aca="false">LN(C1559/C1558)</f>
        <v>8.14116785062255E-006</v>
      </c>
      <c r="F1559" s="1" t="n">
        <f aca="false">B1559/B1558-1</f>
        <v>0.00929422192003693</v>
      </c>
      <c r="G1559" s="1" t="n">
        <f aca="false">C1559/C1558-1</f>
        <v>8.14120099001947E-006</v>
      </c>
    </row>
    <row r="1560" customFormat="false" ht="15" hidden="false" customHeight="false" outlineLevel="0" collapsed="false">
      <c r="A1560" s="1" t="s">
        <v>1567</v>
      </c>
      <c r="B1560" s="5" t="n">
        <v>33.1699</v>
      </c>
      <c r="C1560" s="5" t="n">
        <v>12.2833</v>
      </c>
      <c r="D1560" s="1" t="n">
        <f aca="false">LN(B1560/B1559)</f>
        <v>-0.00245403329658731</v>
      </c>
      <c r="E1560" s="1" t="n">
        <f aca="false">LN(C1560/C1559)</f>
        <v>0</v>
      </c>
      <c r="F1560" s="1" t="n">
        <f aca="false">B1560/B1559-1</f>
        <v>-0.00245102461851221</v>
      </c>
      <c r="G1560" s="1" t="n">
        <f aca="false">C1560/C1559-1</f>
        <v>0</v>
      </c>
    </row>
    <row r="1561" customFormat="false" ht="15" hidden="false" customHeight="false" outlineLevel="0" collapsed="false">
      <c r="A1561" s="1" t="s">
        <v>1568</v>
      </c>
      <c r="B1561" s="5" t="n">
        <v>32.8694</v>
      </c>
      <c r="C1561" s="5" t="n">
        <v>12.2833</v>
      </c>
      <c r="D1561" s="1" t="n">
        <f aca="false">LN(B1561/B1560)</f>
        <v>-0.00910070439930771</v>
      </c>
      <c r="E1561" s="1" t="n">
        <f aca="false">LN(C1561/C1560)</f>
        <v>0</v>
      </c>
      <c r="F1561" s="1" t="n">
        <f aca="false">B1561/B1560-1</f>
        <v>-0.00905941832806245</v>
      </c>
      <c r="G1561" s="1" t="n">
        <f aca="false">C1561/C1560-1</f>
        <v>0</v>
      </c>
    </row>
    <row r="1562" customFormat="false" ht="15" hidden="false" customHeight="false" outlineLevel="0" collapsed="false">
      <c r="A1562" s="1" t="s">
        <v>1569</v>
      </c>
      <c r="B1562" s="5" t="n">
        <v>32.8935</v>
      </c>
      <c r="C1562" s="5" t="n">
        <v>12.2835</v>
      </c>
      <c r="D1562" s="1" t="n">
        <f aca="false">LN(B1562/B1561)</f>
        <v>0.000732936080339336</v>
      </c>
      <c r="E1562" s="1" t="n">
        <f aca="false">LN(C1562/C1561)</f>
        <v>1.62821368680306E-005</v>
      </c>
      <c r="F1562" s="1" t="n">
        <f aca="false">B1562/B1561-1</f>
        <v>0.000733204743621929</v>
      </c>
      <c r="G1562" s="1" t="n">
        <f aca="false">C1562/C1561-1</f>
        <v>1.62822694227405E-005</v>
      </c>
    </row>
    <row r="1563" customFormat="false" ht="15" hidden="false" customHeight="false" outlineLevel="0" collapsed="false">
      <c r="A1563" s="1" t="s">
        <v>1570</v>
      </c>
      <c r="B1563" s="5" t="n">
        <v>32.6863</v>
      </c>
      <c r="C1563" s="5" t="n">
        <v>12.2836</v>
      </c>
      <c r="D1563" s="1" t="n">
        <f aca="false">LN(B1563/B1562)</f>
        <v>-0.00631903999286794</v>
      </c>
      <c r="E1563" s="1" t="n">
        <f aca="false">LN(C1563/C1562)</f>
        <v>8.1409690195132E-006</v>
      </c>
      <c r="F1563" s="1" t="n">
        <f aca="false">B1563/B1562-1</f>
        <v>-0.00629911684679341</v>
      </c>
      <c r="G1563" s="1" t="n">
        <f aca="false">C1563/C1562-1</f>
        <v>8.14100215729141E-006</v>
      </c>
    </row>
    <row r="1564" customFormat="false" ht="15" hidden="false" customHeight="false" outlineLevel="0" collapsed="false">
      <c r="A1564" s="1" t="s">
        <v>1571</v>
      </c>
      <c r="B1564" s="5" t="n">
        <v>32.5944</v>
      </c>
      <c r="C1564" s="5" t="n">
        <v>12.2836</v>
      </c>
      <c r="D1564" s="1" t="n">
        <f aca="false">LN(B1564/B1563)</f>
        <v>-0.00281553539436427</v>
      </c>
      <c r="E1564" s="1" t="n">
        <f aca="false">LN(C1564/C1563)</f>
        <v>0</v>
      </c>
      <c r="F1564" s="1" t="n">
        <f aca="false">B1564/B1563-1</f>
        <v>-0.00281157549187283</v>
      </c>
      <c r="G1564" s="1" t="n">
        <f aca="false">C1564/C1563-1</f>
        <v>0</v>
      </c>
    </row>
    <row r="1565" customFormat="false" ht="15" hidden="false" customHeight="false" outlineLevel="0" collapsed="false">
      <c r="A1565" s="1" t="s">
        <v>1572</v>
      </c>
      <c r="B1565" s="5" t="n">
        <v>32.3196</v>
      </c>
      <c r="C1565" s="5" t="n">
        <v>12.2835</v>
      </c>
      <c r="D1565" s="1" t="n">
        <f aca="false">LN(B1565/B1564)</f>
        <v>-0.00846663713714656</v>
      </c>
      <c r="E1565" s="1" t="n">
        <f aca="false">LN(C1565/C1564)</f>
        <v>-8.14096901957121E-006</v>
      </c>
      <c r="F1565" s="1" t="n">
        <f aca="false">B1565/B1564-1</f>
        <v>-0.00843089610485237</v>
      </c>
      <c r="G1565" s="1" t="n">
        <f aca="false">C1565/C1564-1</f>
        <v>-8.14093588197284E-006</v>
      </c>
    </row>
    <row r="1566" customFormat="false" ht="15" hidden="false" customHeight="false" outlineLevel="0" collapsed="false">
      <c r="A1566" s="1" t="s">
        <v>1573</v>
      </c>
      <c r="B1566" s="5" t="n">
        <v>32.2861</v>
      </c>
      <c r="C1566" s="5" t="n">
        <v>12.2835</v>
      </c>
      <c r="D1566" s="1" t="n">
        <f aca="false">LN(B1566/B1565)</f>
        <v>-0.00103706029042096</v>
      </c>
      <c r="E1566" s="1" t="n">
        <f aca="false">LN(C1566/C1565)</f>
        <v>0</v>
      </c>
      <c r="F1566" s="1" t="n">
        <f aca="false">B1566/B1565-1</f>
        <v>-0.00103652272924182</v>
      </c>
      <c r="G1566" s="1" t="n">
        <f aca="false">C1566/C1565-1</f>
        <v>0</v>
      </c>
    </row>
    <row r="1567" customFormat="false" ht="15" hidden="false" customHeight="false" outlineLevel="0" collapsed="false">
      <c r="A1567" s="1" t="s">
        <v>1574</v>
      </c>
      <c r="B1567" s="5" t="n">
        <v>32.1856</v>
      </c>
      <c r="C1567" s="5" t="n">
        <v>12.2835</v>
      </c>
      <c r="D1567" s="1" t="n">
        <f aca="false">LN(B1567/B1566)</f>
        <v>-0.00311764949280973</v>
      </c>
      <c r="E1567" s="1" t="n">
        <f aca="false">LN(C1567/C1566)</f>
        <v>0</v>
      </c>
      <c r="F1567" s="1" t="n">
        <f aca="false">B1567/B1566-1</f>
        <v>-0.00311279467015202</v>
      </c>
      <c r="G1567" s="1" t="n">
        <f aca="false">C1567/C1566-1</f>
        <v>0</v>
      </c>
    </row>
    <row r="1568" customFormat="false" ht="15" hidden="false" customHeight="false" outlineLevel="0" collapsed="false">
      <c r="A1568" s="1" t="s">
        <v>1575</v>
      </c>
      <c r="B1568" s="5" t="n">
        <v>32.0895</v>
      </c>
      <c r="C1568" s="5" t="n">
        <v>12.2837</v>
      </c>
      <c r="D1568" s="1" t="n">
        <f aca="false">LN(B1568/B1567)</f>
        <v>-0.00299027373301324</v>
      </c>
      <c r="E1568" s="1" t="n">
        <f aca="false">LN(C1568/C1567)</f>
        <v>1.62818717641894E-005</v>
      </c>
      <c r="F1568" s="1" t="n">
        <f aca="false">B1568/B1567-1</f>
        <v>-0.00298580731755815</v>
      </c>
      <c r="G1568" s="1" t="n">
        <f aca="false">C1568/C1567-1</f>
        <v>1.62820043145828E-005</v>
      </c>
    </row>
    <row r="1569" customFormat="false" ht="15" hidden="false" customHeight="false" outlineLevel="0" collapsed="false">
      <c r="A1569" s="1" t="s">
        <v>1576</v>
      </c>
      <c r="B1569" s="5" t="n">
        <v>32.044</v>
      </c>
      <c r="C1569" s="5" t="n">
        <v>12.2841</v>
      </c>
      <c r="D1569" s="1" t="n">
        <f aca="false">LN(B1569/B1568)</f>
        <v>-0.00141891546957043</v>
      </c>
      <c r="E1569" s="1" t="n">
        <f aca="false">LN(C1569/C1568)</f>
        <v>3.25629482522818E-005</v>
      </c>
      <c r="F1569" s="1" t="n">
        <f aca="false">B1569/B1568-1</f>
        <v>-0.00141790928496877</v>
      </c>
      <c r="G1569" s="1" t="n">
        <f aca="false">C1569/C1568-1</f>
        <v>3.2563478430836E-005</v>
      </c>
    </row>
    <row r="1570" customFormat="false" ht="15" hidden="false" customHeight="false" outlineLevel="0" collapsed="false">
      <c r="A1570" s="1" t="s">
        <v>1577</v>
      </c>
      <c r="B1570" s="5" t="n">
        <v>31.8918</v>
      </c>
      <c r="C1570" s="5" t="n">
        <v>12.2839</v>
      </c>
      <c r="D1570" s="1" t="n">
        <f aca="false">LN(B1570/B1569)</f>
        <v>-0.00476103489746755</v>
      </c>
      <c r="E1570" s="1" t="n">
        <f aca="false">LN(C1570/C1569)</f>
        <v>-1.6281341583057E-005</v>
      </c>
      <c r="F1570" s="1" t="n">
        <f aca="false">B1570/B1569-1</f>
        <v>-0.0047497191361876</v>
      </c>
      <c r="G1570" s="1" t="n">
        <f aca="false">C1570/C1569-1</f>
        <v>-1.62812090427344E-005</v>
      </c>
    </row>
    <row r="1571" customFormat="false" ht="15" hidden="false" customHeight="false" outlineLevel="0" collapsed="false">
      <c r="A1571" s="1" t="s">
        <v>1578</v>
      </c>
      <c r="B1571" s="5" t="n">
        <v>32.1319</v>
      </c>
      <c r="C1571" s="5" t="n">
        <v>12.2834</v>
      </c>
      <c r="D1571" s="1" t="n">
        <f aca="false">LN(B1571/B1570)</f>
        <v>0.00750038268899033</v>
      </c>
      <c r="E1571" s="1" t="n">
        <f aca="false">LN(C1571/C1570)</f>
        <v>-4.07045137290949E-005</v>
      </c>
      <c r="F1571" s="1" t="n">
        <f aca="false">B1571/B1570-1</f>
        <v>0.00752858101455556</v>
      </c>
      <c r="G1571" s="1" t="n">
        <f aca="false">C1571/C1570-1</f>
        <v>-4.07036853116161E-005</v>
      </c>
    </row>
    <row r="1572" customFormat="false" ht="15" hidden="false" customHeight="false" outlineLevel="0" collapsed="false">
      <c r="A1572" s="1" t="s">
        <v>1579</v>
      </c>
      <c r="B1572" s="5" t="n">
        <v>31.9875</v>
      </c>
      <c r="C1572" s="5" t="n">
        <v>12.2833</v>
      </c>
      <c r="D1572" s="1" t="n">
        <f aca="false">LN(B1572/B1571)</f>
        <v>-0.00450410465848572</v>
      </c>
      <c r="E1572" s="1" t="n">
        <f aca="false">LN(C1572/C1571)</f>
        <v>-8.1411015725087E-006</v>
      </c>
      <c r="F1572" s="1" t="n">
        <f aca="false">B1572/B1571-1</f>
        <v>-0.00449397639106308</v>
      </c>
      <c r="G1572" s="1" t="n">
        <f aca="false">C1572/C1571-1</f>
        <v>-8.14106843383122E-006</v>
      </c>
    </row>
    <row r="1573" customFormat="false" ht="15" hidden="false" customHeight="false" outlineLevel="0" collapsed="false">
      <c r="A1573" s="1" t="s">
        <v>1580</v>
      </c>
      <c r="B1573" s="5" t="n">
        <v>32.1081</v>
      </c>
      <c r="C1573" s="5" t="n">
        <v>12.2832</v>
      </c>
      <c r="D1573" s="1" t="n">
        <f aca="false">LN(B1573/B1572)</f>
        <v>0.0037631332671741</v>
      </c>
      <c r="E1573" s="1" t="n">
        <f aca="false">LN(C1573/C1572)</f>
        <v>-8.14116785058729E-006</v>
      </c>
      <c r="F1573" s="1" t="n">
        <f aca="false">B1573/B1572-1</f>
        <v>0.003770222743259</v>
      </c>
      <c r="G1573" s="1" t="n">
        <f aca="false">C1573/C1572-1</f>
        <v>-8.14113471137024E-006</v>
      </c>
    </row>
    <row r="1574" customFormat="false" ht="15" hidden="false" customHeight="false" outlineLevel="0" collapsed="false">
      <c r="A1574" s="1" t="s">
        <v>1581</v>
      </c>
      <c r="B1574" s="5" t="n">
        <v>31.8383</v>
      </c>
      <c r="C1574" s="5" t="n">
        <v>12.2832</v>
      </c>
      <c r="D1574" s="1" t="n">
        <f aca="false">LN(B1574/B1573)</f>
        <v>-0.0084383671620995</v>
      </c>
      <c r="E1574" s="1" t="n">
        <f aca="false">LN(C1574/C1573)</f>
        <v>0</v>
      </c>
      <c r="F1574" s="1" t="n">
        <f aca="false">B1574/B1573-1</f>
        <v>-0.00840286407479729</v>
      </c>
      <c r="G1574" s="1" t="n">
        <f aca="false">C1574/C1573-1</f>
        <v>0</v>
      </c>
    </row>
    <row r="1575" customFormat="false" ht="15" hidden="false" customHeight="false" outlineLevel="0" collapsed="false">
      <c r="A1575" s="1" t="s">
        <v>1582</v>
      </c>
      <c r="B1575" s="5" t="n">
        <v>31.8726</v>
      </c>
      <c r="C1575" s="5" t="n">
        <v>12.2833</v>
      </c>
      <c r="D1575" s="1" t="n">
        <f aca="false">LN(B1575/B1574)</f>
        <v>0.00107673893521694</v>
      </c>
      <c r="E1575" s="1" t="n">
        <f aca="false">LN(C1575/C1574)</f>
        <v>8.14116785062255E-006</v>
      </c>
      <c r="F1575" s="1" t="n">
        <f aca="false">B1575/B1574-1</f>
        <v>0.00107731882669615</v>
      </c>
      <c r="G1575" s="1" t="n">
        <f aca="false">C1575/C1574-1</f>
        <v>8.14120099001947E-006</v>
      </c>
    </row>
    <row r="1576" customFormat="false" ht="15" hidden="false" customHeight="false" outlineLevel="0" collapsed="false">
      <c r="A1576" s="1" t="s">
        <v>1583</v>
      </c>
      <c r="B1576" s="5" t="n">
        <v>32.0876</v>
      </c>
      <c r="C1576" s="5" t="n">
        <v>12.2834</v>
      </c>
      <c r="D1576" s="1" t="n">
        <f aca="false">LN(B1576/B1575)</f>
        <v>0.00672295614458327</v>
      </c>
      <c r="E1576" s="1" t="n">
        <f aca="false">LN(C1576/C1575)</f>
        <v>8.14110157240188E-006</v>
      </c>
      <c r="F1576" s="1" t="n">
        <f aca="false">B1576/B1575-1</f>
        <v>0.00674560594366325</v>
      </c>
      <c r="G1576" s="1" t="n">
        <f aca="false">C1576/C1575-1</f>
        <v>8.14113471125921E-006</v>
      </c>
    </row>
    <row r="1577" customFormat="false" ht="15" hidden="false" customHeight="false" outlineLevel="0" collapsed="false">
      <c r="A1577" s="1" t="s">
        <v>1584</v>
      </c>
      <c r="B1577" s="5" t="n">
        <v>31.8018</v>
      </c>
      <c r="C1577" s="5" t="n">
        <v>12.2836</v>
      </c>
      <c r="D1577" s="1" t="n">
        <f aca="false">LN(B1577/B1576)</f>
        <v>-0.00894677071299919</v>
      </c>
      <c r="E1577" s="1" t="n">
        <f aca="false">LN(C1577/C1576)</f>
        <v>1.62820043151108E-005</v>
      </c>
      <c r="F1577" s="1" t="n">
        <f aca="false">B1577/B1576-1</f>
        <v>-0.00890686745035474</v>
      </c>
      <c r="G1577" s="1" t="n">
        <f aca="false">C1577/C1576-1</f>
        <v>1.62821368676624E-005</v>
      </c>
    </row>
    <row r="1578" customFormat="false" ht="15" hidden="false" customHeight="false" outlineLevel="0" collapsed="false">
      <c r="A1578" s="1" t="s">
        <v>1585</v>
      </c>
      <c r="B1578" s="5" t="n">
        <v>31.1853</v>
      </c>
      <c r="C1578" s="5" t="n">
        <v>12.2836</v>
      </c>
      <c r="D1578" s="1" t="n">
        <f aca="false">LN(B1578/B1577)</f>
        <v>-0.0195760620163489</v>
      </c>
      <c r="E1578" s="1" t="n">
        <f aca="false">LN(C1578/C1577)</f>
        <v>0</v>
      </c>
      <c r="F1578" s="1" t="n">
        <f aca="false">B1578/B1577-1</f>
        <v>-0.0193856951493311</v>
      </c>
      <c r="G1578" s="1" t="n">
        <f aca="false">C1578/C1577-1</f>
        <v>0</v>
      </c>
    </row>
    <row r="1579" customFormat="false" ht="15" hidden="false" customHeight="false" outlineLevel="0" collapsed="false">
      <c r="A1579" s="1" t="s">
        <v>1586</v>
      </c>
      <c r="B1579" s="5" t="n">
        <v>31.332</v>
      </c>
      <c r="C1579" s="5" t="n">
        <v>12.2835</v>
      </c>
      <c r="D1579" s="1" t="n">
        <f aca="false">LN(B1579/B1578)</f>
        <v>0.00469310956355822</v>
      </c>
      <c r="E1579" s="1" t="n">
        <f aca="false">LN(C1579/C1578)</f>
        <v>-8.14096901957121E-006</v>
      </c>
      <c r="F1579" s="1" t="n">
        <f aca="false">B1579/B1578-1</f>
        <v>0.004704139450318</v>
      </c>
      <c r="G1579" s="1" t="n">
        <f aca="false">C1579/C1578-1</f>
        <v>-8.14093588197284E-006</v>
      </c>
    </row>
    <row r="1580" customFormat="false" ht="15" hidden="false" customHeight="false" outlineLevel="0" collapsed="false">
      <c r="A1580" s="1" t="s">
        <v>1587</v>
      </c>
      <c r="B1580" s="5" t="n">
        <v>31.2661</v>
      </c>
      <c r="C1580" s="5" t="n">
        <v>12.2837</v>
      </c>
      <c r="D1580" s="1" t="n">
        <f aca="false">LN(B1580/B1579)</f>
        <v>-0.00210549599253586</v>
      </c>
      <c r="E1580" s="1" t="n">
        <f aca="false">LN(C1580/C1579)</f>
        <v>1.62818717641894E-005</v>
      </c>
      <c r="F1580" s="1" t="n">
        <f aca="false">B1580/B1579-1</f>
        <v>-0.00210328099068047</v>
      </c>
      <c r="G1580" s="1" t="n">
        <f aca="false">C1580/C1579-1</f>
        <v>1.62820043145828E-005</v>
      </c>
    </row>
    <row r="1581" customFormat="false" ht="15" hidden="false" customHeight="false" outlineLevel="0" collapsed="false">
      <c r="A1581" s="1" t="s">
        <v>1588</v>
      </c>
      <c r="B1581" s="5" t="n">
        <v>31.6679</v>
      </c>
      <c r="C1581" s="5" t="n">
        <v>12.2836</v>
      </c>
      <c r="D1581" s="1" t="n">
        <f aca="false">LN(B1581/B1580)</f>
        <v>0.0127691060299668</v>
      </c>
      <c r="E1581" s="1" t="n">
        <f aca="false">LN(C1581/C1580)</f>
        <v>-8.14090274471231E-006</v>
      </c>
      <c r="F1581" s="1" t="n">
        <f aca="false">B1581/B1580-1</f>
        <v>0.0128509791755287</v>
      </c>
      <c r="G1581" s="1" t="n">
        <f aca="false">C1581/C1580-1</f>
        <v>-8.14086960765348E-006</v>
      </c>
    </row>
    <row r="1582" customFormat="false" ht="15" hidden="false" customHeight="false" outlineLevel="0" collapsed="false">
      <c r="A1582" s="1" t="s">
        <v>1589</v>
      </c>
      <c r="B1582" s="5" t="n">
        <v>31.5464</v>
      </c>
      <c r="C1582" s="5" t="n">
        <v>12.2837</v>
      </c>
      <c r="D1582" s="1" t="n">
        <f aca="false">LN(B1582/B1581)</f>
        <v>-0.00384407166150523</v>
      </c>
      <c r="E1582" s="1" t="n">
        <f aca="false">LN(C1582/C1581)</f>
        <v>8.14090274462315E-006</v>
      </c>
      <c r="F1582" s="1" t="n">
        <f aca="false">B1582/B1581-1</f>
        <v>-0.00383669267618003</v>
      </c>
      <c r="G1582" s="1" t="n">
        <f aca="false">C1582/C1581-1</f>
        <v>8.14093588186182E-006</v>
      </c>
    </row>
    <row r="1583" customFormat="false" ht="15" hidden="false" customHeight="false" outlineLevel="0" collapsed="false">
      <c r="A1583" s="1" t="s">
        <v>1590</v>
      </c>
      <c r="B1583" s="5" t="n">
        <v>31.6087</v>
      </c>
      <c r="C1583" s="5" t="n">
        <v>12.2837</v>
      </c>
      <c r="D1583" s="1" t="n">
        <f aca="false">LN(B1583/B1582)</f>
        <v>0.0019729212750242</v>
      </c>
      <c r="E1583" s="1" t="n">
        <f aca="false">LN(C1583/C1582)</f>
        <v>0</v>
      </c>
      <c r="F1583" s="1" t="n">
        <f aca="false">B1583/B1582-1</f>
        <v>0.00197486876474029</v>
      </c>
      <c r="G1583" s="1" t="n">
        <f aca="false">C1583/C1582-1</f>
        <v>0</v>
      </c>
    </row>
    <row r="1584" customFormat="false" ht="15" hidden="false" customHeight="false" outlineLevel="0" collapsed="false">
      <c r="A1584" s="1" t="s">
        <v>1591</v>
      </c>
      <c r="B1584" s="5" t="n">
        <v>31.6016</v>
      </c>
      <c r="C1584" s="5" t="n">
        <v>12.2836</v>
      </c>
      <c r="D1584" s="1" t="n">
        <f aca="false">LN(B1584/B1583)</f>
        <v>-0.000224646933485746</v>
      </c>
      <c r="E1584" s="1" t="n">
        <f aca="false">LN(C1584/C1583)</f>
        <v>-8.14090274471231E-006</v>
      </c>
      <c r="F1584" s="1" t="n">
        <f aca="false">B1584/B1583-1</f>
        <v>-0.000224621702252792</v>
      </c>
      <c r="G1584" s="1" t="n">
        <f aca="false">C1584/C1583-1</f>
        <v>-8.14086960765348E-006</v>
      </c>
    </row>
    <row r="1585" customFormat="false" ht="15" hidden="false" customHeight="false" outlineLevel="0" collapsed="false">
      <c r="A1585" s="1" t="s">
        <v>1592</v>
      </c>
      <c r="B1585" s="5" t="n">
        <v>31.2028</v>
      </c>
      <c r="C1585" s="5" t="n">
        <v>12.2835</v>
      </c>
      <c r="D1585" s="1" t="n">
        <f aca="false">LN(B1585/B1584)</f>
        <v>-0.0126999178439911</v>
      </c>
      <c r="E1585" s="1" t="n">
        <f aca="false">LN(C1585/C1584)</f>
        <v>-8.14096901957121E-006</v>
      </c>
      <c r="F1585" s="1" t="n">
        <f aca="false">B1585/B1584-1</f>
        <v>-0.0126196141967496</v>
      </c>
      <c r="G1585" s="1" t="n">
        <f aca="false">C1585/C1584-1</f>
        <v>-8.14093588197284E-006</v>
      </c>
    </row>
    <row r="1586" customFormat="false" ht="15" hidden="false" customHeight="false" outlineLevel="0" collapsed="false">
      <c r="A1586" s="1" t="s">
        <v>1593</v>
      </c>
      <c r="B1586" s="5" t="n">
        <v>30.8677</v>
      </c>
      <c r="C1586" s="5" t="n">
        <v>12.2834</v>
      </c>
      <c r="D1586" s="1" t="n">
        <f aca="false">LN(B1586/B1585)</f>
        <v>-0.01079750463298</v>
      </c>
      <c r="E1586" s="1" t="n">
        <f aca="false">LN(C1586/C1585)</f>
        <v>-8.14103529542933E-006</v>
      </c>
      <c r="F1586" s="1" t="n">
        <f aca="false">B1586/B1585-1</f>
        <v>-0.0107394208212084</v>
      </c>
      <c r="G1586" s="1" t="n">
        <f aca="false">C1586/C1585-1</f>
        <v>-8.14100215729141E-006</v>
      </c>
    </row>
    <row r="1587" customFormat="false" ht="15" hidden="false" customHeight="false" outlineLevel="0" collapsed="false">
      <c r="A1587" s="1" t="s">
        <v>1594</v>
      </c>
      <c r="B1587" s="5" t="n">
        <v>30.9291</v>
      </c>
      <c r="C1587" s="5" t="n">
        <v>12.2834</v>
      </c>
      <c r="D1587" s="1" t="n">
        <f aca="false">LN(B1587/B1586)</f>
        <v>0.0019871585649965</v>
      </c>
      <c r="E1587" s="1" t="n">
        <f aca="false">LN(C1587/C1586)</f>
        <v>0</v>
      </c>
      <c r="F1587" s="1" t="n">
        <f aca="false">B1587/B1586-1</f>
        <v>0.0019891342730427</v>
      </c>
      <c r="G1587" s="1" t="n">
        <f aca="false">C1587/C1586-1</f>
        <v>0</v>
      </c>
    </row>
    <row r="1588" customFormat="false" ht="15" hidden="false" customHeight="false" outlineLevel="0" collapsed="false">
      <c r="A1588" s="1" t="s">
        <v>1595</v>
      </c>
      <c r="B1588" s="5" t="n">
        <v>31.1638</v>
      </c>
      <c r="C1588" s="5" t="n">
        <v>12.2834</v>
      </c>
      <c r="D1588" s="1" t="n">
        <f aca="false">LN(B1588/B1587)</f>
        <v>0.00755967647613262</v>
      </c>
      <c r="E1588" s="1" t="n">
        <f aca="false">LN(C1588/C1587)</f>
        <v>0</v>
      </c>
      <c r="F1588" s="1" t="n">
        <f aca="false">B1588/B1587-1</f>
        <v>0.00758832297092393</v>
      </c>
      <c r="G1588" s="1" t="n">
        <f aca="false">C1588/C1587-1</f>
        <v>0</v>
      </c>
    </row>
    <row r="1589" customFormat="false" ht="15" hidden="false" customHeight="false" outlineLevel="0" collapsed="false">
      <c r="A1589" s="1" t="s">
        <v>1596</v>
      </c>
      <c r="B1589" s="5" t="n">
        <v>30.9667</v>
      </c>
      <c r="C1589" s="5" t="n">
        <v>12.2835</v>
      </c>
      <c r="D1589" s="1" t="n">
        <f aca="false">LN(B1589/B1588)</f>
        <v>-0.00634473120924563</v>
      </c>
      <c r="E1589" s="1" t="n">
        <f aca="false">LN(C1589/C1588)</f>
        <v>8.14103529551345E-006</v>
      </c>
      <c r="F1589" s="1" t="n">
        <f aca="false">B1589/B1588-1</f>
        <v>-0.00632464590325954</v>
      </c>
      <c r="G1589" s="1" t="n">
        <f aca="false">C1589/C1588-1</f>
        <v>8.14106843383122E-006</v>
      </c>
    </row>
    <row r="1590" customFormat="false" ht="15" hidden="false" customHeight="false" outlineLevel="0" collapsed="false">
      <c r="A1590" s="1" t="s">
        <v>1597</v>
      </c>
      <c r="B1590" s="5" t="n">
        <v>30.7813</v>
      </c>
      <c r="C1590" s="5" t="n">
        <v>12.2835</v>
      </c>
      <c r="D1590" s="1" t="n">
        <f aca="false">LN(B1590/B1589)</f>
        <v>-0.00600507084084329</v>
      </c>
      <c r="E1590" s="1" t="n">
        <f aca="false">LN(C1590/C1589)</f>
        <v>0</v>
      </c>
      <c r="F1590" s="1" t="n">
        <f aca="false">B1590/B1589-1</f>
        <v>-0.00598707644017604</v>
      </c>
      <c r="G1590" s="1" t="n">
        <f aca="false">C1590/C1589-1</f>
        <v>0</v>
      </c>
    </row>
    <row r="1591" customFormat="false" ht="15" hidden="false" customHeight="false" outlineLevel="0" collapsed="false">
      <c r="A1591" s="1" t="s">
        <v>1598</v>
      </c>
      <c r="B1591" s="5" t="n">
        <v>30.8345</v>
      </c>
      <c r="C1591" s="5" t="n">
        <v>12.2834</v>
      </c>
      <c r="D1591" s="1" t="n">
        <f aca="false">LN(B1591/B1590)</f>
        <v>0.00172683023574934</v>
      </c>
      <c r="E1591" s="1" t="n">
        <f aca="false">LN(C1591/C1590)</f>
        <v>-8.14103529542933E-006</v>
      </c>
      <c r="F1591" s="1" t="n">
        <f aca="false">B1591/B1590-1</f>
        <v>0.00172832206566964</v>
      </c>
      <c r="G1591" s="1" t="n">
        <f aca="false">C1591/C1590-1</f>
        <v>-8.14100215729141E-006</v>
      </c>
    </row>
    <row r="1592" customFormat="false" ht="15" hidden="false" customHeight="false" outlineLevel="0" collapsed="false">
      <c r="A1592" s="1" t="s">
        <v>1599</v>
      </c>
      <c r="B1592" s="5" t="n">
        <v>30.5499</v>
      </c>
      <c r="C1592" s="5" t="n">
        <v>12.2834</v>
      </c>
      <c r="D1592" s="1" t="n">
        <f aca="false">LN(B1592/B1591)</f>
        <v>-0.00927278068244987</v>
      </c>
      <c r="E1592" s="1" t="n">
        <f aca="false">LN(C1592/C1591)</f>
        <v>0</v>
      </c>
      <c r="F1592" s="1" t="n">
        <f aca="false">B1592/B1591-1</f>
        <v>-0.00922992103001497</v>
      </c>
      <c r="G1592" s="1" t="n">
        <f aca="false">C1592/C1591-1</f>
        <v>0</v>
      </c>
    </row>
    <row r="1593" customFormat="false" ht="15" hidden="false" customHeight="false" outlineLevel="0" collapsed="false">
      <c r="A1593" s="1" t="s">
        <v>1600</v>
      </c>
      <c r="B1593" s="5" t="n">
        <v>30.6697</v>
      </c>
      <c r="C1593" s="5" t="n">
        <v>12.2835</v>
      </c>
      <c r="D1593" s="1" t="n">
        <f aca="false">LN(B1593/B1592)</f>
        <v>0.0039137842430115</v>
      </c>
      <c r="E1593" s="1" t="n">
        <f aca="false">LN(C1593/C1592)</f>
        <v>8.14103529551345E-006</v>
      </c>
      <c r="F1593" s="1" t="n">
        <f aca="false">B1593/B1592-1</f>
        <v>0.00392145309804604</v>
      </c>
      <c r="G1593" s="1" t="n">
        <f aca="false">C1593/C1592-1</f>
        <v>8.14106843383122E-006</v>
      </c>
    </row>
    <row r="1594" customFormat="false" ht="15" hidden="false" customHeight="false" outlineLevel="0" collapsed="false">
      <c r="A1594" s="1" t="s">
        <v>1601</v>
      </c>
      <c r="B1594" s="5" t="n">
        <v>30.9394</v>
      </c>
      <c r="C1594" s="5" t="n">
        <v>12.2838</v>
      </c>
      <c r="D1594" s="1" t="n">
        <f aca="false">LN(B1594/B1593)</f>
        <v>0.00875525605171575</v>
      </c>
      <c r="E1594" s="1" t="n">
        <f aca="false">LN(C1594/C1593)</f>
        <v>2.44227082353296E-005</v>
      </c>
      <c r="F1594" s="1" t="n">
        <f aca="false">B1594/B1593-1</f>
        <v>0.00879369540621533</v>
      </c>
      <c r="G1594" s="1" t="n">
        <f aca="false">C1594/C1593-1</f>
        <v>2.44230064720963E-005</v>
      </c>
    </row>
    <row r="1595" customFormat="false" ht="15" hidden="false" customHeight="false" outlineLevel="0" collapsed="false">
      <c r="A1595" s="1" t="s">
        <v>1602</v>
      </c>
      <c r="B1595" s="5" t="n">
        <v>31.0483</v>
      </c>
      <c r="C1595" s="5" t="n">
        <v>12.2839</v>
      </c>
      <c r="D1595" s="1" t="n">
        <f aca="false">LN(B1595/B1594)</f>
        <v>0.00351360389350136</v>
      </c>
      <c r="E1595" s="1" t="n">
        <f aca="false">LN(C1595/C1594)</f>
        <v>8.14077019839573E-006</v>
      </c>
      <c r="F1595" s="1" t="n">
        <f aca="false">B1595/B1594-1</f>
        <v>0.00351978383549789</v>
      </c>
      <c r="G1595" s="1" t="n">
        <f aca="false">C1595/C1594-1</f>
        <v>8.14080333455536E-006</v>
      </c>
    </row>
    <row r="1596" customFormat="false" ht="15" hidden="false" customHeight="false" outlineLevel="0" collapsed="false">
      <c r="A1596" s="1" t="s">
        <v>1603</v>
      </c>
      <c r="B1596" s="5" t="n">
        <v>30.5771</v>
      </c>
      <c r="C1596" s="5" t="n">
        <v>12.2838</v>
      </c>
      <c r="D1596" s="1" t="n">
        <f aca="false">LN(B1596/B1595)</f>
        <v>-0.0152926936984211</v>
      </c>
      <c r="E1596" s="1" t="n">
        <f aca="false">LN(C1596/C1595)</f>
        <v>-8.14077019832521E-006</v>
      </c>
      <c r="F1596" s="1" t="n">
        <f aca="false">B1596/B1595-1</f>
        <v>-0.0151763542609418</v>
      </c>
      <c r="G1596" s="1" t="n">
        <f aca="false">C1596/C1595-1</f>
        <v>-8.14073706234542E-006</v>
      </c>
    </row>
    <row r="1597" customFormat="false" ht="15" hidden="false" customHeight="false" outlineLevel="0" collapsed="false">
      <c r="A1597" s="1" t="s">
        <v>1604</v>
      </c>
      <c r="B1597" s="5" t="n">
        <v>30.4754</v>
      </c>
      <c r="C1597" s="5" t="n">
        <v>12.2837</v>
      </c>
      <c r="D1597" s="1" t="n">
        <f aca="false">LN(B1597/B1596)</f>
        <v>-0.00333156198572038</v>
      </c>
      <c r="E1597" s="1" t="n">
        <f aca="false">LN(C1597/C1596)</f>
        <v>-8.14083647096364E-006</v>
      </c>
      <c r="F1597" s="1" t="n">
        <f aca="false">B1597/B1596-1</f>
        <v>-0.00332601849096226</v>
      </c>
      <c r="G1597" s="1" t="n">
        <f aca="false">C1597/C1596-1</f>
        <v>-8.14080333444434E-006</v>
      </c>
    </row>
    <row r="1598" customFormat="false" ht="15" hidden="false" customHeight="false" outlineLevel="0" collapsed="false">
      <c r="A1598" s="1" t="s">
        <v>1605</v>
      </c>
      <c r="B1598" s="5" t="n">
        <v>30.9105</v>
      </c>
      <c r="C1598" s="5" t="n">
        <v>12.2837</v>
      </c>
      <c r="D1598" s="1" t="n">
        <f aca="false">LN(B1598/B1597)</f>
        <v>0.0141761312141067</v>
      </c>
      <c r="E1598" s="1" t="n">
        <f aca="false">LN(C1598/C1597)</f>
        <v>0</v>
      </c>
      <c r="F1598" s="1" t="n">
        <f aca="false">B1598/B1597-1</f>
        <v>0.0142770890619974</v>
      </c>
      <c r="G1598" s="1" t="n">
        <f aca="false">C1598/C1597-1</f>
        <v>0</v>
      </c>
    </row>
    <row r="1599" customFormat="false" ht="15" hidden="false" customHeight="false" outlineLevel="0" collapsed="false">
      <c r="A1599" s="1" t="s">
        <v>1606</v>
      </c>
      <c r="B1599" s="5" t="n">
        <v>30.9351</v>
      </c>
      <c r="C1599" s="5" t="n">
        <v>12.2835</v>
      </c>
      <c r="D1599" s="1" t="n">
        <f aca="false">LN(B1599/B1598)</f>
        <v>0.000795529554159996</v>
      </c>
      <c r="E1599" s="1" t="n">
        <f aca="false">LN(C1599/C1598)</f>
        <v>-1.62818717642616E-005</v>
      </c>
      <c r="F1599" s="1" t="n">
        <f aca="false">B1599/B1598-1</f>
        <v>0.000795846071723227</v>
      </c>
      <c r="G1599" s="1" t="n">
        <f aca="false">C1599/C1598-1</f>
        <v>-1.6281739215307E-005</v>
      </c>
    </row>
    <row r="1600" customFormat="false" ht="15" hidden="false" customHeight="false" outlineLevel="0" collapsed="false">
      <c r="A1600" s="1" t="s">
        <v>1607</v>
      </c>
      <c r="B1600" s="5" t="n">
        <v>30.7881</v>
      </c>
      <c r="C1600" s="5" t="n">
        <v>12.2836</v>
      </c>
      <c r="D1600" s="1" t="n">
        <f aca="false">LN(B1600/B1599)</f>
        <v>-0.0047632098766738</v>
      </c>
      <c r="E1600" s="1" t="n">
        <f aca="false">LN(C1600/C1599)</f>
        <v>8.1409690195132E-006</v>
      </c>
      <c r="F1600" s="1" t="n">
        <f aca="false">B1600/B1599-1</f>
        <v>-0.00475188378249947</v>
      </c>
      <c r="G1600" s="1" t="n">
        <f aca="false">C1600/C1599-1</f>
        <v>8.14100215729141E-006</v>
      </c>
    </row>
    <row r="1601" customFormat="false" ht="15" hidden="false" customHeight="false" outlineLevel="0" collapsed="false">
      <c r="A1601" s="1" t="s">
        <v>1608</v>
      </c>
      <c r="B1601" s="5" t="n">
        <v>30.8243</v>
      </c>
      <c r="C1601" s="5" t="n">
        <v>12.2835</v>
      </c>
      <c r="D1601" s="1" t="n">
        <f aca="false">LN(B1601/B1600)</f>
        <v>0.00117508826682648</v>
      </c>
      <c r="E1601" s="1" t="n">
        <f aca="false">LN(C1601/C1600)</f>
        <v>-8.14096901957121E-006</v>
      </c>
      <c r="F1601" s="1" t="n">
        <f aca="false">B1601/B1600-1</f>
        <v>0.00117577895355669</v>
      </c>
      <c r="G1601" s="1" t="n">
        <f aca="false">C1601/C1600-1</f>
        <v>-8.14093588197284E-006</v>
      </c>
    </row>
    <row r="1602" customFormat="false" ht="15" hidden="false" customHeight="false" outlineLevel="0" collapsed="false">
      <c r="A1602" s="1" t="s">
        <v>1609</v>
      </c>
      <c r="B1602" s="5" t="n">
        <v>31.013</v>
      </c>
      <c r="C1602" s="5" t="n">
        <v>12.2836</v>
      </c>
      <c r="D1602" s="1" t="n">
        <f aca="false">LN(B1602/B1601)</f>
        <v>0.00610313146685889</v>
      </c>
      <c r="E1602" s="1" t="n">
        <f aca="false">LN(C1602/C1601)</f>
        <v>8.1409690195132E-006</v>
      </c>
      <c r="F1602" s="1" t="n">
        <f aca="false">B1602/B1601-1</f>
        <v>0.00612179352004749</v>
      </c>
      <c r="G1602" s="1" t="n">
        <f aca="false">C1602/C1601-1</f>
        <v>8.14100215729141E-006</v>
      </c>
    </row>
    <row r="1603" customFormat="false" ht="15" hidden="false" customHeight="false" outlineLevel="0" collapsed="false">
      <c r="A1603" s="1" t="s">
        <v>1610</v>
      </c>
      <c r="B1603" s="5" t="n">
        <v>31.263</v>
      </c>
      <c r="C1603" s="5" t="n">
        <v>12.2838</v>
      </c>
      <c r="D1603" s="1" t="n">
        <f aca="false">LN(B1603/B1602)</f>
        <v>0.00802881825921004</v>
      </c>
      <c r="E1603" s="1" t="n">
        <f aca="false">LN(C1603/C1602)</f>
        <v>1.62817392157104E-005</v>
      </c>
      <c r="F1603" s="1" t="n">
        <f aca="false">B1603/B1602-1</f>
        <v>0.00806113565279087</v>
      </c>
      <c r="G1603" s="1" t="n">
        <f aca="false">C1603/C1602-1</f>
        <v>1.62818717639457E-005</v>
      </c>
    </row>
    <row r="1604" customFormat="false" ht="15" hidden="false" customHeight="false" outlineLevel="0" collapsed="false">
      <c r="A1604" s="1" t="s">
        <v>1611</v>
      </c>
      <c r="B1604" s="5" t="n">
        <v>31.4078</v>
      </c>
      <c r="C1604" s="5" t="n">
        <v>12.2838</v>
      </c>
      <c r="D1604" s="1" t="n">
        <f aca="false">LN(B1604/B1603)</f>
        <v>0.00462098003104956</v>
      </c>
      <c r="E1604" s="1" t="n">
        <f aca="false">LN(C1604/C1603)</f>
        <v>0</v>
      </c>
      <c r="F1604" s="1" t="n">
        <f aca="false">B1604/B1603-1</f>
        <v>0.00463167322393887</v>
      </c>
      <c r="G1604" s="1" t="n">
        <f aca="false">C1604/C1603-1</f>
        <v>0</v>
      </c>
    </row>
    <row r="1605" customFormat="false" ht="15" hidden="false" customHeight="false" outlineLevel="0" collapsed="false">
      <c r="A1605" s="1" t="s">
        <v>1612</v>
      </c>
      <c r="B1605" s="5" t="n">
        <v>31.1777</v>
      </c>
      <c r="C1605" s="5" t="n">
        <v>12.2838</v>
      </c>
      <c r="D1605" s="1" t="n">
        <f aca="false">LN(B1605/B1604)</f>
        <v>-0.00735317403473229</v>
      </c>
      <c r="E1605" s="1" t="n">
        <f aca="false">LN(C1605/C1604)</f>
        <v>0</v>
      </c>
      <c r="F1605" s="1" t="n">
        <f aca="false">B1605/B1604-1</f>
        <v>-0.0073262055922414</v>
      </c>
      <c r="G1605" s="1" t="n">
        <f aca="false">C1605/C1604-1</f>
        <v>0</v>
      </c>
    </row>
    <row r="1606" customFormat="false" ht="15" hidden="false" customHeight="false" outlineLevel="0" collapsed="false">
      <c r="A1606" s="1" t="s">
        <v>1613</v>
      </c>
      <c r="B1606" s="5" t="n">
        <v>31.35</v>
      </c>
      <c r="C1606" s="5" t="n">
        <v>12.284</v>
      </c>
      <c r="D1606" s="1" t="n">
        <f aca="false">LN(B1606/B1605)</f>
        <v>0.00551117140421232</v>
      </c>
      <c r="E1606" s="1" t="n">
        <f aca="false">LN(C1606/C1605)</f>
        <v>1.62814741251915E-005</v>
      </c>
      <c r="F1606" s="1" t="n">
        <f aca="false">B1606/B1605-1</f>
        <v>0.00552638584629395</v>
      </c>
      <c r="G1606" s="1" t="n">
        <f aca="false">C1606/C1605-1</f>
        <v>1.62816066691107E-005</v>
      </c>
    </row>
    <row r="1607" customFormat="false" ht="15" hidden="false" customHeight="false" outlineLevel="0" collapsed="false">
      <c r="A1607" s="1" t="s">
        <v>1614</v>
      </c>
      <c r="B1607" s="5" t="n">
        <v>32.1011</v>
      </c>
      <c r="C1607" s="5" t="n">
        <v>12.2839</v>
      </c>
      <c r="D1607" s="1" t="n">
        <f aca="false">LN(B1607/B1606)</f>
        <v>0.0236760303826816</v>
      </c>
      <c r="E1607" s="1" t="n">
        <f aca="false">LN(C1607/C1606)</f>
        <v>-8.14070392679702E-006</v>
      </c>
      <c r="F1607" s="1" t="n">
        <f aca="false">B1607/B1606-1</f>
        <v>0.0239585326953748</v>
      </c>
      <c r="G1607" s="1" t="n">
        <f aca="false">C1607/C1606-1</f>
        <v>-8.14067079135672E-006</v>
      </c>
    </row>
    <row r="1608" customFormat="false" ht="15" hidden="false" customHeight="false" outlineLevel="0" collapsed="false">
      <c r="A1608" s="1" t="s">
        <v>1615</v>
      </c>
      <c r="B1608" s="5" t="n">
        <v>32.2009</v>
      </c>
      <c r="C1608" s="5" t="n">
        <v>12.2838</v>
      </c>
      <c r="D1608" s="1" t="n">
        <f aca="false">LN(B1608/B1607)</f>
        <v>0.00310410500870748</v>
      </c>
      <c r="E1608" s="1" t="n">
        <f aca="false">LN(C1608/C1607)</f>
        <v>-8.14077019832521E-006</v>
      </c>
      <c r="F1608" s="1" t="n">
        <f aca="false">B1608/B1607-1</f>
        <v>0.00310892773144822</v>
      </c>
      <c r="G1608" s="1" t="n">
        <f aca="false">C1608/C1607-1</f>
        <v>-8.14073706234542E-006</v>
      </c>
    </row>
    <row r="1609" customFormat="false" ht="15" hidden="false" customHeight="false" outlineLevel="0" collapsed="false">
      <c r="A1609" s="1" t="s">
        <v>1616</v>
      </c>
      <c r="B1609" s="5" t="n">
        <v>32.4894</v>
      </c>
      <c r="C1609" s="5" t="n">
        <v>12.284</v>
      </c>
      <c r="D1609" s="1" t="n">
        <f aca="false">LN(B1609/B1608)</f>
        <v>0.00891947981948569</v>
      </c>
      <c r="E1609" s="1" t="n">
        <f aca="false">LN(C1609/C1608)</f>
        <v>1.62814741251915E-005</v>
      </c>
      <c r="F1609" s="1" t="n">
        <f aca="false">B1609/B1608-1</f>
        <v>0.00895937691182569</v>
      </c>
      <c r="G1609" s="1" t="n">
        <f aca="false">C1609/C1608-1</f>
        <v>1.62816066691107E-005</v>
      </c>
    </row>
    <row r="1610" customFormat="false" ht="15" hidden="false" customHeight="false" outlineLevel="0" collapsed="false">
      <c r="A1610" s="1" t="s">
        <v>1617</v>
      </c>
      <c r="B1610" s="5" t="n">
        <v>32.4703</v>
      </c>
      <c r="C1610" s="5" t="n">
        <v>12.2839</v>
      </c>
      <c r="D1610" s="1" t="n">
        <f aca="false">LN(B1610/B1609)</f>
        <v>-0.000588056919918524</v>
      </c>
      <c r="E1610" s="1" t="n">
        <f aca="false">LN(C1610/C1609)</f>
        <v>-8.14070392679702E-006</v>
      </c>
      <c r="F1610" s="1" t="n">
        <f aca="false">B1610/B1609-1</f>
        <v>-0.000587884048335763</v>
      </c>
      <c r="G1610" s="1" t="n">
        <f aca="false">C1610/C1609-1</f>
        <v>-8.14067079135672E-006</v>
      </c>
    </row>
    <row r="1611" customFormat="false" ht="15" hidden="false" customHeight="false" outlineLevel="0" collapsed="false">
      <c r="A1611" s="1" t="s">
        <v>1618</v>
      </c>
      <c r="B1611" s="5" t="n">
        <v>32.7262</v>
      </c>
      <c r="C1611" s="5" t="n">
        <v>12.284</v>
      </c>
      <c r="D1611" s="1" t="n">
        <f aca="false">LN(B1611/B1610)</f>
        <v>0.00785015496691816</v>
      </c>
      <c r="E1611" s="1" t="n">
        <f aca="false">LN(C1611/C1610)</f>
        <v>8.14070392683631E-006</v>
      </c>
      <c r="F1611" s="1" t="n">
        <f aca="false">B1611/B1610-1</f>
        <v>0.00788104821944957</v>
      </c>
      <c r="G1611" s="1" t="n">
        <f aca="false">C1611/C1610-1</f>
        <v>8.14073706245644E-006</v>
      </c>
    </row>
    <row r="1612" customFormat="false" ht="15" hidden="false" customHeight="false" outlineLevel="0" collapsed="false">
      <c r="A1612" s="1" t="s">
        <v>1619</v>
      </c>
      <c r="B1612" s="5" t="n">
        <v>33.2388</v>
      </c>
      <c r="C1612" s="5" t="n">
        <v>12.2842</v>
      </c>
      <c r="D1612" s="1" t="n">
        <f aca="false">LN(B1612/B1611)</f>
        <v>0.0155418879157509</v>
      </c>
      <c r="E1612" s="1" t="n">
        <f aca="false">LN(C1612/C1611)</f>
        <v>1.62812090428881E-005</v>
      </c>
      <c r="F1612" s="1" t="n">
        <f aca="false">B1612/B1611-1</f>
        <v>0.0156632911856556</v>
      </c>
      <c r="G1612" s="1" t="n">
        <f aca="false">C1612/C1611-1</f>
        <v>1.62813415824914E-005</v>
      </c>
    </row>
    <row r="1613" customFormat="false" ht="15" hidden="false" customHeight="false" outlineLevel="0" collapsed="false">
      <c r="A1613" s="1" t="s">
        <v>1620</v>
      </c>
      <c r="B1613" s="5" t="n">
        <v>33.399</v>
      </c>
      <c r="C1613" s="5" t="n">
        <v>12.2843</v>
      </c>
      <c r="D1613" s="1" t="n">
        <f aca="false">LN(B1613/B1612)</f>
        <v>0.0048080911621248</v>
      </c>
      <c r="E1613" s="1" t="n">
        <f aca="false">LN(C1613/C1612)</f>
        <v>8.14050511837523E-006</v>
      </c>
      <c r="F1613" s="1" t="n">
        <f aca="false">B1613/B1612-1</f>
        <v>0.0048196685800932</v>
      </c>
      <c r="G1613" s="1" t="n">
        <f aca="false">C1613/C1612-1</f>
        <v>8.14053825237693E-006</v>
      </c>
    </row>
    <row r="1614" customFormat="false" ht="15" hidden="false" customHeight="false" outlineLevel="0" collapsed="false">
      <c r="A1614" s="1" t="s">
        <v>1621</v>
      </c>
      <c r="B1614" s="5" t="n">
        <v>33.2672</v>
      </c>
      <c r="C1614" s="5" t="n">
        <v>12.2843</v>
      </c>
      <c r="D1614" s="1" t="n">
        <f aca="false">LN(B1614/B1613)</f>
        <v>-0.00395403282975523</v>
      </c>
      <c r="E1614" s="1" t="n">
        <f aca="false">LN(C1614/C1613)</f>
        <v>0</v>
      </c>
      <c r="F1614" s="1" t="n">
        <f aca="false">B1614/B1613-1</f>
        <v>-0.00394622593490823</v>
      </c>
      <c r="G1614" s="1" t="n">
        <f aca="false">C1614/C1613-1</f>
        <v>0</v>
      </c>
    </row>
    <row r="1615" customFormat="false" ht="15" hidden="false" customHeight="false" outlineLevel="0" collapsed="false">
      <c r="A1615" s="1" t="s">
        <v>1622</v>
      </c>
      <c r="B1615" s="5" t="n">
        <v>33.6206</v>
      </c>
      <c r="C1615" s="5" t="n">
        <v>12.2842</v>
      </c>
      <c r="D1615" s="1" t="n">
        <f aca="false">LN(B1615/B1614)</f>
        <v>0.0105670477562263</v>
      </c>
      <c r="E1615" s="1" t="n">
        <f aca="false">LN(C1615/C1614)</f>
        <v>-8.14050511831874E-006</v>
      </c>
      <c r="F1615" s="1" t="n">
        <f aca="false">B1615/B1614-1</f>
        <v>0.0106230761831474</v>
      </c>
      <c r="G1615" s="1" t="n">
        <f aca="false">C1615/C1614-1</f>
        <v>-8.14047198449686E-006</v>
      </c>
    </row>
    <row r="1616" customFormat="false" ht="15" hidden="false" customHeight="false" outlineLevel="0" collapsed="false">
      <c r="A1616" s="1" t="s">
        <v>1623</v>
      </c>
      <c r="B1616" s="5" t="n">
        <v>33.7053</v>
      </c>
      <c r="C1616" s="5" t="n">
        <v>12.2841</v>
      </c>
      <c r="D1616" s="1" t="n">
        <f aca="false">LN(B1616/B1615)</f>
        <v>0.00251612068120409</v>
      </c>
      <c r="E1616" s="1" t="n">
        <f aca="false">LN(C1616/C1615)</f>
        <v>-8.14057138673827E-006</v>
      </c>
      <c r="F1616" s="1" t="n">
        <f aca="false">B1616/B1615-1</f>
        <v>0.00251928876938545</v>
      </c>
      <c r="G1616" s="1" t="n">
        <f aca="false">C1616/C1615-1</f>
        <v>-8.14053825237693E-006</v>
      </c>
    </row>
    <row r="1617" customFormat="false" ht="15" hidden="false" customHeight="false" outlineLevel="0" collapsed="false">
      <c r="A1617" s="1" t="s">
        <v>1624</v>
      </c>
      <c r="B1617" s="5" t="n">
        <v>33.6102</v>
      </c>
      <c r="C1617" s="5" t="n">
        <v>12.284</v>
      </c>
      <c r="D1617" s="1" t="n">
        <f aca="false">LN(B1617/B1616)</f>
        <v>-0.00282550269310811</v>
      </c>
      <c r="E1617" s="1" t="n">
        <f aca="false">LN(C1617/C1616)</f>
        <v>-8.14063765615701E-006</v>
      </c>
      <c r="F1617" s="1" t="n">
        <f aca="false">B1617/B1616-1</f>
        <v>-0.0028215147172701</v>
      </c>
      <c r="G1617" s="1" t="n">
        <f aca="false">C1617/C1616-1</f>
        <v>-8.1406045212562E-006</v>
      </c>
    </row>
    <row r="1618" customFormat="false" ht="15" hidden="false" customHeight="false" outlineLevel="0" collapsed="false">
      <c r="A1618" s="1" t="s">
        <v>1625</v>
      </c>
      <c r="B1618" s="5" t="n">
        <v>33.4135</v>
      </c>
      <c r="C1618" s="5" t="n">
        <v>12.284</v>
      </c>
      <c r="D1618" s="1" t="n">
        <f aca="false">LN(B1618/B1617)</f>
        <v>-0.00586958239325291</v>
      </c>
      <c r="E1618" s="1" t="n">
        <f aca="false">LN(C1618/C1617)</f>
        <v>0</v>
      </c>
      <c r="F1618" s="1" t="n">
        <f aca="false">B1618/B1617-1</f>
        <v>-0.0058523900482591</v>
      </c>
      <c r="G1618" s="1" t="n">
        <f aca="false">C1618/C1617-1</f>
        <v>0</v>
      </c>
    </row>
    <row r="1619" customFormat="false" ht="15" hidden="false" customHeight="false" outlineLevel="0" collapsed="false">
      <c r="A1619" s="1" t="s">
        <v>1626</v>
      </c>
      <c r="B1619" s="5" t="n">
        <v>33.4678</v>
      </c>
      <c r="C1619" s="5" t="n">
        <v>12.2841</v>
      </c>
      <c r="D1619" s="1" t="n">
        <f aca="false">LN(B1619/B1618)</f>
        <v>0.00162377262196694</v>
      </c>
      <c r="E1619" s="1" t="n">
        <f aca="false">LN(C1619/C1618)</f>
        <v>8.14063765616506E-006</v>
      </c>
      <c r="F1619" s="1" t="n">
        <f aca="false">B1619/B1618-1</f>
        <v>0.00162509165457059</v>
      </c>
      <c r="G1619" s="1" t="n">
        <f aca="false">C1619/C1618-1</f>
        <v>8.1406707912457E-006</v>
      </c>
    </row>
    <row r="1620" customFormat="false" ht="15" hidden="false" customHeight="false" outlineLevel="0" collapsed="false">
      <c r="A1620" s="1" t="s">
        <v>1627</v>
      </c>
      <c r="B1620" s="5" t="n">
        <v>33.1198</v>
      </c>
      <c r="C1620" s="5" t="n">
        <v>12.284</v>
      </c>
      <c r="D1620" s="1" t="n">
        <f aca="false">LN(B1620/B1619)</f>
        <v>-0.0104524917064779</v>
      </c>
      <c r="E1620" s="1" t="n">
        <f aca="false">LN(C1620/C1619)</f>
        <v>-8.14063765615701E-006</v>
      </c>
      <c r="F1620" s="1" t="n">
        <f aca="false">B1620/B1619-1</f>
        <v>-0.0103980542491589</v>
      </c>
      <c r="G1620" s="1" t="n">
        <f aca="false">C1620/C1619-1</f>
        <v>-8.1406045212562E-006</v>
      </c>
    </row>
    <row r="1621" customFormat="false" ht="15" hidden="false" customHeight="false" outlineLevel="0" collapsed="false">
      <c r="A1621" s="1" t="s">
        <v>1628</v>
      </c>
      <c r="B1621" s="5" t="n">
        <v>33.2339</v>
      </c>
      <c r="C1621" s="5" t="n">
        <v>12.2839</v>
      </c>
      <c r="D1621" s="1" t="n">
        <f aca="false">LN(B1621/B1620)</f>
        <v>0.00343914845629076</v>
      </c>
      <c r="E1621" s="1" t="n">
        <f aca="false">LN(C1621/C1620)</f>
        <v>-8.14070392679702E-006</v>
      </c>
      <c r="F1621" s="1" t="n">
        <f aca="false">B1621/B1620-1</f>
        <v>0.00344506911273612</v>
      </c>
      <c r="G1621" s="1" t="n">
        <f aca="false">C1621/C1620-1</f>
        <v>-8.14067079135672E-006</v>
      </c>
    </row>
    <row r="1622" customFormat="false" ht="15" hidden="false" customHeight="false" outlineLevel="0" collapsed="false">
      <c r="A1622" s="1" t="s">
        <v>1629</v>
      </c>
      <c r="B1622" s="5" t="n">
        <v>33.1058</v>
      </c>
      <c r="C1622" s="5" t="n">
        <v>12.2842</v>
      </c>
      <c r="D1622" s="1" t="n">
        <f aca="false">LN(B1622/B1621)</f>
        <v>-0.00386194568903909</v>
      </c>
      <c r="E1622" s="1" t="n">
        <f aca="false">LN(C1622/C1621)</f>
        <v>2.4421912969803E-005</v>
      </c>
      <c r="F1622" s="1" t="n">
        <f aca="false">B1622/B1621-1</f>
        <v>-0.00385449796743675</v>
      </c>
      <c r="G1622" s="1" t="n">
        <f aca="false">C1622/C1621-1</f>
        <v>2.44222111871473E-005</v>
      </c>
    </row>
    <row r="1623" customFormat="false" ht="15" hidden="false" customHeight="false" outlineLevel="0" collapsed="false">
      <c r="A1623" s="1" t="s">
        <v>1630</v>
      </c>
      <c r="B1623" s="5" t="n">
        <v>32.8727</v>
      </c>
      <c r="C1623" s="5" t="n">
        <v>12.2841</v>
      </c>
      <c r="D1623" s="1" t="n">
        <f aca="false">LN(B1623/B1622)</f>
        <v>-0.00706596754544582</v>
      </c>
      <c r="E1623" s="1" t="n">
        <f aca="false">LN(C1623/C1622)</f>
        <v>-8.14057138673827E-006</v>
      </c>
      <c r="F1623" s="1" t="n">
        <f aca="false">B1623/B1622-1</f>
        <v>-0.00704106229119972</v>
      </c>
      <c r="G1623" s="1" t="n">
        <f aca="false">C1623/C1622-1</f>
        <v>-8.14053825237693E-006</v>
      </c>
    </row>
    <row r="1624" customFormat="false" ht="15" hidden="false" customHeight="false" outlineLevel="0" collapsed="false">
      <c r="A1624" s="1" t="s">
        <v>1631</v>
      </c>
      <c r="B1624" s="5" t="n">
        <v>32.9209</v>
      </c>
      <c r="C1624" s="5" t="n">
        <v>12.2841</v>
      </c>
      <c r="D1624" s="1" t="n">
        <f aca="false">LN(B1624/B1623)</f>
        <v>0.00146518836552153</v>
      </c>
      <c r="E1624" s="1" t="n">
        <f aca="false">LN(C1624/C1623)</f>
        <v>0</v>
      </c>
      <c r="F1624" s="1" t="n">
        <f aca="false">B1624/B1623-1</f>
        <v>0.00146626227842561</v>
      </c>
      <c r="G1624" s="1" t="n">
        <f aca="false">C1624/C1623-1</f>
        <v>0</v>
      </c>
    </row>
    <row r="1625" customFormat="false" ht="15" hidden="false" customHeight="false" outlineLevel="0" collapsed="false">
      <c r="A1625" s="1" t="s">
        <v>1632</v>
      </c>
      <c r="B1625" s="5" t="n">
        <v>33.0115</v>
      </c>
      <c r="C1625" s="5" t="n">
        <v>12.284</v>
      </c>
      <c r="D1625" s="1" t="n">
        <f aca="false">LN(B1625/B1624)</f>
        <v>0.00274827116941269</v>
      </c>
      <c r="E1625" s="1" t="n">
        <f aca="false">LN(C1625/C1624)</f>
        <v>-8.14063765615701E-006</v>
      </c>
      <c r="F1625" s="1" t="n">
        <f aca="false">B1625/B1624-1</f>
        <v>0.0027520511286141</v>
      </c>
      <c r="G1625" s="1" t="n">
        <f aca="false">C1625/C1624-1</f>
        <v>-8.1406045212562E-006</v>
      </c>
    </row>
    <row r="1626" customFormat="false" ht="15" hidden="false" customHeight="false" outlineLevel="0" collapsed="false">
      <c r="A1626" s="1" t="s">
        <v>1633</v>
      </c>
      <c r="B1626" s="5" t="n">
        <v>32.8828</v>
      </c>
      <c r="C1626" s="5" t="n">
        <v>12.2839</v>
      </c>
      <c r="D1626" s="1" t="n">
        <f aca="false">LN(B1626/B1625)</f>
        <v>-0.00390626089514205</v>
      </c>
      <c r="E1626" s="1" t="n">
        <f aca="false">LN(C1626/C1625)</f>
        <v>-8.14070392679702E-006</v>
      </c>
      <c r="F1626" s="1" t="n">
        <f aca="false">B1626/B1625-1</f>
        <v>-0.00389864138254836</v>
      </c>
      <c r="G1626" s="1" t="n">
        <f aca="false">C1626/C1625-1</f>
        <v>-8.14067079135672E-006</v>
      </c>
    </row>
    <row r="1627" customFormat="false" ht="15" hidden="false" customHeight="false" outlineLevel="0" collapsed="false">
      <c r="A1627" s="1" t="s">
        <v>1634</v>
      </c>
      <c r="B1627" s="5" t="n">
        <v>32.4077</v>
      </c>
      <c r="C1627" s="5" t="n">
        <v>12.2838</v>
      </c>
      <c r="D1627" s="1" t="n">
        <f aca="false">LN(B1627/B1626)</f>
        <v>-0.0145536758291248</v>
      </c>
      <c r="E1627" s="1" t="n">
        <f aca="false">LN(C1627/C1626)</f>
        <v>-8.14077019832521E-006</v>
      </c>
      <c r="F1627" s="1" t="n">
        <f aca="false">B1627/B1626-1</f>
        <v>-0.0144482829929327</v>
      </c>
      <c r="G1627" s="1" t="n">
        <f aca="false">C1627/C1626-1</f>
        <v>-8.14073706234542E-006</v>
      </c>
    </row>
    <row r="1628" customFormat="false" ht="15" hidden="false" customHeight="false" outlineLevel="0" collapsed="false">
      <c r="A1628" s="1" t="s">
        <v>1635</v>
      </c>
      <c r="B1628" s="5" t="n">
        <v>32.6353</v>
      </c>
      <c r="C1628" s="5" t="n">
        <v>12.2838</v>
      </c>
      <c r="D1628" s="1" t="n">
        <f aca="false">LN(B1628/B1627)</f>
        <v>0.00699847574562094</v>
      </c>
      <c r="E1628" s="1" t="n">
        <f aca="false">LN(C1628/C1627)</f>
        <v>0</v>
      </c>
      <c r="F1628" s="1" t="n">
        <f aca="false">B1628/B1627-1</f>
        <v>0.00702302230642715</v>
      </c>
      <c r="G1628" s="1" t="n">
        <f aca="false">C1628/C1627-1</f>
        <v>0</v>
      </c>
    </row>
    <row r="1629" customFormat="false" ht="15" hidden="false" customHeight="false" outlineLevel="0" collapsed="false">
      <c r="A1629" s="1" t="s">
        <v>1636</v>
      </c>
      <c r="B1629" s="5" t="n">
        <v>32.7035</v>
      </c>
      <c r="C1629" s="5" t="n">
        <v>12.2842</v>
      </c>
      <c r="D1629" s="1" t="n">
        <f aca="false">LN(B1629/B1628)</f>
        <v>0.00208758118508243</v>
      </c>
      <c r="E1629" s="1" t="n">
        <f aca="false">LN(C1629/C1628)</f>
        <v>3.25626831680773E-005</v>
      </c>
      <c r="F1629" s="1" t="n">
        <f aca="false">B1629/B1628-1</f>
        <v>0.00208976169975439</v>
      </c>
      <c r="G1629" s="1" t="n">
        <f aca="false">C1629/C1628-1</f>
        <v>3.25632133379994E-005</v>
      </c>
    </row>
    <row r="1630" customFormat="false" ht="15" hidden="false" customHeight="false" outlineLevel="0" collapsed="false">
      <c r="A1630" s="1" t="s">
        <v>1637</v>
      </c>
      <c r="B1630" s="5" t="n">
        <v>33.1145</v>
      </c>
      <c r="C1630" s="5" t="n">
        <v>12.284</v>
      </c>
      <c r="D1630" s="1" t="n">
        <f aca="false">LN(B1630/B1629)</f>
        <v>0.0124891471105126</v>
      </c>
      <c r="E1630" s="1" t="n">
        <f aca="false">LN(C1630/C1629)</f>
        <v>-1.62812090429185E-005</v>
      </c>
      <c r="F1630" s="1" t="n">
        <f aca="false">B1630/B1629-1</f>
        <v>0.0125674621982357</v>
      </c>
      <c r="G1630" s="1" t="n">
        <f aca="false">C1630/C1629-1</f>
        <v>-1.62810765047539E-005</v>
      </c>
    </row>
    <row r="1631" customFormat="false" ht="15" hidden="false" customHeight="false" outlineLevel="0" collapsed="false">
      <c r="A1631" s="1" t="s">
        <v>1638</v>
      </c>
      <c r="B1631" s="5" t="n">
        <v>32.9206</v>
      </c>
      <c r="C1631" s="5" t="n">
        <v>12.2841</v>
      </c>
      <c r="D1631" s="1" t="n">
        <f aca="false">LN(B1631/B1630)</f>
        <v>-0.00587265127996514</v>
      </c>
      <c r="E1631" s="1" t="n">
        <f aca="false">LN(C1631/C1630)</f>
        <v>8.14063765616506E-006</v>
      </c>
      <c r="F1631" s="1" t="n">
        <f aca="false">B1631/B1630-1</f>
        <v>-0.00585544096996782</v>
      </c>
      <c r="G1631" s="1" t="n">
        <f aca="false">C1631/C1630-1</f>
        <v>8.1406707912457E-006</v>
      </c>
    </row>
    <row r="1632" customFormat="false" ht="15" hidden="false" customHeight="false" outlineLevel="0" collapsed="false">
      <c r="A1632" s="1" t="s">
        <v>1639</v>
      </c>
      <c r="B1632" s="5" t="n">
        <v>32.8171</v>
      </c>
      <c r="C1632" s="5" t="n">
        <v>12.2838</v>
      </c>
      <c r="D1632" s="1" t="n">
        <f aca="false">LN(B1632/B1631)</f>
        <v>-0.0031488806429411</v>
      </c>
      <c r="E1632" s="1" t="n">
        <f aca="false">LN(C1632/C1631)</f>
        <v>-2.44221117813349E-005</v>
      </c>
      <c r="F1632" s="1" t="n">
        <f aca="false">B1632/B1631-1</f>
        <v>-0.0031439281179565</v>
      </c>
      <c r="G1632" s="1" t="n">
        <f aca="false">C1632/C1631-1</f>
        <v>-2.44218135639906E-005</v>
      </c>
    </row>
    <row r="1633" customFormat="false" ht="15" hidden="false" customHeight="false" outlineLevel="0" collapsed="false">
      <c r="A1633" s="1" t="s">
        <v>1640</v>
      </c>
      <c r="B1633" s="5" t="n">
        <v>32.8722</v>
      </c>
      <c r="C1633" s="5" t="n">
        <v>12.284</v>
      </c>
      <c r="D1633" s="1" t="n">
        <f aca="false">LN(B1633/B1632)</f>
        <v>0.001677594765736</v>
      </c>
      <c r="E1633" s="1" t="n">
        <f aca="false">LN(C1633/C1632)</f>
        <v>1.62814741251915E-005</v>
      </c>
      <c r="F1633" s="1" t="n">
        <f aca="false">B1633/B1632-1</f>
        <v>0.00167900271504773</v>
      </c>
      <c r="G1633" s="1" t="n">
        <f aca="false">C1633/C1632-1</f>
        <v>1.62816066691107E-005</v>
      </c>
    </row>
    <row r="1634" customFormat="false" ht="15" hidden="false" customHeight="false" outlineLevel="0" collapsed="false">
      <c r="A1634" s="1" t="s">
        <v>1641</v>
      </c>
      <c r="B1634" s="5" t="n">
        <v>32.6197</v>
      </c>
      <c r="C1634" s="5" t="n">
        <v>12.2838</v>
      </c>
      <c r="D1634" s="1" t="n">
        <f aca="false">LN(B1634/B1633)</f>
        <v>-0.00771091542919767</v>
      </c>
      <c r="E1634" s="1" t="n">
        <f aca="false">LN(C1634/C1633)</f>
        <v>-1.62814741250829E-005</v>
      </c>
      <c r="F1634" s="1" t="n">
        <f aca="false">B1634/B1633-1</f>
        <v>-0.00768126258662327</v>
      </c>
      <c r="G1634" s="1" t="n">
        <f aca="false">C1634/C1633-1</f>
        <v>-1.62813415826024E-005</v>
      </c>
    </row>
    <row r="1635" customFormat="false" ht="15" hidden="false" customHeight="false" outlineLevel="0" collapsed="false">
      <c r="A1635" s="1" t="s">
        <v>1642</v>
      </c>
      <c r="B1635" s="5" t="n">
        <v>32.6406</v>
      </c>
      <c r="C1635" s="5" t="n">
        <v>12.2839</v>
      </c>
      <c r="D1635" s="1" t="n">
        <f aca="false">LN(B1635/B1634)</f>
        <v>0.000640511941089053</v>
      </c>
      <c r="E1635" s="1" t="n">
        <f aca="false">LN(C1635/C1634)</f>
        <v>8.14077019839573E-006</v>
      </c>
      <c r="F1635" s="1" t="n">
        <f aca="false">B1635/B1634-1</f>
        <v>0.000640717112665001</v>
      </c>
      <c r="G1635" s="1" t="n">
        <f aca="false">C1635/C1634-1</f>
        <v>8.14080333455536E-006</v>
      </c>
    </row>
    <row r="1636" customFormat="false" ht="15" hidden="false" customHeight="false" outlineLevel="0" collapsed="false">
      <c r="A1636" s="1" t="s">
        <v>1643</v>
      </c>
      <c r="B1636" s="5" t="n">
        <v>32.848</v>
      </c>
      <c r="C1636" s="5" t="n">
        <v>12.2837</v>
      </c>
      <c r="D1636" s="1" t="n">
        <f aca="false">LN(B1636/B1635)</f>
        <v>0.00633394799668359</v>
      </c>
      <c r="E1636" s="1" t="n">
        <f aca="false">LN(C1636/C1635)</f>
        <v>-1.62816066692183E-005</v>
      </c>
      <c r="F1636" s="1" t="n">
        <f aca="false">B1636/B1635-1</f>
        <v>0.00635404986427934</v>
      </c>
      <c r="G1636" s="1" t="n">
        <f aca="false">C1636/C1635-1</f>
        <v>-1.62814741245798E-005</v>
      </c>
    </row>
    <row r="1637" customFormat="false" ht="15" hidden="false" customHeight="false" outlineLevel="0" collapsed="false">
      <c r="A1637" s="1" t="s">
        <v>1644</v>
      </c>
      <c r="B1637" s="5" t="n">
        <v>33.104</v>
      </c>
      <c r="C1637" s="5" t="n">
        <v>12.2838</v>
      </c>
      <c r="D1637" s="1" t="n">
        <f aca="false">LN(B1637/B1636)</f>
        <v>0.00776326072660947</v>
      </c>
      <c r="E1637" s="1" t="n">
        <f aca="false">LN(C1637/C1636)</f>
        <v>8.14083647106536E-006</v>
      </c>
      <c r="F1637" s="1" t="n">
        <f aca="false">B1637/B1636-1</f>
        <v>0.00779347296639066</v>
      </c>
      <c r="G1637" s="1" t="n">
        <f aca="false">C1637/C1636-1</f>
        <v>8.1408696077645E-006</v>
      </c>
    </row>
    <row r="1638" customFormat="false" ht="15" hidden="false" customHeight="false" outlineLevel="0" collapsed="false">
      <c r="A1638" s="1" t="s">
        <v>1645</v>
      </c>
      <c r="B1638" s="5" t="n">
        <v>32.915</v>
      </c>
      <c r="C1638" s="5" t="n">
        <v>12.284</v>
      </c>
      <c r="D1638" s="1" t="n">
        <f aca="false">LN(B1638/B1637)</f>
        <v>-0.00572564008334715</v>
      </c>
      <c r="E1638" s="1" t="n">
        <f aca="false">LN(C1638/C1637)</f>
        <v>1.62814741251915E-005</v>
      </c>
      <c r="F1638" s="1" t="n">
        <f aca="false">B1638/B1637-1</f>
        <v>-0.00570927984533587</v>
      </c>
      <c r="G1638" s="1" t="n">
        <f aca="false">C1638/C1637-1</f>
        <v>1.62816066691107E-005</v>
      </c>
    </row>
    <row r="1639" customFormat="false" ht="15" hidden="false" customHeight="false" outlineLevel="0" collapsed="false">
      <c r="A1639" s="1" t="s">
        <v>1646</v>
      </c>
      <c r="B1639" s="5" t="n">
        <v>33.2114</v>
      </c>
      <c r="C1639" s="5" t="n">
        <v>12.2838</v>
      </c>
      <c r="D1639" s="1" t="n">
        <f aca="false">LN(B1639/B1638)</f>
        <v>0.00896470955739212</v>
      </c>
      <c r="E1639" s="1" t="n">
        <f aca="false">LN(C1639/C1638)</f>
        <v>-1.62814741250829E-005</v>
      </c>
      <c r="F1639" s="1" t="n">
        <f aca="false">B1639/B1638-1</f>
        <v>0.00900501291204603</v>
      </c>
      <c r="G1639" s="1" t="n">
        <f aca="false">C1639/C1638-1</f>
        <v>-1.62813415826024E-005</v>
      </c>
    </row>
    <row r="1640" customFormat="false" ht="15" hidden="false" customHeight="false" outlineLevel="0" collapsed="false">
      <c r="A1640" s="1" t="s">
        <v>1647</v>
      </c>
      <c r="B1640" s="5" t="n">
        <v>33.3318</v>
      </c>
      <c r="C1640" s="5" t="n">
        <v>12.2838</v>
      </c>
      <c r="D1640" s="1" t="n">
        <f aca="false">LN(B1640/B1639)</f>
        <v>0.00361870578471715</v>
      </c>
      <c r="E1640" s="1" t="n">
        <f aca="false">LN(C1640/C1639)</f>
        <v>0</v>
      </c>
      <c r="F1640" s="1" t="n">
        <f aca="false">B1640/B1639-1</f>
        <v>0.00362526120548989</v>
      </c>
      <c r="G1640" s="1" t="n">
        <f aca="false">C1640/C1639-1</f>
        <v>0</v>
      </c>
    </row>
    <row r="1641" customFormat="false" ht="15" hidden="false" customHeight="false" outlineLevel="0" collapsed="false">
      <c r="A1641" s="1" t="s">
        <v>1648</v>
      </c>
      <c r="B1641" s="5" t="n">
        <v>33.2207</v>
      </c>
      <c r="C1641" s="5" t="n">
        <v>12.2835</v>
      </c>
      <c r="D1641" s="1" t="n">
        <f aca="false">LN(B1641/B1640)</f>
        <v>-0.00333872065521624</v>
      </c>
      <c r="E1641" s="1" t="n">
        <f aca="false">LN(C1641/C1640)</f>
        <v>-2.44227082352439E-005</v>
      </c>
      <c r="F1641" s="1" t="n">
        <f aca="false">B1641/B1640-1</f>
        <v>-0.00333315332505302</v>
      </c>
      <c r="G1641" s="1" t="n">
        <f aca="false">C1641/C1640-1</f>
        <v>-2.4422410003333E-005</v>
      </c>
    </row>
    <row r="1642" customFormat="false" ht="15" hidden="false" customHeight="false" outlineLevel="0" collapsed="false">
      <c r="A1642" s="1" t="s">
        <v>1649</v>
      </c>
      <c r="B1642" s="5" t="n">
        <v>33.4728</v>
      </c>
      <c r="C1642" s="5" t="n">
        <v>12.2842</v>
      </c>
      <c r="D1642" s="1" t="n">
        <f aca="false">LN(B1642/B1641)</f>
        <v>0.00755999312372419</v>
      </c>
      <c r="E1642" s="1" t="n">
        <f aca="false">LN(C1642/C1641)</f>
        <v>5.69853914032251E-005</v>
      </c>
      <c r="F1642" s="1" t="n">
        <f aca="false">B1642/B1641-1</f>
        <v>0.0075886420213902</v>
      </c>
      <c r="G1642" s="1" t="n">
        <f aca="false">C1642/C1641-1</f>
        <v>5.6987015101484E-005</v>
      </c>
    </row>
    <row r="1643" customFormat="false" ht="15" hidden="false" customHeight="false" outlineLevel="0" collapsed="false">
      <c r="A1643" s="1" t="s">
        <v>1650</v>
      </c>
      <c r="B1643" s="5" t="n">
        <v>33.3917</v>
      </c>
      <c r="C1643" s="5" t="n">
        <v>12.2841</v>
      </c>
      <c r="D1643" s="1" t="n">
        <f aca="false">LN(B1643/B1642)</f>
        <v>-0.00242580262379978</v>
      </c>
      <c r="E1643" s="1" t="n">
        <f aca="false">LN(C1643/C1642)</f>
        <v>-8.14057138673827E-006</v>
      </c>
      <c r="F1643" s="1" t="n">
        <f aca="false">B1643/B1642-1</f>
        <v>-0.0024228627422862</v>
      </c>
      <c r="G1643" s="1" t="n">
        <f aca="false">C1643/C1642-1</f>
        <v>-8.14053825237693E-006</v>
      </c>
    </row>
    <row r="1644" customFormat="false" ht="15" hidden="false" customHeight="false" outlineLevel="0" collapsed="false">
      <c r="A1644" s="1" t="s">
        <v>1651</v>
      </c>
      <c r="B1644" s="5" t="n">
        <v>33.3964</v>
      </c>
      <c r="C1644" s="5" t="n">
        <v>12.2838</v>
      </c>
      <c r="D1644" s="1" t="n">
        <f aca="false">LN(B1644/B1643)</f>
        <v>0.00014074363570026</v>
      </c>
      <c r="E1644" s="1" t="n">
        <f aca="false">LN(C1644/C1643)</f>
        <v>-2.44221117813349E-005</v>
      </c>
      <c r="F1644" s="1" t="n">
        <f aca="false">B1644/B1643-1</f>
        <v>0.000140753540550431</v>
      </c>
      <c r="G1644" s="1" t="n">
        <f aca="false">C1644/C1643-1</f>
        <v>-2.44218135639906E-005</v>
      </c>
    </row>
    <row r="1645" customFormat="false" ht="15" hidden="false" customHeight="false" outlineLevel="0" collapsed="false">
      <c r="A1645" s="1" t="s">
        <v>1652</v>
      </c>
      <c r="B1645" s="5" t="n">
        <v>33.5165</v>
      </c>
      <c r="C1645" s="5" t="n">
        <v>12.2836</v>
      </c>
      <c r="D1645" s="1" t="n">
        <f aca="false">LN(B1645/B1644)</f>
        <v>0.0035897451454072</v>
      </c>
      <c r="E1645" s="1" t="n">
        <f aca="false">LN(C1645/C1644)</f>
        <v>-1.62817392156852E-005</v>
      </c>
      <c r="F1645" s="1" t="n">
        <f aca="false">B1645/B1644-1</f>
        <v>0.00359619599717331</v>
      </c>
      <c r="G1645" s="1" t="n">
        <f aca="false">C1645/C1644-1</f>
        <v>-1.62816066688887E-005</v>
      </c>
    </row>
    <row r="1646" customFormat="false" ht="15" hidden="false" customHeight="false" outlineLevel="0" collapsed="false">
      <c r="A1646" s="1" t="s">
        <v>1653</v>
      </c>
      <c r="B1646" s="5" t="n">
        <v>33.2115</v>
      </c>
      <c r="C1646" s="5" t="n">
        <v>12.2838</v>
      </c>
      <c r="D1646" s="1" t="n">
        <f aca="false">LN(B1646/B1645)</f>
        <v>-0.00914165340077558</v>
      </c>
      <c r="E1646" s="1" t="n">
        <f aca="false">LN(C1646/C1645)</f>
        <v>1.62817392157104E-005</v>
      </c>
      <c r="F1646" s="1" t="n">
        <f aca="false">B1646/B1645-1</f>
        <v>-0.0090999955245924</v>
      </c>
      <c r="G1646" s="1" t="n">
        <f aca="false">C1646/C1645-1</f>
        <v>1.62818717639457E-005</v>
      </c>
    </row>
    <row r="1647" customFormat="false" ht="15" hidden="false" customHeight="false" outlineLevel="0" collapsed="false">
      <c r="A1647" s="1" t="s">
        <v>1654</v>
      </c>
      <c r="B1647" s="5" t="n">
        <v>33.3401</v>
      </c>
      <c r="C1647" s="5" t="n">
        <v>12.2837</v>
      </c>
      <c r="D1647" s="1" t="n">
        <f aca="false">LN(B1647/B1646)</f>
        <v>0.00386467523128015</v>
      </c>
      <c r="E1647" s="1" t="n">
        <f aca="false">LN(C1647/C1646)</f>
        <v>-8.14083647096364E-006</v>
      </c>
      <c r="F1647" s="1" t="n">
        <f aca="false">B1647/B1646-1</f>
        <v>0.00387215271818486</v>
      </c>
      <c r="G1647" s="1" t="n">
        <f aca="false">C1647/C1646-1</f>
        <v>-8.14080333444434E-006</v>
      </c>
    </row>
    <row r="1648" customFormat="false" ht="15" hidden="false" customHeight="false" outlineLevel="0" collapsed="false">
      <c r="A1648" s="1" t="s">
        <v>1655</v>
      </c>
      <c r="B1648" s="5" t="n">
        <v>33.4387</v>
      </c>
      <c r="C1648" s="5" t="n">
        <v>12.284</v>
      </c>
      <c r="D1648" s="1" t="n">
        <f aca="false">LN(B1648/B1647)</f>
        <v>0.00295303514446923</v>
      </c>
      <c r="E1648" s="1" t="n">
        <f aca="false">LN(C1648/C1647)</f>
        <v>2.44223105960162E-005</v>
      </c>
      <c r="F1648" s="1" t="n">
        <f aca="false">B1648/B1647-1</f>
        <v>0.00295739964787134</v>
      </c>
      <c r="G1648" s="1" t="n">
        <f aca="false">C1648/C1647-1</f>
        <v>2.44226088230715E-005</v>
      </c>
    </row>
    <row r="1649" customFormat="false" ht="15" hidden="false" customHeight="false" outlineLevel="0" collapsed="false">
      <c r="A1649" s="1" t="s">
        <v>1656</v>
      </c>
      <c r="B1649" s="5" t="n">
        <v>33.2343</v>
      </c>
      <c r="C1649" s="5" t="n">
        <v>12.284</v>
      </c>
      <c r="D1649" s="1" t="n">
        <f aca="false">LN(B1649/B1648)</f>
        <v>-0.00613143672429699</v>
      </c>
      <c r="E1649" s="1" t="n">
        <f aca="false">LN(C1649/C1648)</f>
        <v>0</v>
      </c>
      <c r="F1649" s="1" t="n">
        <f aca="false">B1649/B1648-1</f>
        <v>-0.00611267782539393</v>
      </c>
      <c r="G1649" s="1" t="n">
        <f aca="false">C1649/C1648-1</f>
        <v>0</v>
      </c>
    </row>
    <row r="1650" customFormat="false" ht="15" hidden="false" customHeight="false" outlineLevel="0" collapsed="false">
      <c r="A1650" s="1" t="s">
        <v>1657</v>
      </c>
      <c r="B1650" s="5" t="n">
        <v>33.2751</v>
      </c>
      <c r="C1650" s="5" t="n">
        <v>12.2841</v>
      </c>
      <c r="D1650" s="1" t="n">
        <f aca="false">LN(B1650/B1649)</f>
        <v>0.0012268943974211</v>
      </c>
      <c r="E1650" s="1" t="n">
        <f aca="false">LN(C1650/C1649)</f>
        <v>8.14063765616506E-006</v>
      </c>
      <c r="F1650" s="1" t="n">
        <f aca="false">B1650/B1649-1</f>
        <v>0.00122764734024794</v>
      </c>
      <c r="G1650" s="1" t="n">
        <f aca="false">C1650/C1649-1</f>
        <v>8.1406707912457E-006</v>
      </c>
    </row>
    <row r="1651" customFormat="false" ht="15" hidden="false" customHeight="false" outlineLevel="0" collapsed="false">
      <c r="A1651" s="1" t="s">
        <v>1658</v>
      </c>
      <c r="B1651" s="5" t="n">
        <v>33.0484</v>
      </c>
      <c r="C1651" s="5" t="n">
        <v>12.2837</v>
      </c>
      <c r="D1651" s="1" t="n">
        <f aca="false">LN(B1651/B1650)</f>
        <v>-0.00683621590777302</v>
      </c>
      <c r="E1651" s="1" t="n">
        <f aca="false">LN(C1651/C1650)</f>
        <v>-3.25629482522917E-005</v>
      </c>
      <c r="F1651" s="1" t="n">
        <f aca="false">B1651/B1650-1</f>
        <v>-0.00681290214003871</v>
      </c>
      <c r="G1651" s="1" t="n">
        <f aca="false">C1651/C1650-1</f>
        <v>-3.25624180852469E-005</v>
      </c>
    </row>
    <row r="1652" customFormat="false" ht="15" hidden="false" customHeight="false" outlineLevel="0" collapsed="false">
      <c r="A1652" s="1" t="s">
        <v>1659</v>
      </c>
      <c r="B1652" s="5" t="n">
        <v>33.0262</v>
      </c>
      <c r="C1652" s="5" t="n">
        <v>12.2836</v>
      </c>
      <c r="D1652" s="1" t="n">
        <f aca="false">LN(B1652/B1651)</f>
        <v>-0.000671967770833242</v>
      </c>
      <c r="E1652" s="1" t="n">
        <f aca="false">LN(C1652/C1651)</f>
        <v>-8.14090274471231E-006</v>
      </c>
      <c r="F1652" s="1" t="n">
        <f aca="false">B1652/B1651-1</f>
        <v>-0.00067174205105236</v>
      </c>
      <c r="G1652" s="1" t="n">
        <f aca="false">C1652/C1651-1</f>
        <v>-8.14086960765348E-006</v>
      </c>
    </row>
    <row r="1653" customFormat="false" ht="15" hidden="false" customHeight="false" outlineLevel="0" collapsed="false">
      <c r="A1653" s="1" t="s">
        <v>1660</v>
      </c>
      <c r="B1653" s="5" t="n">
        <v>32.9582</v>
      </c>
      <c r="C1653" s="5" t="n">
        <v>12.2839</v>
      </c>
      <c r="D1653" s="1" t="n">
        <f aca="false">LN(B1653/B1652)</f>
        <v>-0.00206109395774207</v>
      </c>
      <c r="E1653" s="1" t="n">
        <f aca="false">LN(C1653/C1652)</f>
        <v>2.44225094138966E-005</v>
      </c>
      <c r="F1653" s="1" t="n">
        <f aca="false">B1653/B1652-1</f>
        <v>-0.00205897136213085</v>
      </c>
      <c r="G1653" s="1" t="n">
        <f aca="false">C1653/C1652-1</f>
        <v>2.44228076458075E-005</v>
      </c>
    </row>
    <row r="1654" customFormat="false" ht="15" hidden="false" customHeight="false" outlineLevel="0" collapsed="false">
      <c r="A1654" s="1" t="s">
        <v>1661</v>
      </c>
      <c r="B1654" s="5" t="n">
        <v>32.8136</v>
      </c>
      <c r="C1654" s="5" t="n">
        <v>12.2843</v>
      </c>
      <c r="D1654" s="1" t="n">
        <f aca="false">LN(B1654/B1653)</f>
        <v>-0.00439702830005899</v>
      </c>
      <c r="E1654" s="1" t="n">
        <f aca="false">LN(C1654/C1653)</f>
        <v>3.25624180880914E-005</v>
      </c>
      <c r="F1654" s="1" t="n">
        <f aca="false">B1654/B1653-1</f>
        <v>-0.0043873755241487</v>
      </c>
      <c r="G1654" s="1" t="n">
        <f aca="false">C1654/C1653-1</f>
        <v>3.25629482493817E-005</v>
      </c>
    </row>
    <row r="1655" customFormat="false" ht="15" hidden="false" customHeight="false" outlineLevel="0" collapsed="false">
      <c r="A1655" s="1" t="s">
        <v>1662</v>
      </c>
      <c r="B1655" s="5" t="n">
        <v>32.9715</v>
      </c>
      <c r="C1655" s="5" t="n">
        <v>12.2845</v>
      </c>
      <c r="D1655" s="1" t="n">
        <f aca="false">LN(B1655/B1654)</f>
        <v>0.00480048835464492</v>
      </c>
      <c r="E1655" s="1" t="n">
        <f aca="false">LN(C1655/C1654)</f>
        <v>1.6280811435864E-005</v>
      </c>
      <c r="F1655" s="1" t="n">
        <f aca="false">B1655/B1654-1</f>
        <v>0.00481202915864154</v>
      </c>
      <c r="G1655" s="1" t="n">
        <f aca="false">C1655/C1654-1</f>
        <v>1.62809439689937E-005</v>
      </c>
    </row>
    <row r="1656" customFormat="false" ht="15" hidden="false" customHeight="false" outlineLevel="0" collapsed="false">
      <c r="A1656" s="1" t="s">
        <v>1663</v>
      </c>
      <c r="B1656" s="5" t="n">
        <v>32.887</v>
      </c>
      <c r="C1656" s="5" t="n">
        <v>12.2847</v>
      </c>
      <c r="D1656" s="1" t="n">
        <f aca="false">LN(B1656/B1655)</f>
        <v>-0.00256610904799761</v>
      </c>
      <c r="E1656" s="1" t="n">
        <f aca="false">LN(C1656/C1655)</f>
        <v>1.62805463755425E-005</v>
      </c>
      <c r="F1656" s="1" t="n">
        <f aca="false">B1656/B1655-1</f>
        <v>-0.00256281940463732</v>
      </c>
      <c r="G1656" s="1" t="n">
        <f aca="false">C1656/C1655-1</f>
        <v>1.62806789043568E-005</v>
      </c>
    </row>
    <row r="1657" customFormat="false" ht="15" hidden="false" customHeight="false" outlineLevel="0" collapsed="false">
      <c r="A1657" s="1" t="s">
        <v>1664</v>
      </c>
      <c r="B1657" s="5" t="n">
        <v>33.1377</v>
      </c>
      <c r="C1657" s="5" t="n">
        <v>12.2848</v>
      </c>
      <c r="D1657" s="1" t="n">
        <f aca="false">LN(B1657/B1656)</f>
        <v>0.00759416414914514</v>
      </c>
      <c r="E1657" s="1" t="n">
        <f aca="false">LN(C1657/C1656)</f>
        <v>8.14017379277421E-006</v>
      </c>
      <c r="F1657" s="1" t="n">
        <f aca="false">B1657/B1656-1</f>
        <v>0.00762307294675724</v>
      </c>
      <c r="G1657" s="1" t="n">
        <f aca="false">C1657/C1656-1</f>
        <v>8.1402069240788E-006</v>
      </c>
    </row>
    <row r="1658" customFormat="false" ht="15" hidden="false" customHeight="false" outlineLevel="0" collapsed="false">
      <c r="A1658" s="1" t="s">
        <v>1665</v>
      </c>
      <c r="B1658" s="5" t="n">
        <v>33.1346</v>
      </c>
      <c r="C1658" s="5" t="n">
        <v>12.2849</v>
      </c>
      <c r="D1658" s="1" t="n">
        <f aca="false">LN(B1658/B1657)</f>
        <v>-9.35534152960951E-005</v>
      </c>
      <c r="E1658" s="1" t="n">
        <f aca="false">LN(C1658/C1657)</f>
        <v>8.14010753076259E-006</v>
      </c>
      <c r="F1658" s="1" t="n">
        <f aca="false">B1658/B1657-1</f>
        <v>-9.35490393118021E-005</v>
      </c>
      <c r="G1658" s="1" t="n">
        <f aca="false">C1658/C1657-1</f>
        <v>8.1401406615278E-006</v>
      </c>
    </row>
    <row r="1659" customFormat="false" ht="15" hidden="false" customHeight="false" outlineLevel="0" collapsed="false">
      <c r="A1659" s="1" t="s">
        <v>1666</v>
      </c>
      <c r="B1659" s="5" t="n">
        <v>33.139</v>
      </c>
      <c r="C1659" s="5" t="n">
        <v>12.2851</v>
      </c>
      <c r="D1659" s="1" t="n">
        <f aca="false">LN(B1659/B1658)</f>
        <v>0.000132782888102379</v>
      </c>
      <c r="E1659" s="1" t="n">
        <f aca="false">LN(C1659/C1658)</f>
        <v>1.62800162804339E-005</v>
      </c>
      <c r="F1659" s="1" t="n">
        <f aca="false">B1659/B1658-1</f>
        <v>0.000132791704140267</v>
      </c>
      <c r="G1659" s="1" t="n">
        <f aca="false">C1659/C1658-1</f>
        <v>1.62801488006181E-005</v>
      </c>
    </row>
    <row r="1660" customFormat="false" ht="15" hidden="false" customHeight="false" outlineLevel="0" collapsed="false">
      <c r="A1660" s="1" t="s">
        <v>1667</v>
      </c>
      <c r="B1660" s="5" t="n">
        <v>33.1487</v>
      </c>
      <c r="C1660" s="5" t="n">
        <v>12.2851</v>
      </c>
      <c r="D1660" s="1" t="n">
        <f aca="false">LN(B1660/B1659)</f>
        <v>0.000292663648587219</v>
      </c>
      <c r="E1660" s="1" t="n">
        <f aca="false">LN(C1660/C1659)</f>
        <v>0</v>
      </c>
      <c r="F1660" s="1" t="n">
        <f aca="false">B1660/B1659-1</f>
        <v>0.000292706478770999</v>
      </c>
      <c r="G1660" s="1" t="n">
        <f aca="false">C1660/C1659-1</f>
        <v>0</v>
      </c>
    </row>
    <row r="1661" customFormat="false" ht="15" hidden="false" customHeight="false" outlineLevel="0" collapsed="false">
      <c r="A1661" s="1" t="s">
        <v>1668</v>
      </c>
      <c r="B1661" s="5" t="n">
        <v>33.106</v>
      </c>
      <c r="C1661" s="5" t="n">
        <v>12.2851</v>
      </c>
      <c r="D1661" s="1" t="n">
        <f aca="false">LN(B1661/B1660)</f>
        <v>-0.00128896533866802</v>
      </c>
      <c r="E1661" s="1" t="n">
        <f aca="false">LN(C1661/C1660)</f>
        <v>0</v>
      </c>
      <c r="F1661" s="1" t="n">
        <f aca="false">B1661/B1660-1</f>
        <v>-0.00128813497965219</v>
      </c>
      <c r="G1661" s="1" t="n">
        <f aca="false">C1661/C1660-1</f>
        <v>0</v>
      </c>
    </row>
    <row r="1662" customFormat="false" ht="15" hidden="false" customHeight="false" outlineLevel="0" collapsed="false">
      <c r="A1662" s="1" t="s">
        <v>1669</v>
      </c>
      <c r="B1662" s="5" t="n">
        <v>33.1258</v>
      </c>
      <c r="C1662" s="5" t="n">
        <v>12.2851</v>
      </c>
      <c r="D1662" s="1" t="n">
        <f aca="false">LN(B1662/B1661)</f>
        <v>0.000597900120179307</v>
      </c>
      <c r="E1662" s="1" t="n">
        <f aca="false">LN(C1662/C1661)</f>
        <v>0</v>
      </c>
      <c r="F1662" s="1" t="n">
        <f aca="false">B1662/B1661-1</f>
        <v>0.000598078898084831</v>
      </c>
      <c r="G1662" s="1" t="n">
        <f aca="false">C1662/C1661-1</f>
        <v>0</v>
      </c>
    </row>
    <row r="1663" customFormat="false" ht="15" hidden="false" customHeight="false" outlineLevel="0" collapsed="false">
      <c r="A1663" s="1" t="s">
        <v>1670</v>
      </c>
      <c r="B1663" s="5" t="n">
        <v>33.1153</v>
      </c>
      <c r="C1663" s="5" t="n">
        <v>12.2856</v>
      </c>
      <c r="D1663" s="1" t="n">
        <f aca="false">LN(B1663/B1662)</f>
        <v>-0.000317023723577704</v>
      </c>
      <c r="E1663" s="1" t="n">
        <f aca="false">LN(C1663/C1662)</f>
        <v>4.0698881193534E-005</v>
      </c>
      <c r="F1663" s="1" t="n">
        <f aca="false">B1663/B1662-1</f>
        <v>-0.000316973476866989</v>
      </c>
      <c r="G1663" s="1" t="n">
        <f aca="false">C1663/C1662-1</f>
        <v>4.0699709404235E-005</v>
      </c>
    </row>
    <row r="1664" customFormat="false" ht="15" hidden="false" customHeight="false" outlineLevel="0" collapsed="false">
      <c r="A1664" s="1" t="s">
        <v>1671</v>
      </c>
      <c r="B1664" s="5" t="n">
        <v>33.2642</v>
      </c>
      <c r="C1664" s="5" t="n">
        <v>12.2858</v>
      </c>
      <c r="D1664" s="1" t="n">
        <f aca="false">LN(B1664/B1663)</f>
        <v>0.00448633236901914</v>
      </c>
      <c r="E1664" s="1" t="n">
        <f aca="false">LN(C1664/C1663)</f>
        <v>1.62790886968702E-005</v>
      </c>
      <c r="F1664" s="1" t="n">
        <f aca="false">B1664/B1663-1</f>
        <v>0.00449641102451137</v>
      </c>
      <c r="G1664" s="1" t="n">
        <f aca="false">C1664/C1663-1</f>
        <v>1.62792212019536E-005</v>
      </c>
    </row>
    <row r="1665" customFormat="false" ht="15" hidden="false" customHeight="false" outlineLevel="0" collapsed="false">
      <c r="A1665" s="1" t="s">
        <v>1672</v>
      </c>
      <c r="B1665" s="5" t="n">
        <v>33.346</v>
      </c>
      <c r="C1665" s="5" t="n">
        <v>12.2857</v>
      </c>
      <c r="D1665" s="1" t="n">
        <f aca="false">LN(B1665/B1664)</f>
        <v>0.00245608153467235</v>
      </c>
      <c r="E1665" s="1" t="n">
        <f aca="false">LN(C1665/C1664)</f>
        <v>-8.13951122236755E-006</v>
      </c>
      <c r="F1665" s="1" t="n">
        <f aca="false">B1665/B1664-1</f>
        <v>0.00245910017376016</v>
      </c>
      <c r="G1665" s="1" t="n">
        <f aca="false">C1665/C1664-1</f>
        <v>-8.13947809663596E-006</v>
      </c>
    </row>
    <row r="1666" customFormat="false" ht="15" hidden="false" customHeight="false" outlineLevel="0" collapsed="false">
      <c r="A1666" s="1" t="s">
        <v>1673</v>
      </c>
      <c r="B1666" s="5" t="n">
        <v>33.3478</v>
      </c>
      <c r="C1666" s="5" t="n">
        <v>12.2857</v>
      </c>
      <c r="D1666" s="1" t="n">
        <f aca="false">LN(B1666/B1665)</f>
        <v>5.39780309546056E-005</v>
      </c>
      <c r="E1666" s="1" t="n">
        <f aca="false">LN(C1666/C1665)</f>
        <v>0</v>
      </c>
      <c r="F1666" s="1" t="n">
        <f aca="false">B1666/B1665-1</f>
        <v>5.39794877947308E-005</v>
      </c>
      <c r="G1666" s="1" t="n">
        <f aca="false">C1666/C1665-1</f>
        <v>0</v>
      </c>
    </row>
    <row r="1667" customFormat="false" ht="15" hidden="false" customHeight="false" outlineLevel="0" collapsed="false">
      <c r="A1667" s="1" t="s">
        <v>1674</v>
      </c>
      <c r="B1667" s="5" t="n">
        <v>33.4366</v>
      </c>
      <c r="C1667" s="5" t="n">
        <v>12.2858</v>
      </c>
      <c r="D1667" s="1" t="n">
        <f aca="false">LN(B1667/B1666)</f>
        <v>0.00265930523691422</v>
      </c>
      <c r="E1667" s="1" t="n">
        <f aca="false">LN(C1667/C1666)</f>
        <v>8.13951122239543E-006</v>
      </c>
      <c r="F1667" s="1" t="n">
        <f aca="false">B1667/B1666-1</f>
        <v>0.00266284432556274</v>
      </c>
      <c r="G1667" s="1" t="n">
        <f aca="false">C1667/C1666-1</f>
        <v>8.13954434830677E-006</v>
      </c>
    </row>
    <row r="1668" customFormat="false" ht="15" hidden="false" customHeight="false" outlineLevel="0" collapsed="false">
      <c r="A1668" s="1" t="s">
        <v>1675</v>
      </c>
      <c r="B1668" s="5" t="n">
        <v>33.2898</v>
      </c>
      <c r="C1668" s="5" t="n">
        <v>12.2858</v>
      </c>
      <c r="D1668" s="1" t="n">
        <f aca="false">LN(B1668/B1667)</f>
        <v>-0.00440006464740243</v>
      </c>
      <c r="E1668" s="1" t="n">
        <f aca="false">LN(C1668/C1667)</f>
        <v>0</v>
      </c>
      <c r="F1668" s="1" t="n">
        <f aca="false">B1668/B1667-1</f>
        <v>-0.00439039854530665</v>
      </c>
      <c r="G1668" s="1" t="n">
        <f aca="false">C1668/C1667-1</f>
        <v>0</v>
      </c>
    </row>
    <row r="1669" customFormat="false" ht="15" hidden="false" customHeight="false" outlineLevel="0" collapsed="false">
      <c r="A1669" s="1" t="s">
        <v>1676</v>
      </c>
      <c r="B1669" s="5" t="n">
        <v>33.4487</v>
      </c>
      <c r="C1669" s="5" t="n">
        <v>12.2858</v>
      </c>
      <c r="D1669" s="1" t="n">
        <f aca="false">LN(B1669/B1668)</f>
        <v>0.00476187808419664</v>
      </c>
      <c r="E1669" s="1" t="n">
        <f aca="false">LN(C1669/C1668)</f>
        <v>0</v>
      </c>
      <c r="F1669" s="1" t="n">
        <f aca="false">B1669/B1668-1</f>
        <v>0.00477323384339967</v>
      </c>
      <c r="G1669" s="1" t="n">
        <f aca="false">C1669/C1668-1</f>
        <v>0</v>
      </c>
    </row>
    <row r="1670" customFormat="false" ht="15" hidden="false" customHeight="false" outlineLevel="0" collapsed="false">
      <c r="A1670" s="1" t="s">
        <v>1677</v>
      </c>
      <c r="B1670" s="5" t="n">
        <v>33.3836</v>
      </c>
      <c r="C1670" s="5" t="n">
        <v>12.2858</v>
      </c>
      <c r="D1670" s="1" t="n">
        <f aca="false">LN(B1670/B1669)</f>
        <v>-0.00194816041314336</v>
      </c>
      <c r="E1670" s="1" t="n">
        <f aca="false">LN(C1670/C1669)</f>
        <v>0</v>
      </c>
      <c r="F1670" s="1" t="n">
        <f aca="false">B1670/B1669-1</f>
        <v>-0.00194626398036402</v>
      </c>
      <c r="G1670" s="1" t="n">
        <f aca="false">C1670/C1669-1</f>
        <v>0</v>
      </c>
    </row>
    <row r="1671" customFormat="false" ht="15" hidden="false" customHeight="false" outlineLevel="0" collapsed="false">
      <c r="A1671" s="1" t="s">
        <v>1678</v>
      </c>
      <c r="B1671" s="5" t="n">
        <v>33.4478</v>
      </c>
      <c r="C1671" s="5" t="n">
        <v>12.2859</v>
      </c>
      <c r="D1671" s="1" t="n">
        <f aca="false">LN(B1671/B1670)</f>
        <v>0.00192125317584228</v>
      </c>
      <c r="E1671" s="1" t="n">
        <f aca="false">LN(C1671/C1670)</f>
        <v>8.13944497126386E-006</v>
      </c>
      <c r="F1671" s="1" t="n">
        <f aca="false">B1671/B1670-1</f>
        <v>0.00192309996525242</v>
      </c>
      <c r="G1671" s="1" t="n">
        <f aca="false">C1671/C1670-1</f>
        <v>8.13947809663596E-006</v>
      </c>
    </row>
    <row r="1672" customFormat="false" ht="15" hidden="false" customHeight="false" outlineLevel="0" collapsed="false">
      <c r="A1672" s="1" t="s">
        <v>1679</v>
      </c>
      <c r="B1672" s="5" t="n">
        <v>33.3975</v>
      </c>
      <c r="C1672" s="5" t="n">
        <v>12.2862</v>
      </c>
      <c r="D1672" s="1" t="n">
        <f aca="false">LN(B1672/B1671)</f>
        <v>-0.00150496772379878</v>
      </c>
      <c r="E1672" s="1" t="n">
        <f aca="false">LN(C1672/C1671)</f>
        <v>2.44179374179657E-005</v>
      </c>
      <c r="F1672" s="1" t="n">
        <f aca="false">B1672/B1671-1</f>
        <v>-0.00150383582776747</v>
      </c>
      <c r="G1672" s="1" t="n">
        <f aca="false">C1672/C1671-1</f>
        <v>2.44182355382261E-005</v>
      </c>
    </row>
    <row r="1673" customFormat="false" ht="15" hidden="false" customHeight="false" outlineLevel="0" collapsed="false">
      <c r="A1673" s="1" t="s">
        <v>1680</v>
      </c>
      <c r="B1673" s="5" t="n">
        <v>32.5335</v>
      </c>
      <c r="C1673" s="5" t="n">
        <v>12.2866</v>
      </c>
      <c r="D1673" s="1" t="n">
        <f aca="false">LN(B1673/B1672)</f>
        <v>-0.0262107191931957</v>
      </c>
      <c r="E1673" s="1" t="n">
        <f aca="false">LN(C1673/C1672)</f>
        <v>3.25563224407369E-005</v>
      </c>
      <c r="F1673" s="1" t="n">
        <f aca="false">B1673/B1672-1</f>
        <v>-0.0258701998652595</v>
      </c>
      <c r="G1673" s="1" t="n">
        <f aca="false">C1673/C1672-1</f>
        <v>3.25568524035536E-005</v>
      </c>
    </row>
    <row r="1674" customFormat="false" ht="15" hidden="false" customHeight="false" outlineLevel="0" collapsed="false">
      <c r="A1674" s="1" t="s">
        <v>1681</v>
      </c>
      <c r="B1674" s="5" t="n">
        <v>32.0739</v>
      </c>
      <c r="C1674" s="5" t="n">
        <v>12.2872</v>
      </c>
      <c r="D1674" s="1" t="n">
        <f aca="false">LN(B1674/B1673)</f>
        <v>-0.0142277123969879</v>
      </c>
      <c r="E1674" s="1" t="n">
        <f aca="false">LN(C1674/C1673)</f>
        <v>4.88324964083349E-005</v>
      </c>
      <c r="F1674" s="1" t="n">
        <f aca="false">B1674/B1673-1</f>
        <v>-0.0141269768085203</v>
      </c>
      <c r="G1674" s="1" t="n">
        <f aca="false">C1674/C1673-1</f>
        <v>4.88336887340957E-005</v>
      </c>
    </row>
    <row r="1675" customFormat="false" ht="15" hidden="false" customHeight="false" outlineLevel="0" collapsed="false">
      <c r="A1675" s="1" t="s">
        <v>1682</v>
      </c>
      <c r="B1675" s="5" t="n">
        <v>31.6298</v>
      </c>
      <c r="C1675" s="5" t="n">
        <v>12.287</v>
      </c>
      <c r="D1675" s="1" t="n">
        <f aca="false">LN(B1675/B1674)</f>
        <v>-0.0139429011050506</v>
      </c>
      <c r="E1675" s="1" t="n">
        <f aca="false">LN(C1675/C1674)</f>
        <v>-1.62772338472038E-005</v>
      </c>
      <c r="F1675" s="1" t="n">
        <f aca="false">B1675/B1674-1</f>
        <v>-0.0138461490495388</v>
      </c>
      <c r="G1675" s="1" t="n">
        <f aca="false">C1675/C1674-1</f>
        <v>-1.62771013737517E-005</v>
      </c>
    </row>
    <row r="1676" customFormat="false" ht="15" hidden="false" customHeight="false" outlineLevel="0" collapsed="false">
      <c r="A1676" s="1" t="s">
        <v>1683</v>
      </c>
      <c r="B1676" s="5" t="n">
        <v>32.059</v>
      </c>
      <c r="C1676" s="5" t="n">
        <v>12.2864</v>
      </c>
      <c r="D1676" s="1" t="n">
        <f aca="false">LN(B1676/B1675)</f>
        <v>0.0134782409924379</v>
      </c>
      <c r="E1676" s="1" t="n">
        <f aca="false">LN(C1676/C1675)</f>
        <v>-4.88332912922055E-005</v>
      </c>
      <c r="F1676" s="1" t="n">
        <f aca="false">B1676/B1675-1</f>
        <v>0.0135694819442425</v>
      </c>
      <c r="G1676" s="1" t="n">
        <f aca="false">C1676/C1675-1</f>
        <v>-4.88320989664448E-005</v>
      </c>
    </row>
    <row r="1677" customFormat="false" ht="15" hidden="false" customHeight="false" outlineLevel="0" collapsed="false">
      <c r="A1677" s="1" t="s">
        <v>1684</v>
      </c>
      <c r="B1677" s="5" t="n">
        <v>32.0594</v>
      </c>
      <c r="C1677" s="5" t="n">
        <v>12.2861</v>
      </c>
      <c r="D1677" s="1" t="n">
        <f aca="false">LN(B1677/B1676)</f>
        <v>1.24769177023508E-005</v>
      </c>
      <c r="E1677" s="1" t="n">
        <f aca="false">LN(C1677/C1676)</f>
        <v>-2.44175399341468E-005</v>
      </c>
      <c r="F1677" s="1" t="n">
        <f aca="false">B1677/B1676-1</f>
        <v>1.24769955394122E-005</v>
      </c>
      <c r="G1677" s="1" t="n">
        <f aca="false">C1677/C1676-1</f>
        <v>-2.4417241828445E-005</v>
      </c>
    </row>
    <row r="1678" customFormat="false" ht="15" hidden="false" customHeight="false" outlineLevel="0" collapsed="false">
      <c r="A1678" s="1" t="s">
        <v>1685</v>
      </c>
      <c r="B1678" s="5" t="n">
        <v>31.9223</v>
      </c>
      <c r="C1678" s="5" t="n">
        <v>12.2868</v>
      </c>
      <c r="D1678" s="1" t="n">
        <f aca="false">LN(B1678/B1677)</f>
        <v>-0.00428560697313022</v>
      </c>
      <c r="E1678" s="1" t="n">
        <f aca="false">LN(C1678/C1677)</f>
        <v>5.69733324264233E-005</v>
      </c>
      <c r="F1678" s="1" t="n">
        <f aca="false">B1678/B1677-1</f>
        <v>-0.00427643686407098</v>
      </c>
      <c r="G1678" s="1" t="n">
        <f aca="false">C1678/C1677-1</f>
        <v>5.69749554375498E-005</v>
      </c>
    </row>
    <row r="1679" customFormat="false" ht="15" hidden="false" customHeight="false" outlineLevel="0" collapsed="false">
      <c r="A1679" s="1" t="s">
        <v>1686</v>
      </c>
      <c r="B1679" s="5" t="n">
        <v>32.3975</v>
      </c>
      <c r="C1679" s="5" t="n">
        <v>12.2873</v>
      </c>
      <c r="D1679" s="1" t="n">
        <f aca="false">LN(B1679/B1678)</f>
        <v>0.0147764342038267</v>
      </c>
      <c r="E1679" s="1" t="n">
        <f aca="false">LN(C1679/C1678)</f>
        <v>4.06932502163072E-005</v>
      </c>
      <c r="F1679" s="1" t="n">
        <f aca="false">B1679/B1678-1</f>
        <v>0.0148861454218525</v>
      </c>
      <c r="G1679" s="1" t="n">
        <f aca="false">C1679/C1678-1</f>
        <v>4.06940781978449E-005</v>
      </c>
    </row>
    <row r="1680" customFormat="false" ht="15" hidden="false" customHeight="false" outlineLevel="0" collapsed="false">
      <c r="A1680" s="1" t="s">
        <v>1687</v>
      </c>
      <c r="B1680" s="5" t="n">
        <v>32.6146</v>
      </c>
      <c r="C1680" s="5" t="n">
        <v>12.2875</v>
      </c>
      <c r="D1680" s="1" t="n">
        <f aca="false">LN(B1680/B1679)</f>
        <v>0.00667878154985018</v>
      </c>
      <c r="E1680" s="1" t="n">
        <f aca="false">LN(C1680/C1679)</f>
        <v>1.62768364342967E-005</v>
      </c>
      <c r="F1680" s="1" t="n">
        <f aca="false">B1680/B1679-1</f>
        <v>0.00670113434678599</v>
      </c>
      <c r="G1680" s="1" t="n">
        <f aca="false">C1680/C1679-1</f>
        <v>1.62769689027176E-005</v>
      </c>
    </row>
    <row r="1681" customFormat="false" ht="15" hidden="false" customHeight="false" outlineLevel="0" collapsed="false">
      <c r="A1681" s="1" t="s">
        <v>1688</v>
      </c>
      <c r="B1681" s="5" t="n">
        <v>32.5401</v>
      </c>
      <c r="C1681" s="5" t="n">
        <v>12.2883</v>
      </c>
      <c r="D1681" s="1" t="n">
        <f aca="false">LN(B1681/B1680)</f>
        <v>-0.00228686595036324</v>
      </c>
      <c r="E1681" s="1" t="n">
        <f aca="false">LN(C1681/C1680)</f>
        <v>6.51046965129395E-005</v>
      </c>
      <c r="F1681" s="1" t="n">
        <f aca="false">B1681/B1680-1</f>
        <v>-0.00228425306457847</v>
      </c>
      <c r="G1681" s="1" t="n">
        <f aca="false">C1681/C1680-1</f>
        <v>6.51068158696866E-005</v>
      </c>
    </row>
    <row r="1682" customFormat="false" ht="15" hidden="false" customHeight="false" outlineLevel="0" collapsed="false">
      <c r="A1682" s="1" t="s">
        <v>1689</v>
      </c>
      <c r="B1682" s="5" t="n">
        <v>32.6916</v>
      </c>
      <c r="C1682" s="5" t="n">
        <v>12.2877</v>
      </c>
      <c r="D1682" s="1" t="n">
        <f aca="false">LN(B1682/B1681)</f>
        <v>0.00464498924283605</v>
      </c>
      <c r="E1682" s="1" t="n">
        <f aca="false">LN(C1682/C1681)</f>
        <v>-4.88281250097793E-005</v>
      </c>
      <c r="F1682" s="1" t="n">
        <f aca="false">B1682/B1681-1</f>
        <v>0.00465579392810711</v>
      </c>
      <c r="G1682" s="1" t="n">
        <f aca="false">C1682/C1681-1</f>
        <v>-4.88269329362856E-005</v>
      </c>
    </row>
    <row r="1683" customFormat="false" ht="15" hidden="false" customHeight="false" outlineLevel="0" collapsed="false">
      <c r="A1683" s="1" t="s">
        <v>1690</v>
      </c>
      <c r="B1683" s="5" t="n">
        <v>32.8364</v>
      </c>
      <c r="C1683" s="5" t="n">
        <v>12.2881</v>
      </c>
      <c r="D1683" s="1" t="n">
        <f aca="false">LN(B1683/B1682)</f>
        <v>0.00441949199380302</v>
      </c>
      <c r="E1683" s="1" t="n">
        <f aca="false">LN(C1683/C1682)</f>
        <v>3.25523482479116E-005</v>
      </c>
      <c r="F1683" s="1" t="n">
        <f aca="false">B1683/B1682-1</f>
        <v>0.0044292723513073</v>
      </c>
      <c r="G1683" s="1" t="n">
        <f aca="false">C1683/C1682-1</f>
        <v>3.25528780813489E-005</v>
      </c>
    </row>
    <row r="1684" customFormat="false" ht="15" hidden="false" customHeight="false" outlineLevel="0" collapsed="false">
      <c r="A1684" s="1" t="s">
        <v>1691</v>
      </c>
      <c r="B1684" s="5" t="n">
        <v>32.5999</v>
      </c>
      <c r="C1684" s="5" t="n">
        <v>12.2873</v>
      </c>
      <c r="D1684" s="1" t="n">
        <f aca="false">LN(B1684/B1683)</f>
        <v>-0.00722843528026399</v>
      </c>
      <c r="E1684" s="1" t="n">
        <f aca="false">LN(C1684/C1683)</f>
        <v>-6.51057561856102E-005</v>
      </c>
      <c r="F1684" s="1" t="n">
        <f aca="false">B1684/B1683-1</f>
        <v>-0.00720237297633108</v>
      </c>
      <c r="G1684" s="1" t="n">
        <f aca="false">C1684/C1683-1</f>
        <v>-6.51036368518598E-005</v>
      </c>
    </row>
    <row r="1685" customFormat="false" ht="15" hidden="false" customHeight="false" outlineLevel="0" collapsed="false">
      <c r="A1685" s="1" t="s">
        <v>1692</v>
      </c>
      <c r="B1685" s="5" t="n">
        <v>33.1508</v>
      </c>
      <c r="C1685" s="5" t="n">
        <v>12.2873</v>
      </c>
      <c r="D1685" s="1" t="n">
        <f aca="false">LN(B1685/B1684)</f>
        <v>0.0167576281874022</v>
      </c>
      <c r="E1685" s="1" t="n">
        <f aca="false">LN(C1685/C1684)</f>
        <v>0</v>
      </c>
      <c r="F1685" s="1" t="n">
        <f aca="false">B1685/B1684-1</f>
        <v>0.0168988248430209</v>
      </c>
      <c r="G1685" s="1" t="n">
        <f aca="false">C1685/C1684-1</f>
        <v>0</v>
      </c>
    </row>
    <row r="1686" customFormat="false" ht="15" hidden="false" customHeight="false" outlineLevel="0" collapsed="false">
      <c r="A1686" s="1" t="s">
        <v>1693</v>
      </c>
      <c r="B1686" s="5" t="n">
        <v>33.061</v>
      </c>
      <c r="C1686" s="5" t="n">
        <v>12.2875</v>
      </c>
      <c r="D1686" s="1" t="n">
        <f aca="false">LN(B1686/B1685)</f>
        <v>-0.00271250910140352</v>
      </c>
      <c r="E1686" s="1" t="n">
        <f aca="false">LN(C1686/C1685)</f>
        <v>1.62768364342967E-005</v>
      </c>
      <c r="F1686" s="1" t="n">
        <f aca="false">B1686/B1685-1</f>
        <v>-0.00270883357264373</v>
      </c>
      <c r="G1686" s="1" t="n">
        <f aca="false">C1686/C1685-1</f>
        <v>1.62769689027176E-005</v>
      </c>
    </row>
    <row r="1687" customFormat="false" ht="15" hidden="false" customHeight="false" outlineLevel="0" collapsed="false">
      <c r="A1687" s="1" t="s">
        <v>1694</v>
      </c>
      <c r="B1687" s="5" t="n">
        <v>32.4335</v>
      </c>
      <c r="C1687" s="5" t="n">
        <v>12.2878</v>
      </c>
      <c r="D1687" s="1" t="n">
        <f aca="false">LN(B1687/B1686)</f>
        <v>-0.019162500712501</v>
      </c>
      <c r="E1687" s="1" t="n">
        <f aca="false">LN(C1687/C1686)</f>
        <v>2.44147579085606E-005</v>
      </c>
      <c r="F1687" s="1" t="n">
        <f aca="false">B1687/B1686-1</f>
        <v>-0.018980067148604</v>
      </c>
      <c r="G1687" s="1" t="n">
        <f aca="false">C1687/C1686-1</f>
        <v>2.4415055951188E-005</v>
      </c>
    </row>
    <row r="1688" customFormat="false" ht="15" hidden="false" customHeight="false" outlineLevel="0" collapsed="false">
      <c r="A1688" s="1" t="s">
        <v>1695</v>
      </c>
      <c r="B1688" s="5" t="n">
        <v>32.5528</v>
      </c>
      <c r="C1688" s="5" t="n">
        <v>12.2877</v>
      </c>
      <c r="D1688" s="1" t="n">
        <f aca="false">LN(B1688/B1687)</f>
        <v>0.00367154720352468</v>
      </c>
      <c r="E1688" s="1" t="n">
        <f aca="false">LN(C1688/C1687)</f>
        <v>-8.13818640532042E-006</v>
      </c>
      <c r="F1688" s="1" t="n">
        <f aca="false">B1688/B1687-1</f>
        <v>0.00367829558943678</v>
      </c>
      <c r="G1688" s="1" t="n">
        <f aca="false">C1688/C1687-1</f>
        <v>-8.13815329037126E-006</v>
      </c>
    </row>
    <row r="1689" customFormat="false" ht="15" hidden="false" customHeight="false" outlineLevel="0" collapsed="false">
      <c r="A1689" s="1" t="s">
        <v>1696</v>
      </c>
      <c r="B1689" s="5" t="n">
        <v>32.6381</v>
      </c>
      <c r="C1689" s="5" t="n">
        <v>12.2874</v>
      </c>
      <c r="D1689" s="1" t="n">
        <f aca="false">LN(B1689/B1688)</f>
        <v>0.00261693115696216</v>
      </c>
      <c r="E1689" s="1" t="n">
        <f aca="false">LN(C1689/C1688)</f>
        <v>-2.44149566035836E-005</v>
      </c>
      <c r="F1689" s="1" t="n">
        <f aca="false">B1689/B1688-1</f>
        <v>0.00262035831019158</v>
      </c>
      <c r="G1689" s="1" t="n">
        <f aca="false">C1689/C1688-1</f>
        <v>-2.44146585609562E-005</v>
      </c>
    </row>
    <row r="1690" customFormat="false" ht="15" hidden="false" customHeight="false" outlineLevel="0" collapsed="false">
      <c r="A1690" s="1" t="s">
        <v>1697</v>
      </c>
      <c r="B1690" s="5" t="n">
        <v>32.9922</v>
      </c>
      <c r="C1690" s="5" t="n">
        <v>12.2874</v>
      </c>
      <c r="D1690" s="1" t="n">
        <f aca="false">LN(B1690/B1689)</f>
        <v>0.0107908522745506</v>
      </c>
      <c r="E1690" s="1" t="n">
        <f aca="false">LN(C1690/C1689)</f>
        <v>0</v>
      </c>
      <c r="F1690" s="1" t="n">
        <f aca="false">B1690/B1689-1</f>
        <v>0.0108492835060863</v>
      </c>
      <c r="G1690" s="1" t="n">
        <f aca="false">C1690/C1689-1</f>
        <v>0</v>
      </c>
    </row>
    <row r="1691" customFormat="false" ht="15" hidden="false" customHeight="false" outlineLevel="0" collapsed="false">
      <c r="A1691" s="1" t="s">
        <v>1698</v>
      </c>
      <c r="B1691" s="5" t="n">
        <v>32.965</v>
      </c>
      <c r="C1691" s="5" t="n">
        <v>12.2875</v>
      </c>
      <c r="D1691" s="1" t="n">
        <f aca="false">LN(B1691/B1690)</f>
        <v>-0.000824777326566686</v>
      </c>
      <c r="E1691" s="1" t="n">
        <f aca="false">LN(C1691/C1690)</f>
        <v>8.13838510037261E-006</v>
      </c>
      <c r="F1691" s="1" t="n">
        <f aca="false">B1691/B1690-1</f>
        <v>-0.000824437291238378</v>
      </c>
      <c r="G1691" s="1" t="n">
        <f aca="false">C1691/C1690-1</f>
        <v>8.13841821711847E-006</v>
      </c>
    </row>
    <row r="1692" customFormat="false" ht="15" hidden="false" customHeight="false" outlineLevel="0" collapsed="false">
      <c r="A1692" s="1" t="s">
        <v>1699</v>
      </c>
      <c r="B1692" s="5" t="n">
        <v>32.9759</v>
      </c>
      <c r="C1692" s="5" t="n">
        <v>12.2876</v>
      </c>
      <c r="D1692" s="1" t="n">
        <f aca="false">LN(B1692/B1691)</f>
        <v>0.000330599069751132</v>
      </c>
      <c r="E1692" s="1" t="n">
        <f aca="false">LN(C1692/C1691)</f>
        <v>8.13831886744848E-006</v>
      </c>
      <c r="F1692" s="1" t="n">
        <f aca="false">B1692/B1691-1</f>
        <v>0.000330653723646268</v>
      </c>
      <c r="G1692" s="1" t="n">
        <f aca="false">C1692/C1691-1</f>
        <v>8.13835198365531E-006</v>
      </c>
    </row>
    <row r="1693" customFormat="false" ht="15" hidden="false" customHeight="false" outlineLevel="0" collapsed="false">
      <c r="A1693" s="1" t="s">
        <v>1700</v>
      </c>
      <c r="B1693" s="5" t="n">
        <v>33.2098</v>
      </c>
      <c r="C1693" s="5" t="n">
        <v>12.287</v>
      </c>
      <c r="D1693" s="1" t="n">
        <f aca="false">LN(B1693/B1692)</f>
        <v>0.00706802145306194</v>
      </c>
      <c r="E1693" s="1" t="n">
        <f aca="false">LN(C1693/C1692)</f>
        <v>-4.88309067181333E-005</v>
      </c>
      <c r="F1693" s="1" t="n">
        <f aca="false">B1693/B1692-1</f>
        <v>0.00709305887026579</v>
      </c>
      <c r="G1693" s="1" t="n">
        <f aca="false">C1693/C1692-1</f>
        <v>-4.88297145088135E-005</v>
      </c>
    </row>
    <row r="1694" customFormat="false" ht="15" hidden="false" customHeight="false" outlineLevel="0" collapsed="false">
      <c r="A1694" s="1" t="s">
        <v>1701</v>
      </c>
      <c r="B1694" s="5" t="n">
        <v>33.4306</v>
      </c>
      <c r="C1694" s="5" t="n">
        <v>12.2868</v>
      </c>
      <c r="D1694" s="1" t="n">
        <f aca="false">LN(B1694/B1693)</f>
        <v>0.00662663513381082</v>
      </c>
      <c r="E1694" s="1" t="n">
        <f aca="false">LN(C1694/C1693)</f>
        <v>-1.62774988000241E-005</v>
      </c>
      <c r="F1694" s="1" t="n">
        <f aca="false">B1694/B1693-1</f>
        <v>0.00664863985931863</v>
      </c>
      <c r="G1694" s="1" t="n">
        <f aca="false">C1694/C1693-1</f>
        <v>-1.62773663222593E-005</v>
      </c>
    </row>
    <row r="1695" customFormat="false" ht="15" hidden="false" customHeight="false" outlineLevel="0" collapsed="false">
      <c r="A1695" s="1" t="s">
        <v>1702</v>
      </c>
      <c r="B1695" s="5" t="n">
        <v>33.4521</v>
      </c>
      <c r="C1695" s="5" t="n">
        <v>12.287</v>
      </c>
      <c r="D1695" s="1" t="n">
        <f aca="false">LN(B1695/B1694)</f>
        <v>0.00064291665081023</v>
      </c>
      <c r="E1695" s="1" t="n">
        <f aca="false">LN(C1695/C1694)</f>
        <v>1.62774987998911E-005</v>
      </c>
      <c r="F1695" s="1" t="n">
        <f aca="false">B1695/B1694-1</f>
        <v>0.000643123366018017</v>
      </c>
      <c r="G1695" s="1" t="n">
        <f aca="false">C1695/C1694-1</f>
        <v>1.62776312790935E-005</v>
      </c>
    </row>
    <row r="1696" customFormat="false" ht="15" hidden="false" customHeight="false" outlineLevel="0" collapsed="false">
      <c r="A1696" s="1" t="s">
        <v>1703</v>
      </c>
      <c r="B1696" s="5" t="n">
        <v>33.741</v>
      </c>
      <c r="C1696" s="5" t="n">
        <v>12.2873</v>
      </c>
      <c r="D1696" s="1" t="n">
        <f aca="false">LN(B1696/B1695)</f>
        <v>0.00859915021729707</v>
      </c>
      <c r="E1696" s="1" t="n">
        <f aca="false">LN(C1696/C1695)</f>
        <v>2.44157514162269E-005</v>
      </c>
      <c r="F1696" s="1" t="n">
        <f aca="false">B1696/B1695-1</f>
        <v>0.00863622911566075</v>
      </c>
      <c r="G1696" s="1" t="n">
        <f aca="false">C1696/C1695-1</f>
        <v>2.44160494831114E-005</v>
      </c>
    </row>
    <row r="1697" customFormat="false" ht="15" hidden="false" customHeight="false" outlineLevel="0" collapsed="false">
      <c r="A1697" s="1" t="s">
        <v>1704</v>
      </c>
      <c r="B1697" s="5" t="n">
        <v>33.8463</v>
      </c>
      <c r="C1697" s="5" t="n">
        <v>12.2872</v>
      </c>
      <c r="D1697" s="1" t="n">
        <f aca="false">LN(B1697/B1696)</f>
        <v>0.0031159725332706</v>
      </c>
      <c r="E1697" s="1" t="n">
        <f aca="false">LN(C1697/C1696)</f>
        <v>-8.13851756900305E-006</v>
      </c>
      <c r="F1697" s="1" t="n">
        <f aca="false">B1697/B1696-1</f>
        <v>0.00312083222192583</v>
      </c>
      <c r="G1697" s="1" t="n">
        <f aca="false">C1697/C1696-1</f>
        <v>-8.13848445135879E-006</v>
      </c>
    </row>
    <row r="1698" customFormat="false" ht="15" hidden="false" customHeight="false" outlineLevel="0" collapsed="false">
      <c r="A1698" s="1" t="s">
        <v>1705</v>
      </c>
      <c r="B1698" s="5" t="n">
        <v>33.2106</v>
      </c>
      <c r="C1698" s="5" t="n">
        <v>12.2873</v>
      </c>
      <c r="D1698" s="1" t="n">
        <f aca="false">LN(B1698/B1697)</f>
        <v>-0.0189605855504782</v>
      </c>
      <c r="E1698" s="1" t="n">
        <f aca="false">LN(C1698/C1697)</f>
        <v>8.13851756910741E-006</v>
      </c>
      <c r="F1698" s="1" t="n">
        <f aca="false">B1698/B1697-1</f>
        <v>-0.0187819643506085</v>
      </c>
      <c r="G1698" s="1" t="n">
        <f aca="false">C1698/C1697-1</f>
        <v>8.13855068693137E-006</v>
      </c>
    </row>
    <row r="1699" customFormat="false" ht="15" hidden="false" customHeight="false" outlineLevel="0" collapsed="false">
      <c r="A1699" s="1" t="s">
        <v>1706</v>
      </c>
      <c r="B1699" s="5" t="n">
        <v>33.2854</v>
      </c>
      <c r="C1699" s="5" t="n">
        <v>12.2873</v>
      </c>
      <c r="D1699" s="1" t="n">
        <f aca="false">LN(B1699/B1698)</f>
        <v>0.00224976033293812</v>
      </c>
      <c r="E1699" s="1" t="n">
        <f aca="false">LN(C1699/C1698)</f>
        <v>0</v>
      </c>
      <c r="F1699" s="1" t="n">
        <f aca="false">B1699/B1698-1</f>
        <v>0.00225229294261475</v>
      </c>
      <c r="G1699" s="1" t="n">
        <f aca="false">C1699/C1698-1</f>
        <v>0</v>
      </c>
    </row>
    <row r="1700" customFormat="false" ht="15" hidden="false" customHeight="false" outlineLevel="0" collapsed="false">
      <c r="A1700" s="1" t="s">
        <v>1707</v>
      </c>
      <c r="B1700" s="5" t="n">
        <v>33.2777</v>
      </c>
      <c r="C1700" s="5" t="n">
        <v>12.2876</v>
      </c>
      <c r="D1700" s="1" t="n">
        <f aca="false">LN(B1700/B1699)</f>
        <v>-0.000231359417886123</v>
      </c>
      <c r="E1700" s="1" t="n">
        <f aca="false">LN(C1700/C1699)</f>
        <v>2.44151553018575E-005</v>
      </c>
      <c r="F1700" s="1" t="n">
        <f aca="false">B1700/B1699-1</f>
        <v>-0.000231332656359884</v>
      </c>
      <c r="G1700" s="1" t="n">
        <f aca="false">C1700/C1699-1</f>
        <v>2.44154533541874E-005</v>
      </c>
    </row>
    <row r="1701" customFormat="false" ht="15" hidden="false" customHeight="false" outlineLevel="0" collapsed="false">
      <c r="A1701" s="1" t="s">
        <v>1708</v>
      </c>
      <c r="B1701" s="5" t="n">
        <v>33.4796</v>
      </c>
      <c r="C1701" s="5" t="n">
        <v>12.2874</v>
      </c>
      <c r="D1701" s="1" t="n">
        <f aca="false">LN(B1701/B1700)</f>
        <v>0.00604879513076229</v>
      </c>
      <c r="E1701" s="1" t="n">
        <f aca="false">LN(C1701/C1700)</f>
        <v>-1.62767039677652E-005</v>
      </c>
      <c r="F1701" s="1" t="n">
        <f aca="false">B1701/B1700-1</f>
        <v>0.00606712603334958</v>
      </c>
      <c r="G1701" s="1" t="n">
        <f aca="false">C1701/C1700-1</f>
        <v>-1.62765715029378E-005</v>
      </c>
    </row>
    <row r="1702" customFormat="false" ht="15" hidden="false" customHeight="false" outlineLevel="0" collapsed="false">
      <c r="A1702" s="1" t="s">
        <v>1709</v>
      </c>
      <c r="B1702" s="5" t="n">
        <v>33.6997</v>
      </c>
      <c r="C1702" s="5" t="n">
        <v>12.2875</v>
      </c>
      <c r="D1702" s="1" t="n">
        <f aca="false">LN(B1702/B1701)</f>
        <v>0.00655263712293991</v>
      </c>
      <c r="E1702" s="1" t="n">
        <f aca="false">LN(C1702/C1701)</f>
        <v>8.13838510037261E-006</v>
      </c>
      <c r="F1702" s="1" t="n">
        <f aca="false">B1702/B1701-1</f>
        <v>0.00657415261831096</v>
      </c>
      <c r="G1702" s="1" t="n">
        <f aca="false">C1702/C1701-1</f>
        <v>8.13841821711847E-006</v>
      </c>
    </row>
    <row r="1703" customFormat="false" ht="15" hidden="false" customHeight="false" outlineLevel="0" collapsed="false">
      <c r="A1703" s="1" t="s">
        <v>1710</v>
      </c>
      <c r="B1703" s="5" t="n">
        <v>33.6518</v>
      </c>
      <c r="C1703" s="5" t="n">
        <v>12.2875</v>
      </c>
      <c r="D1703" s="1" t="n">
        <f aca="false">LN(B1703/B1702)</f>
        <v>-0.00142238875380349</v>
      </c>
      <c r="E1703" s="1" t="n">
        <f aca="false">LN(C1703/C1702)</f>
        <v>0</v>
      </c>
      <c r="F1703" s="1" t="n">
        <f aca="false">B1703/B1702-1</f>
        <v>-0.00142137763837658</v>
      </c>
      <c r="G1703" s="1" t="n">
        <f aca="false">C1703/C1702-1</f>
        <v>0</v>
      </c>
    </row>
    <row r="1704" customFormat="false" ht="15" hidden="false" customHeight="false" outlineLevel="0" collapsed="false">
      <c r="A1704" s="1" t="s">
        <v>1711</v>
      </c>
      <c r="B1704" s="5" t="n">
        <v>33.5481</v>
      </c>
      <c r="C1704" s="5" t="n">
        <v>12.2872</v>
      </c>
      <c r="D1704" s="1" t="n">
        <f aca="false">LN(B1704/B1703)</f>
        <v>-0.00308631656639045</v>
      </c>
      <c r="E1704" s="1" t="n">
        <f aca="false">LN(C1704/C1703)</f>
        <v>-2.44153540034068E-005</v>
      </c>
      <c r="F1704" s="1" t="n">
        <f aca="false">B1704/B1703-1</f>
        <v>-0.00308155878734584</v>
      </c>
      <c r="G1704" s="1" t="n">
        <f aca="false">C1704/C1703-1</f>
        <v>-2.4415055951077E-005</v>
      </c>
    </row>
    <row r="1705" customFormat="false" ht="15" hidden="false" customHeight="false" outlineLevel="0" collapsed="false">
      <c r="A1705" s="1" t="s">
        <v>1712</v>
      </c>
      <c r="B1705" s="5" t="n">
        <v>33.6397</v>
      </c>
      <c r="C1705" s="5" t="n">
        <v>12.2875</v>
      </c>
      <c r="D1705" s="1" t="n">
        <f aca="false">LN(B1705/B1704)</f>
        <v>0.00272668718881918</v>
      </c>
      <c r="E1705" s="1" t="n">
        <f aca="false">LN(C1705/C1704)</f>
        <v>2.44153540033908E-005</v>
      </c>
      <c r="F1705" s="1" t="n">
        <f aca="false">B1705/B1704-1</f>
        <v>0.00273040798137592</v>
      </c>
      <c r="G1705" s="1" t="n">
        <f aca="false">C1705/C1704-1</f>
        <v>2.44156520605721E-005</v>
      </c>
    </row>
    <row r="1706" customFormat="false" ht="15" hidden="false" customHeight="false" outlineLevel="0" collapsed="false">
      <c r="A1706" s="1" t="s">
        <v>1713</v>
      </c>
      <c r="B1706" s="5" t="n">
        <v>33.3349</v>
      </c>
      <c r="C1706" s="5" t="n">
        <v>12.2877</v>
      </c>
      <c r="D1706" s="1" t="n">
        <f aca="false">LN(B1706/B1705)</f>
        <v>-0.00910202089465014</v>
      </c>
      <c r="E1706" s="1" t="n">
        <f aca="false">LN(C1706/C1705)</f>
        <v>1.6276571503202E-005</v>
      </c>
      <c r="F1706" s="1" t="n">
        <f aca="false">B1706/B1705-1</f>
        <v>-0.00906072289586413</v>
      </c>
      <c r="G1706" s="1" t="n">
        <f aca="false">C1706/C1705-1</f>
        <v>1.62767039673106E-005</v>
      </c>
    </row>
    <row r="1707" customFormat="false" ht="15" hidden="false" customHeight="false" outlineLevel="0" collapsed="false">
      <c r="A1707" s="1" t="s">
        <v>1714</v>
      </c>
      <c r="B1707" s="5" t="n">
        <v>33.387</v>
      </c>
      <c r="C1707" s="5" t="n">
        <v>12.2876</v>
      </c>
      <c r="D1707" s="1" t="n">
        <f aca="false">LN(B1707/B1706)</f>
        <v>0.00156170644388157</v>
      </c>
      <c r="E1707" s="1" t="n">
        <f aca="false">LN(C1707/C1706)</f>
        <v>-8.13825263576986E-006</v>
      </c>
      <c r="F1707" s="1" t="n">
        <f aca="false">B1707/B1706-1</f>
        <v>0.0015629265424526</v>
      </c>
      <c r="G1707" s="1" t="n">
        <f aca="false">C1707/C1706-1</f>
        <v>-8.13821952028171E-006</v>
      </c>
    </row>
    <row r="1708" customFormat="false" ht="15" hidden="false" customHeight="false" outlineLevel="0" collapsed="false">
      <c r="A1708" s="1" t="s">
        <v>1715</v>
      </c>
      <c r="B1708" s="5" t="n">
        <v>33.43</v>
      </c>
      <c r="C1708" s="5" t="n">
        <v>12.2873</v>
      </c>
      <c r="D1708" s="1" t="n">
        <f aca="false">LN(B1708/B1707)</f>
        <v>0.00128709777260937</v>
      </c>
      <c r="E1708" s="1" t="n">
        <f aca="false">LN(C1708/C1707)</f>
        <v>-2.44151553019408E-005</v>
      </c>
      <c r="F1708" s="1" t="n">
        <f aca="false">B1708/B1707-1</f>
        <v>0.00128792643843401</v>
      </c>
      <c r="G1708" s="1" t="n">
        <f aca="false">C1708/C1707-1</f>
        <v>-2.44148572544622E-005</v>
      </c>
    </row>
    <row r="1709" customFormat="false" ht="15" hidden="false" customHeight="false" outlineLevel="0" collapsed="false">
      <c r="A1709" s="1" t="s">
        <v>1716</v>
      </c>
      <c r="B1709" s="5" t="n">
        <v>33.3151</v>
      </c>
      <c r="C1709" s="5" t="n">
        <v>12.2873</v>
      </c>
      <c r="D1709" s="1" t="n">
        <f aca="false">LN(B1709/B1708)</f>
        <v>-0.00344295277110366</v>
      </c>
      <c r="E1709" s="1" t="n">
        <f aca="false">LN(C1709/C1708)</f>
        <v>0</v>
      </c>
      <c r="F1709" s="1" t="n">
        <f aca="false">B1709/B1708-1</f>
        <v>-0.00343703260544415</v>
      </c>
      <c r="G1709" s="1" t="n">
        <f aca="false">C1709/C1708-1</f>
        <v>0</v>
      </c>
    </row>
    <row r="1710" customFormat="false" ht="15" hidden="false" customHeight="false" outlineLevel="0" collapsed="false">
      <c r="A1710" s="1" t="s">
        <v>1717</v>
      </c>
      <c r="B1710" s="5" t="n">
        <v>33.2491</v>
      </c>
      <c r="C1710" s="5" t="n">
        <v>12.2876</v>
      </c>
      <c r="D1710" s="1" t="n">
        <f aca="false">LN(B1710/B1709)</f>
        <v>-0.00198304859454938</v>
      </c>
      <c r="E1710" s="1" t="n">
        <f aca="false">LN(C1710/C1709)</f>
        <v>2.44151553018575E-005</v>
      </c>
      <c r="F1710" s="1" t="n">
        <f aca="false">B1710/B1709-1</f>
        <v>-0.00198108365275818</v>
      </c>
      <c r="G1710" s="1" t="n">
        <f aca="false">C1710/C1709-1</f>
        <v>2.44154533541874E-005</v>
      </c>
    </row>
    <row r="1711" customFormat="false" ht="15" hidden="false" customHeight="false" outlineLevel="0" collapsed="false">
      <c r="A1711" s="1" t="s">
        <v>1718</v>
      </c>
      <c r="B1711" s="5" t="n">
        <v>33.2586</v>
      </c>
      <c r="C1711" s="5" t="n">
        <v>12.2874</v>
      </c>
      <c r="D1711" s="1" t="n">
        <f aca="false">LN(B1711/B1710)</f>
        <v>0.000285681208780855</v>
      </c>
      <c r="E1711" s="1" t="n">
        <f aca="false">LN(C1711/C1710)</f>
        <v>-1.62767039677652E-005</v>
      </c>
      <c r="F1711" s="1" t="n">
        <f aca="false">B1711/B1710-1</f>
        <v>0.000285722019543577</v>
      </c>
      <c r="G1711" s="1" t="n">
        <f aca="false">C1711/C1710-1</f>
        <v>-1.62765715029378E-005</v>
      </c>
    </row>
    <row r="1712" customFormat="false" ht="15" hidden="false" customHeight="false" outlineLevel="0" collapsed="false">
      <c r="A1712" s="1" t="s">
        <v>1719</v>
      </c>
      <c r="B1712" s="5" t="n">
        <v>33.4827</v>
      </c>
      <c r="C1712" s="5" t="n">
        <v>12.2875</v>
      </c>
      <c r="D1712" s="1" t="n">
        <f aca="false">LN(B1712/B1711)</f>
        <v>0.00671550725578376</v>
      </c>
      <c r="E1712" s="1" t="n">
        <f aca="false">LN(C1712/C1711)</f>
        <v>8.13838510037261E-006</v>
      </c>
      <c r="F1712" s="1" t="n">
        <f aca="false">B1712/B1711-1</f>
        <v>0.00673810683552523</v>
      </c>
      <c r="G1712" s="1" t="n">
        <f aca="false">C1712/C1711-1</f>
        <v>8.13841821711847E-006</v>
      </c>
    </row>
    <row r="1713" customFormat="false" ht="15" hidden="false" customHeight="false" outlineLevel="0" collapsed="false">
      <c r="A1713" s="1" t="s">
        <v>1720</v>
      </c>
      <c r="B1713" s="5" t="n">
        <v>33.3552</v>
      </c>
      <c r="C1713" s="5" t="n">
        <v>12.2875</v>
      </c>
      <c r="D1713" s="1" t="n">
        <f aca="false">LN(B1713/B1712)</f>
        <v>-0.00381520528488303</v>
      </c>
      <c r="E1713" s="1" t="n">
        <f aca="false">LN(C1713/C1712)</f>
        <v>0</v>
      </c>
      <c r="F1713" s="1" t="n">
        <f aca="false">B1713/B1712-1</f>
        <v>-0.00380793663593426</v>
      </c>
      <c r="G1713" s="1" t="n">
        <f aca="false">C1713/C1712-1</f>
        <v>0</v>
      </c>
    </row>
    <row r="1714" customFormat="false" ht="15" hidden="false" customHeight="false" outlineLevel="0" collapsed="false">
      <c r="A1714" s="1" t="s">
        <v>1721</v>
      </c>
      <c r="B1714" s="5" t="n">
        <v>33.425</v>
      </c>
      <c r="C1714" s="5" t="n">
        <v>12.2878</v>
      </c>
      <c r="D1714" s="1" t="n">
        <f aca="false">LN(B1714/B1713)</f>
        <v>0.00209044074197119</v>
      </c>
      <c r="E1714" s="1" t="n">
        <f aca="false">LN(C1714/C1713)</f>
        <v>2.44147579085606E-005</v>
      </c>
      <c r="F1714" s="1" t="n">
        <f aca="false">B1714/B1713-1</f>
        <v>0.0020926272365327</v>
      </c>
      <c r="G1714" s="1" t="n">
        <f aca="false">C1714/C1713-1</f>
        <v>2.4415055951188E-005</v>
      </c>
    </row>
    <row r="1715" customFormat="false" ht="15" hidden="false" customHeight="false" outlineLevel="0" collapsed="false">
      <c r="A1715" s="1" t="s">
        <v>1722</v>
      </c>
      <c r="B1715" s="5" t="n">
        <v>33.5187</v>
      </c>
      <c r="C1715" s="5" t="n">
        <v>12.288</v>
      </c>
      <c r="D1715" s="1" t="n">
        <f aca="false">LN(B1715/B1714)</f>
        <v>0.0027993690575737</v>
      </c>
      <c r="E1715" s="1" t="n">
        <f aca="false">LN(C1715/C1714)</f>
        <v>1.62761741228798E-005</v>
      </c>
      <c r="F1715" s="1" t="n">
        <f aca="false">B1715/B1714-1</f>
        <v>0.00280329094988807</v>
      </c>
      <c r="G1715" s="1" t="n">
        <f aca="false">C1715/C1714-1</f>
        <v>1.62763065805205E-005</v>
      </c>
    </row>
    <row r="1716" customFormat="false" ht="15" hidden="false" customHeight="false" outlineLevel="0" collapsed="false">
      <c r="A1716" s="1" t="s">
        <v>1723</v>
      </c>
      <c r="B1716" s="5" t="n">
        <v>33.681</v>
      </c>
      <c r="C1716" s="5" t="n">
        <v>12.2875</v>
      </c>
      <c r="D1716" s="1" t="n">
        <f aca="false">LN(B1716/B1715)</f>
        <v>0.00483038809917154</v>
      </c>
      <c r="E1716" s="1" t="n">
        <f aca="false">LN(C1716/C1715)</f>
        <v>-4.06909320314866E-005</v>
      </c>
      <c r="F1716" s="1" t="n">
        <f aca="false">B1716/B1715-1</f>
        <v>0.00484207323076347</v>
      </c>
      <c r="G1716" s="1" t="n">
        <f aca="false">C1716/C1715-1</f>
        <v>-4.06901041667407E-005</v>
      </c>
    </row>
    <row r="1717" customFormat="false" ht="15" hidden="false" customHeight="false" outlineLevel="0" collapsed="false">
      <c r="A1717" s="1" t="s">
        <v>1724</v>
      </c>
      <c r="B1717" s="5" t="n">
        <v>33.7353</v>
      </c>
      <c r="C1717" s="5" t="n">
        <v>12.2875</v>
      </c>
      <c r="D1717" s="1" t="n">
        <f aca="false">LN(B1717/B1716)</f>
        <v>0.00161088673635853</v>
      </c>
      <c r="E1717" s="1" t="n">
        <f aca="false">LN(C1717/C1716)</f>
        <v>0</v>
      </c>
      <c r="F1717" s="1" t="n">
        <f aca="false">B1717/B1716-1</f>
        <v>0.0016121849113746</v>
      </c>
      <c r="G1717" s="1" t="n">
        <f aca="false">C1717/C1716-1</f>
        <v>0</v>
      </c>
    </row>
    <row r="1718" customFormat="false" ht="15" hidden="false" customHeight="false" outlineLevel="0" collapsed="false">
      <c r="A1718" s="1" t="s">
        <v>1725</v>
      </c>
      <c r="B1718" s="5" t="n">
        <v>33.7481</v>
      </c>
      <c r="C1718" s="5" t="n">
        <v>12.2874</v>
      </c>
      <c r="D1718" s="1" t="n">
        <f aca="false">LN(B1718/B1717)</f>
        <v>0.000379352556436052</v>
      </c>
      <c r="E1718" s="1" t="n">
        <f aca="false">LN(C1718/C1717)</f>
        <v>-8.13838510022149E-006</v>
      </c>
      <c r="F1718" s="1" t="n">
        <f aca="false">B1718/B1717-1</f>
        <v>0.00037942451971662</v>
      </c>
      <c r="G1718" s="1" t="n">
        <f aca="false">C1718/C1717-1</f>
        <v>-8.13835198365531E-006</v>
      </c>
    </row>
    <row r="1719" customFormat="false" ht="15" hidden="false" customHeight="false" outlineLevel="0" collapsed="false">
      <c r="A1719" s="1" t="s">
        <v>1726</v>
      </c>
      <c r="B1719" s="5" t="n">
        <v>33.8515</v>
      </c>
      <c r="C1719" s="5" t="n">
        <v>12.2878</v>
      </c>
      <c r="D1719" s="1" t="n">
        <f aca="false">LN(B1719/B1718)</f>
        <v>0.00305919208517242</v>
      </c>
      <c r="E1719" s="1" t="n">
        <f aca="false">LN(C1719/C1718)</f>
        <v>3.25531430089424E-005</v>
      </c>
      <c r="F1719" s="1" t="n">
        <f aca="false">B1719/B1718-1</f>
        <v>0.0030638761885855</v>
      </c>
      <c r="G1719" s="1" t="n">
        <f aca="false">C1719/C1718-1</f>
        <v>3.25536728682518E-005</v>
      </c>
    </row>
    <row r="1720" customFormat="false" ht="15" hidden="false" customHeight="false" outlineLevel="0" collapsed="false">
      <c r="A1720" s="1" t="s">
        <v>1727</v>
      </c>
      <c r="B1720" s="5" t="n">
        <v>33.9517</v>
      </c>
      <c r="C1720" s="5" t="n">
        <v>12.2878</v>
      </c>
      <c r="D1720" s="1" t="n">
        <f aca="false">LN(B1720/B1719)</f>
        <v>0.00295561486604602</v>
      </c>
      <c r="E1720" s="1" t="n">
        <f aca="false">LN(C1720/C1719)</f>
        <v>0</v>
      </c>
      <c r="F1720" s="1" t="n">
        <f aca="false">B1720/B1719-1</f>
        <v>0.00295998700205313</v>
      </c>
      <c r="G1720" s="1" t="n">
        <f aca="false">C1720/C1719-1</f>
        <v>0</v>
      </c>
    </row>
    <row r="1721" customFormat="false" ht="15" hidden="false" customHeight="false" outlineLevel="0" collapsed="false">
      <c r="A1721" s="1" t="s">
        <v>1728</v>
      </c>
      <c r="B1721" s="5" t="n">
        <v>34.1304</v>
      </c>
      <c r="C1721" s="5" t="n">
        <v>12.2874</v>
      </c>
      <c r="D1721" s="1" t="n">
        <f aca="false">LN(B1721/B1720)</f>
        <v>0.00524955635569426</v>
      </c>
      <c r="E1721" s="1" t="n">
        <f aca="false">LN(C1721/C1720)</f>
        <v>-3.25531430088514E-005</v>
      </c>
      <c r="F1721" s="1" t="n">
        <f aca="false">B1721/B1720-1</f>
        <v>0.00526335941941047</v>
      </c>
      <c r="G1721" s="1" t="n">
        <f aca="false">C1721/C1720-1</f>
        <v>-3.2552613161041E-005</v>
      </c>
    </row>
    <row r="1722" customFormat="false" ht="15" hidden="false" customHeight="false" outlineLevel="0" collapsed="false">
      <c r="A1722" s="1" t="s">
        <v>1729</v>
      </c>
      <c r="B1722" s="5" t="n">
        <v>34.7439</v>
      </c>
      <c r="C1722" s="5" t="n">
        <v>12.2876</v>
      </c>
      <c r="D1722" s="1" t="n">
        <f aca="false">LN(B1722/B1721)</f>
        <v>0.0178155342891231</v>
      </c>
      <c r="E1722" s="1" t="n">
        <f aca="false">LN(C1722/C1721)</f>
        <v>1.62767039677502E-005</v>
      </c>
      <c r="F1722" s="1" t="n">
        <f aca="false">B1722/B1721-1</f>
        <v>0.0179751775543209</v>
      </c>
      <c r="G1722" s="1" t="n">
        <f aca="false">C1722/C1721-1</f>
        <v>1.62768364340149E-005</v>
      </c>
    </row>
    <row r="1723" customFormat="false" ht="15" hidden="false" customHeight="false" outlineLevel="0" collapsed="false">
      <c r="A1723" s="1" t="s">
        <v>1730</v>
      </c>
      <c r="B1723" s="5" t="n">
        <v>34.7789</v>
      </c>
      <c r="C1723" s="5" t="n">
        <v>12.2875</v>
      </c>
      <c r="D1723" s="1" t="n">
        <f aca="false">LN(B1723/B1722)</f>
        <v>0.00100686402034583</v>
      </c>
      <c r="E1723" s="1" t="n">
        <f aca="false">LN(C1723/C1722)</f>
        <v>-8.13831886755158E-006</v>
      </c>
      <c r="F1723" s="1" t="n">
        <f aca="false">B1723/B1722-1</f>
        <v>0.00100737107808868</v>
      </c>
      <c r="G1723" s="1" t="n">
        <f aca="false">C1723/C1722-1</f>
        <v>-8.13828575152442E-006</v>
      </c>
    </row>
    <row r="1724" customFormat="false" ht="15" hidden="false" customHeight="false" outlineLevel="0" collapsed="false">
      <c r="A1724" s="1" t="s">
        <v>1731</v>
      </c>
      <c r="B1724" s="5" t="n">
        <v>34.7271</v>
      </c>
      <c r="C1724" s="5" t="n">
        <v>12.2878</v>
      </c>
      <c r="D1724" s="1" t="n">
        <f aca="false">LN(B1724/B1723)</f>
        <v>-0.00149051908008253</v>
      </c>
      <c r="E1724" s="1" t="n">
        <f aca="false">LN(C1724/C1723)</f>
        <v>2.44147579085606E-005</v>
      </c>
      <c r="F1724" s="1" t="n">
        <f aca="false">B1724/B1723-1</f>
        <v>-0.00148940880821413</v>
      </c>
      <c r="G1724" s="1" t="n">
        <f aca="false">C1724/C1723-1</f>
        <v>2.4415055951188E-005</v>
      </c>
    </row>
    <row r="1725" customFormat="false" ht="15" hidden="false" customHeight="false" outlineLevel="0" collapsed="false">
      <c r="A1725" s="1" t="s">
        <v>1732</v>
      </c>
      <c r="B1725" s="5" t="n">
        <v>34.5138</v>
      </c>
      <c r="C1725" s="5" t="n">
        <v>12.2881</v>
      </c>
      <c r="D1725" s="1" t="n">
        <f aca="false">LN(B1725/B1724)</f>
        <v>-0.00616111791520452</v>
      </c>
      <c r="E1725" s="1" t="n">
        <f aca="false">LN(C1725/C1724)</f>
        <v>2.44141618425951E-005</v>
      </c>
      <c r="F1725" s="1" t="n">
        <f aca="false">B1725/B1724-1</f>
        <v>-0.00614217714695431</v>
      </c>
      <c r="G1725" s="1" t="n">
        <f aca="false">C1725/C1724-1</f>
        <v>2.44144598706697E-005</v>
      </c>
    </row>
    <row r="1726" customFormat="false" ht="15" hidden="false" customHeight="false" outlineLevel="0" collapsed="false">
      <c r="A1726" s="1" t="s">
        <v>1733</v>
      </c>
      <c r="B1726" s="5" t="n">
        <v>34.8023</v>
      </c>
      <c r="C1726" s="5" t="n">
        <v>12.288</v>
      </c>
      <c r="D1726" s="1" t="n">
        <f aca="false">LN(B1726/B1725)</f>
        <v>0.00832423249183372</v>
      </c>
      <c r="E1726" s="1" t="n">
        <f aca="false">LN(C1726/C1725)</f>
        <v>-8.13798771985635E-006</v>
      </c>
      <c r="F1726" s="1" t="n">
        <f aca="false">B1726/B1725-1</f>
        <v>0.00835897525047957</v>
      </c>
      <c r="G1726" s="1" t="n">
        <f aca="false">C1726/C1725-1</f>
        <v>-8.13795460652411E-006</v>
      </c>
    </row>
    <row r="1727" customFormat="false" ht="15" hidden="false" customHeight="false" outlineLevel="0" collapsed="false">
      <c r="A1727" s="1" t="s">
        <v>1734</v>
      </c>
      <c r="B1727" s="5" t="n">
        <v>35.0104</v>
      </c>
      <c r="C1727" s="5" t="n">
        <v>12.288</v>
      </c>
      <c r="D1727" s="1" t="n">
        <f aca="false">LN(B1727/B1726)</f>
        <v>0.00596168365788631</v>
      </c>
      <c r="E1727" s="1" t="n">
        <f aca="false">LN(C1727/C1726)</f>
        <v>0</v>
      </c>
      <c r="F1727" s="1" t="n">
        <f aca="false">B1727/B1726-1</f>
        <v>0.00597948986130215</v>
      </c>
      <c r="G1727" s="1" t="n">
        <f aca="false">C1727/C1726-1</f>
        <v>0</v>
      </c>
    </row>
    <row r="1728" customFormat="false" ht="15" hidden="false" customHeight="false" outlineLevel="0" collapsed="false">
      <c r="A1728" s="1" t="s">
        <v>1735</v>
      </c>
      <c r="B1728" s="5" t="n">
        <v>35.043</v>
      </c>
      <c r="C1728" s="5" t="n">
        <v>12.2879</v>
      </c>
      <c r="D1728" s="1" t="n">
        <f aca="false">LN(B1728/B1727)</f>
        <v>0.000930718633307689</v>
      </c>
      <c r="E1728" s="1" t="n">
        <f aca="false">LN(C1728/C1727)</f>
        <v>-8.13805394719713E-006</v>
      </c>
      <c r="F1728" s="1" t="n">
        <f aca="false">B1728/B1727-1</f>
        <v>0.000931151886296666</v>
      </c>
      <c r="G1728" s="1" t="n">
        <f aca="false">C1728/C1727-1</f>
        <v>-8.13802083332593E-006</v>
      </c>
    </row>
    <row r="1729" customFormat="false" ht="15" hidden="false" customHeight="false" outlineLevel="0" collapsed="false">
      <c r="A1729" s="1" t="s">
        <v>1736</v>
      </c>
      <c r="B1729" s="5" t="n">
        <v>34.498</v>
      </c>
      <c r="C1729" s="5" t="n">
        <v>12.2879</v>
      </c>
      <c r="D1729" s="1" t="n">
        <f aca="false">LN(B1729/B1728)</f>
        <v>-0.0156745274992317</v>
      </c>
      <c r="E1729" s="1" t="n">
        <f aca="false">LN(C1729/C1728)</f>
        <v>0</v>
      </c>
      <c r="F1729" s="1" t="n">
        <f aca="false">B1729/B1728-1</f>
        <v>-0.0155523214336672</v>
      </c>
      <c r="G1729" s="1" t="n">
        <f aca="false">C1729/C1728-1</f>
        <v>0</v>
      </c>
    </row>
    <row r="1730" customFormat="false" ht="15" hidden="false" customHeight="false" outlineLevel="0" collapsed="false">
      <c r="A1730" s="1" t="s">
        <v>1737</v>
      </c>
      <c r="B1730" s="5" t="n">
        <v>34.3996</v>
      </c>
      <c r="C1730" s="5" t="n">
        <v>12.2876</v>
      </c>
      <c r="D1730" s="1" t="n">
        <f aca="false">LN(B1730/B1729)</f>
        <v>-0.00285641493766575</v>
      </c>
      <c r="E1730" s="1" t="n">
        <f aca="false">LN(C1730/C1729)</f>
        <v>-2.44145592167504E-005</v>
      </c>
      <c r="F1730" s="1" t="n">
        <f aca="false">B1730/B1729-1</f>
        <v>-0.00285233926604433</v>
      </c>
      <c r="G1730" s="1" t="n">
        <f aca="false">C1730/C1729-1</f>
        <v>-2.44142611838249E-005</v>
      </c>
    </row>
    <row r="1731" customFormat="false" ht="15" hidden="false" customHeight="false" outlineLevel="0" collapsed="false">
      <c r="A1731" s="1" t="s">
        <v>1738</v>
      </c>
      <c r="B1731" s="5" t="n">
        <v>34.5855</v>
      </c>
      <c r="C1731" s="5" t="n">
        <v>12.2877</v>
      </c>
      <c r="D1731" s="1" t="n">
        <f aca="false">LN(B1731/B1730)</f>
        <v>0.00538958267786932</v>
      </c>
      <c r="E1731" s="1" t="n">
        <f aca="false">LN(C1731/C1730)</f>
        <v>8.1382526358566E-006</v>
      </c>
      <c r="F1731" s="1" t="n">
        <f aca="false">B1731/B1730-1</f>
        <v>0.0054041326061931</v>
      </c>
      <c r="G1731" s="1" t="n">
        <f aca="false">C1731/C1730-1</f>
        <v>8.13828575152442E-006</v>
      </c>
    </row>
    <row r="1732" customFormat="false" ht="15" hidden="false" customHeight="false" outlineLevel="0" collapsed="false">
      <c r="A1732" s="1" t="s">
        <v>1739</v>
      </c>
      <c r="B1732" s="5" t="n">
        <v>34.0285</v>
      </c>
      <c r="C1732" s="5" t="n">
        <v>12.2879</v>
      </c>
      <c r="D1732" s="1" t="n">
        <f aca="false">LN(B1732/B1731)</f>
        <v>-0.0162361102953637</v>
      </c>
      <c r="E1732" s="1" t="n">
        <f aca="false">LN(C1732/C1731)</f>
        <v>1.62763065809889E-005</v>
      </c>
      <c r="F1732" s="1" t="n">
        <f aca="false">B1732/B1731-1</f>
        <v>-0.0161050151074873</v>
      </c>
      <c r="G1732" s="1" t="n">
        <f aca="false">C1732/C1731-1</f>
        <v>1.62764390407855E-005</v>
      </c>
    </row>
    <row r="1733" customFormat="false" ht="15" hidden="false" customHeight="false" outlineLevel="0" collapsed="false">
      <c r="A1733" s="1" t="s">
        <v>1740</v>
      </c>
      <c r="B1733" s="5" t="n">
        <v>34.2884</v>
      </c>
      <c r="C1733" s="5" t="n">
        <v>12.2878</v>
      </c>
      <c r="D1733" s="1" t="n">
        <f aca="false">LN(B1733/B1732)</f>
        <v>0.00760869576483906</v>
      </c>
      <c r="E1733" s="1" t="n">
        <f aca="false">LN(C1733/C1732)</f>
        <v>-8.13812017564814E-006</v>
      </c>
      <c r="F1733" s="1" t="n">
        <f aca="false">B1733/B1732-1</f>
        <v>0.00763771544440695</v>
      </c>
      <c r="G1733" s="1" t="n">
        <f aca="false">C1733/C1732-1</f>
        <v>-8.13808706123798E-006</v>
      </c>
    </row>
    <row r="1734" customFormat="false" ht="15" hidden="false" customHeight="false" outlineLevel="0" collapsed="false">
      <c r="A1734" s="1" t="s">
        <v>1741</v>
      </c>
      <c r="B1734" s="5" t="n">
        <v>34.4509</v>
      </c>
      <c r="C1734" s="5" t="n">
        <v>12.2881</v>
      </c>
      <c r="D1734" s="1" t="n">
        <f aca="false">LN(B1734/B1733)</f>
        <v>0.00472801738488201</v>
      </c>
      <c r="E1734" s="1" t="n">
        <f aca="false">LN(C1734/C1733)</f>
        <v>2.44141618425951E-005</v>
      </c>
      <c r="F1734" s="1" t="n">
        <f aca="false">B1734/B1733-1</f>
        <v>0.00473921209505246</v>
      </c>
      <c r="G1734" s="1" t="n">
        <f aca="false">C1734/C1733-1</f>
        <v>2.44144598706697E-005</v>
      </c>
    </row>
    <row r="1735" customFormat="false" ht="15" hidden="false" customHeight="false" outlineLevel="0" collapsed="false">
      <c r="A1735" s="1" t="s">
        <v>1742</v>
      </c>
      <c r="B1735" s="5" t="n">
        <v>34.6212</v>
      </c>
      <c r="C1735" s="5" t="n">
        <v>12.2879</v>
      </c>
      <c r="D1735" s="1" t="n">
        <f aca="false">LN(B1735/B1734)</f>
        <v>0.00493108925541098</v>
      </c>
      <c r="E1735" s="1" t="n">
        <f aca="false">LN(C1735/C1734)</f>
        <v>-1.62760416669848E-005</v>
      </c>
      <c r="F1735" s="1" t="n">
        <f aca="false">B1735/B1734-1</f>
        <v>0.00494326708445936</v>
      </c>
      <c r="G1735" s="1" t="n">
        <f aca="false">C1735/C1734-1</f>
        <v>-1.62759092129372E-005</v>
      </c>
    </row>
    <row r="1736" customFormat="false" ht="15" hidden="false" customHeight="false" outlineLevel="0" collapsed="false">
      <c r="A1736" s="1" t="s">
        <v>1743</v>
      </c>
      <c r="B1736" s="5" t="n">
        <v>34.6775</v>
      </c>
      <c r="C1736" s="5" t="n">
        <v>12.2881</v>
      </c>
      <c r="D1736" s="1" t="n">
        <f aca="false">LN(B1736/B1735)</f>
        <v>0.00162485046289906</v>
      </c>
      <c r="E1736" s="1" t="n">
        <f aca="false">LN(C1736/C1735)</f>
        <v>1.62760416669912E-005</v>
      </c>
      <c r="F1736" s="1" t="n">
        <f aca="false">B1736/B1735-1</f>
        <v>0.00162617124767483</v>
      </c>
      <c r="G1736" s="1" t="n">
        <f aca="false">C1736/C1735-1</f>
        <v>1.6276174122476E-005</v>
      </c>
    </row>
    <row r="1737" customFormat="false" ht="15" hidden="false" customHeight="false" outlineLevel="0" collapsed="false">
      <c r="A1737" s="1" t="s">
        <v>1744</v>
      </c>
      <c r="B1737" s="5" t="n">
        <v>34.8451</v>
      </c>
      <c r="C1737" s="5" t="n">
        <v>12.288</v>
      </c>
      <c r="D1737" s="1" t="n">
        <f aca="false">LN(B1737/B1736)</f>
        <v>0.00482146308325871</v>
      </c>
      <c r="E1737" s="1" t="n">
        <f aca="false">LN(C1737/C1736)</f>
        <v>-8.13798771985635E-006</v>
      </c>
      <c r="F1737" s="1" t="n">
        <f aca="false">B1737/B1736-1</f>
        <v>0.00483310503929069</v>
      </c>
      <c r="G1737" s="1" t="n">
        <f aca="false">C1737/C1736-1</f>
        <v>-8.13795460652411E-006</v>
      </c>
    </row>
    <row r="1738" customFormat="false" ht="15" hidden="false" customHeight="false" outlineLevel="0" collapsed="false">
      <c r="A1738" s="1" t="s">
        <v>1745</v>
      </c>
      <c r="B1738" s="5" t="n">
        <v>34.3246</v>
      </c>
      <c r="C1738" s="5" t="n">
        <v>12.2877</v>
      </c>
      <c r="D1738" s="1" t="n">
        <f aca="false">LN(B1738/B1737)</f>
        <v>-0.0150502264663437</v>
      </c>
      <c r="E1738" s="1" t="n">
        <f aca="false">LN(C1738/C1737)</f>
        <v>-2.44143605281634E-005</v>
      </c>
      <c r="F1738" s="1" t="n">
        <f aca="false">B1738/B1737-1</f>
        <v>-0.0149375378460674</v>
      </c>
      <c r="G1738" s="1" t="n">
        <f aca="false">C1738/C1737-1</f>
        <v>-2.44140625000888E-005</v>
      </c>
    </row>
    <row r="1739" customFormat="false" ht="15" hidden="false" customHeight="false" outlineLevel="0" collapsed="false">
      <c r="A1739" s="1" t="s">
        <v>1746</v>
      </c>
      <c r="B1739" s="5" t="n">
        <v>33.4494</v>
      </c>
      <c r="C1739" s="5" t="n">
        <v>12.2877</v>
      </c>
      <c r="D1739" s="1" t="n">
        <f aca="false">LN(B1739/B1738)</f>
        <v>-0.0258284490785905</v>
      </c>
      <c r="E1739" s="1" t="n">
        <f aca="false">LN(C1739/C1738)</f>
        <v>0</v>
      </c>
      <c r="F1739" s="1" t="n">
        <f aca="false">B1739/B1738-1</f>
        <v>-0.025497747970843</v>
      </c>
      <c r="G1739" s="1" t="n">
        <f aca="false">C1739/C1738-1</f>
        <v>0</v>
      </c>
    </row>
    <row r="1740" customFormat="false" ht="15" hidden="false" customHeight="false" outlineLevel="0" collapsed="false">
      <c r="A1740" s="1" t="s">
        <v>1747</v>
      </c>
      <c r="B1740" s="5" t="n">
        <v>33.4317</v>
      </c>
      <c r="C1740" s="5" t="n">
        <v>12.2879</v>
      </c>
      <c r="D1740" s="1" t="n">
        <f aca="false">LN(B1740/B1739)</f>
        <v>-0.000529297526901505</v>
      </c>
      <c r="E1740" s="1" t="n">
        <f aca="false">LN(C1740/C1739)</f>
        <v>1.62763065809889E-005</v>
      </c>
      <c r="F1740" s="1" t="n">
        <f aca="false">B1740/B1739-1</f>
        <v>-0.000529157473676545</v>
      </c>
      <c r="G1740" s="1" t="n">
        <f aca="false">C1740/C1739-1</f>
        <v>1.62764390407855E-005</v>
      </c>
    </row>
    <row r="1741" customFormat="false" ht="15" hidden="false" customHeight="false" outlineLevel="0" collapsed="false">
      <c r="A1741" s="1" t="s">
        <v>1748</v>
      </c>
      <c r="B1741" s="5" t="n">
        <v>33.848</v>
      </c>
      <c r="C1741" s="5" t="n">
        <v>12.2888</v>
      </c>
      <c r="D1741" s="1" t="n">
        <f aca="false">LN(B1741/B1740)</f>
        <v>0.0123753617510354</v>
      </c>
      <c r="E1741" s="1" t="n">
        <f aca="false">LN(C1741/C1740)</f>
        <v>7.32401014295449E-005</v>
      </c>
      <c r="F1741" s="1" t="n">
        <f aca="false">B1741/B1740-1</f>
        <v>0.0124522534002161</v>
      </c>
      <c r="G1741" s="1" t="n">
        <f aca="false">C1741/C1740-1</f>
        <v>7.32427835512528E-005</v>
      </c>
    </row>
    <row r="1742" customFormat="false" ht="15" hidden="false" customHeight="false" outlineLevel="0" collapsed="false">
      <c r="A1742" s="1" t="s">
        <v>1749</v>
      </c>
      <c r="B1742" s="5" t="n">
        <v>33.9636</v>
      </c>
      <c r="C1742" s="5" t="n">
        <v>12.2888</v>
      </c>
      <c r="D1742" s="1" t="n">
        <f aca="false">LN(B1742/B1741)</f>
        <v>0.00340944947416594</v>
      </c>
      <c r="E1742" s="1" t="n">
        <f aca="false">LN(C1742/C1741)</f>
        <v>0</v>
      </c>
      <c r="F1742" s="1" t="n">
        <f aca="false">B1742/B1741-1</f>
        <v>0.00341526825809502</v>
      </c>
      <c r="G1742" s="1" t="n">
        <f aca="false">C1742/C1741-1</f>
        <v>0</v>
      </c>
    </row>
    <row r="1743" customFormat="false" ht="15" hidden="false" customHeight="false" outlineLevel="0" collapsed="false">
      <c r="A1743" s="1" t="s">
        <v>1750</v>
      </c>
      <c r="B1743" s="5" t="n">
        <v>34.2138</v>
      </c>
      <c r="C1743" s="5" t="n">
        <v>12.2894</v>
      </c>
      <c r="D1743" s="1" t="n">
        <f aca="false">LN(B1743/B1742)</f>
        <v>0.00733970856078548</v>
      </c>
      <c r="E1743" s="1" t="n">
        <f aca="false">LN(C1743/C1742)</f>
        <v>4.88237543937641E-005</v>
      </c>
      <c r="F1743" s="1" t="n">
        <f aca="false">B1743/B1742-1</f>
        <v>0.00736671024273039</v>
      </c>
      <c r="G1743" s="1" t="n">
        <f aca="false">C1743/C1742-1</f>
        <v>4.88249462926582E-005</v>
      </c>
    </row>
    <row r="1744" customFormat="false" ht="15" hidden="false" customHeight="false" outlineLevel="0" collapsed="false">
      <c r="A1744" s="1" t="s">
        <v>1751</v>
      </c>
      <c r="B1744" s="5" t="n">
        <v>34.3195</v>
      </c>
      <c r="C1744" s="5" t="n">
        <v>12.2887</v>
      </c>
      <c r="D1744" s="1" t="n">
        <f aca="false">LN(B1744/B1743)</f>
        <v>0.00308463429634937</v>
      </c>
      <c r="E1744" s="1" t="n">
        <f aca="false">LN(C1744/C1743)</f>
        <v>-5.69612785519822E-005</v>
      </c>
      <c r="F1744" s="1" t="n">
        <f aca="false">B1744/B1743-1</f>
        <v>0.0030893966761949</v>
      </c>
      <c r="G1744" s="1" t="n">
        <f aca="false">C1744/C1743-1</f>
        <v>-5.69596562891572E-005</v>
      </c>
    </row>
    <row r="1745" customFormat="false" ht="15" hidden="false" customHeight="false" outlineLevel="0" collapsed="false">
      <c r="A1745" s="1" t="s">
        <v>1752</v>
      </c>
      <c r="B1745" s="5" t="n">
        <v>33.9953</v>
      </c>
      <c r="C1745" s="5" t="n">
        <v>12.2887</v>
      </c>
      <c r="D1745" s="1" t="n">
        <f aca="false">LN(B1745/B1744)</f>
        <v>-0.00949142598240238</v>
      </c>
      <c r="E1745" s="1" t="n">
        <f aca="false">LN(C1745/C1744)</f>
        <v>0</v>
      </c>
      <c r="F1745" s="1" t="n">
        <f aca="false">B1745/B1744-1</f>
        <v>-0.00944652457057937</v>
      </c>
      <c r="G1745" s="1" t="n">
        <f aca="false">C1745/C1744-1</f>
        <v>0</v>
      </c>
    </row>
    <row r="1746" customFormat="false" ht="15" hidden="false" customHeight="false" outlineLevel="0" collapsed="false">
      <c r="A1746" s="1" t="s">
        <v>1753</v>
      </c>
      <c r="B1746" s="5" t="n">
        <v>34.4381</v>
      </c>
      <c r="C1746" s="5" t="n">
        <v>12.2891</v>
      </c>
      <c r="D1746" s="1" t="n">
        <f aca="false">LN(B1746/B1745)</f>
        <v>0.0129412298622056</v>
      </c>
      <c r="E1746" s="1" t="n">
        <f aca="false">LN(C1746/C1745)</f>
        <v>3.25496993249039E-005</v>
      </c>
      <c r="F1746" s="1" t="n">
        <f aca="false">B1746/B1745-1</f>
        <v>0.0130253299720844</v>
      </c>
      <c r="G1746" s="1" t="n">
        <f aca="false">C1746/C1745-1</f>
        <v>3.25502290721147E-005</v>
      </c>
    </row>
    <row r="1747" customFormat="false" ht="15" hidden="false" customHeight="false" outlineLevel="0" collapsed="false">
      <c r="A1747" s="1" t="s">
        <v>1754</v>
      </c>
      <c r="B1747" s="5" t="n">
        <v>34.685</v>
      </c>
      <c r="C1747" s="5" t="n">
        <v>12.2892</v>
      </c>
      <c r="D1747" s="1" t="n">
        <f aca="false">LN(B1747/B1746)</f>
        <v>0.00714380720839415</v>
      </c>
      <c r="E1747" s="1" t="n">
        <f aca="false">LN(C1747/C1746)</f>
        <v>8.13725928965253E-006</v>
      </c>
      <c r="F1747" s="1" t="n">
        <f aca="false">B1747/B1746-1</f>
        <v>0.00716938507060494</v>
      </c>
      <c r="G1747" s="1" t="n">
        <f aca="false">C1747/C1746-1</f>
        <v>8.13729239723671E-006</v>
      </c>
    </row>
    <row r="1748" customFormat="false" ht="15" hidden="false" customHeight="false" outlineLevel="0" collapsed="false">
      <c r="A1748" s="1" t="s">
        <v>1755</v>
      </c>
      <c r="B1748" s="5" t="n">
        <v>34.545</v>
      </c>
      <c r="C1748" s="5" t="n">
        <v>12.2892</v>
      </c>
      <c r="D1748" s="1" t="n">
        <f aca="false">LN(B1748/B1747)</f>
        <v>-0.00404449489650641</v>
      </c>
      <c r="E1748" s="1" t="n">
        <f aca="false">LN(C1748/C1747)</f>
        <v>0</v>
      </c>
      <c r="F1748" s="1" t="n">
        <f aca="false">B1748/B1747-1</f>
        <v>-0.00403632694248235</v>
      </c>
      <c r="G1748" s="1" t="n">
        <f aca="false">C1748/C1747-1</f>
        <v>0</v>
      </c>
    </row>
    <row r="1749" customFormat="false" ht="15" hidden="false" customHeight="false" outlineLevel="0" collapsed="false">
      <c r="A1749" s="1" t="s">
        <v>1756</v>
      </c>
      <c r="B1749" s="5" t="n">
        <v>34.4071</v>
      </c>
      <c r="C1749" s="5" t="n">
        <v>12.2888</v>
      </c>
      <c r="D1749" s="1" t="n">
        <f aca="false">LN(B1749/B1748)</f>
        <v>-0.00399988350915811</v>
      </c>
      <c r="E1749" s="1" t="n">
        <f aca="false">LN(C1749/C1748)</f>
        <v>-3.25494344563514E-005</v>
      </c>
      <c r="F1749" s="1" t="n">
        <f aca="false">B1749/B1748-1</f>
        <v>-0.00399189463019256</v>
      </c>
      <c r="G1749" s="1" t="n">
        <f aca="false">C1749/C1748-1</f>
        <v>-3.25489047292571E-005</v>
      </c>
    </row>
    <row r="1750" customFormat="false" ht="15" hidden="false" customHeight="false" outlineLevel="0" collapsed="false">
      <c r="A1750" s="1" t="s">
        <v>1757</v>
      </c>
      <c r="B1750" s="5" t="n">
        <v>34.4623</v>
      </c>
      <c r="C1750" s="5" t="n">
        <v>12.2902</v>
      </c>
      <c r="D1750" s="1" t="n">
        <f aca="false">LN(B1750/B1749)</f>
        <v>0.00160303449197203</v>
      </c>
      <c r="E1750" s="1" t="n">
        <f aca="false">LN(C1750/C1749)</f>
        <v>0.000113918385736942</v>
      </c>
      <c r="F1750" s="1" t="n">
        <f aca="false">B1750/B1749-1</f>
        <v>0.00160432003859667</v>
      </c>
      <c r="G1750" s="1" t="n">
        <f aca="false">C1750/C1749-1</f>
        <v>0.000113924874682647</v>
      </c>
    </row>
    <row r="1751" customFormat="false" ht="15" hidden="false" customHeight="false" outlineLevel="0" collapsed="false">
      <c r="A1751" s="1" t="s">
        <v>1758</v>
      </c>
      <c r="B1751" s="5" t="n">
        <v>34.3302</v>
      </c>
      <c r="C1751" s="5" t="n">
        <v>12.2896</v>
      </c>
      <c r="D1751" s="1" t="n">
        <f aca="false">LN(B1751/B1750)</f>
        <v>-0.00384053966261064</v>
      </c>
      <c r="E1751" s="1" t="n">
        <f aca="false">LN(C1751/C1750)</f>
        <v>-4.88205762553089E-005</v>
      </c>
      <c r="F1751" s="1" t="n">
        <f aca="false">B1751/B1750-1</f>
        <v>-0.00383317422226614</v>
      </c>
      <c r="G1751" s="1" t="n">
        <f aca="false">C1751/C1750-1</f>
        <v>-4.88193845503693E-005</v>
      </c>
    </row>
    <row r="1752" customFormat="false" ht="15" hidden="false" customHeight="false" outlineLevel="0" collapsed="false">
      <c r="A1752" s="1" t="s">
        <v>1759</v>
      </c>
      <c r="B1752" s="5" t="n">
        <v>34.4553</v>
      </c>
      <c r="C1752" s="5" t="n">
        <v>12.2892</v>
      </c>
      <c r="D1752" s="1" t="n">
        <f aca="false">LN(B1752/B1751)</f>
        <v>0.00363739851944632</v>
      </c>
      <c r="E1752" s="1" t="n">
        <f aca="false">LN(C1752/C1751)</f>
        <v>-3.25483750252981E-005</v>
      </c>
      <c r="F1752" s="1" t="n">
        <f aca="false">B1752/B1751-1</f>
        <v>0.00364402188160873</v>
      </c>
      <c r="G1752" s="1" t="n">
        <f aca="false">C1752/C1751-1</f>
        <v>-3.25478453326866E-005</v>
      </c>
    </row>
    <row r="1753" customFormat="false" ht="15" hidden="false" customHeight="false" outlineLevel="0" collapsed="false">
      <c r="A1753" s="1" t="s">
        <v>1760</v>
      </c>
      <c r="B1753" s="5" t="n">
        <v>34.3358</v>
      </c>
      <c r="C1753" s="5" t="n">
        <v>12.2892</v>
      </c>
      <c r="D1753" s="1" t="n">
        <f aca="false">LN(B1753/B1752)</f>
        <v>-0.00347429013939167</v>
      </c>
      <c r="E1753" s="1" t="n">
        <f aca="false">LN(C1753/C1752)</f>
        <v>0</v>
      </c>
      <c r="F1753" s="1" t="n">
        <f aca="false">B1753/B1752-1</f>
        <v>-0.003468261776853</v>
      </c>
      <c r="G1753" s="1" t="n">
        <f aca="false">C1753/C1752-1</f>
        <v>0</v>
      </c>
    </row>
    <row r="1754" customFormat="false" ht="15" hidden="false" customHeight="false" outlineLevel="0" collapsed="false">
      <c r="A1754" s="1" t="s">
        <v>1761</v>
      </c>
      <c r="B1754" s="5" t="n">
        <v>34.4554</v>
      </c>
      <c r="C1754" s="5" t="n">
        <v>12.2892</v>
      </c>
      <c r="D1754" s="1" t="n">
        <f aca="false">LN(B1754/B1753)</f>
        <v>0.00347719244629014</v>
      </c>
      <c r="E1754" s="1" t="n">
        <f aca="false">LN(C1754/C1753)</f>
        <v>0</v>
      </c>
      <c r="F1754" s="1" t="n">
        <f aca="false">B1754/B1753-1</f>
        <v>0.00348324489308527</v>
      </c>
      <c r="G1754" s="1" t="n">
        <f aca="false">C1754/C1753-1</f>
        <v>0</v>
      </c>
    </row>
    <row r="1755" customFormat="false" ht="15" hidden="false" customHeight="false" outlineLevel="0" collapsed="false">
      <c r="A1755" s="1" t="s">
        <v>1762</v>
      </c>
      <c r="B1755" s="5" t="n">
        <v>34.6016</v>
      </c>
      <c r="C1755" s="5" t="n">
        <v>12.2889</v>
      </c>
      <c r="D1755" s="1" t="n">
        <f aca="false">LN(B1755/B1754)</f>
        <v>0.00423418968177443</v>
      </c>
      <c r="E1755" s="1" t="n">
        <f aca="false">LN(C1755/C1754)</f>
        <v>-2.44119765168169E-005</v>
      </c>
      <c r="F1755" s="1" t="n">
        <f aca="false">B1755/B1754-1</f>
        <v>0.00424316652832357</v>
      </c>
      <c r="G1755" s="1" t="n">
        <f aca="false">C1755/C1754-1</f>
        <v>-2.44116785469428E-005</v>
      </c>
    </row>
    <row r="1756" customFormat="false" ht="15" hidden="false" customHeight="false" outlineLevel="0" collapsed="false">
      <c r="A1756" s="1" t="s">
        <v>1763</v>
      </c>
      <c r="B1756" s="5" t="n">
        <v>34.8033</v>
      </c>
      <c r="C1756" s="5" t="n">
        <v>12.2903</v>
      </c>
      <c r="D1756" s="1" t="n">
        <f aca="false">LN(B1756/B1755)</f>
        <v>0.00581228610170347</v>
      </c>
      <c r="E1756" s="1" t="n">
        <f aca="false">LN(C1756/C1755)</f>
        <v>0.000113917458787444</v>
      </c>
      <c r="F1756" s="1" t="n">
        <f aca="false">B1756/B1755-1</f>
        <v>0.00582921020993266</v>
      </c>
      <c r="G1756" s="1" t="n">
        <f aca="false">C1756/C1755-1</f>
        <v>0.000113923947627548</v>
      </c>
    </row>
    <row r="1757" customFormat="false" ht="15" hidden="false" customHeight="false" outlineLevel="0" collapsed="false">
      <c r="A1757" s="1" t="s">
        <v>1764</v>
      </c>
      <c r="B1757" s="5" t="n">
        <v>34.6965</v>
      </c>
      <c r="C1757" s="5" t="n">
        <v>12.2903</v>
      </c>
      <c r="D1757" s="1" t="n">
        <f aca="false">LN(B1757/B1756)</f>
        <v>-0.00307339255845596</v>
      </c>
      <c r="E1757" s="1" t="n">
        <f aca="false">LN(C1757/C1756)</f>
        <v>0</v>
      </c>
      <c r="F1757" s="1" t="n">
        <f aca="false">B1757/B1756-1</f>
        <v>-0.00306867452224358</v>
      </c>
      <c r="G1757" s="1" t="n">
        <f aca="false">C1757/C1756-1</f>
        <v>0</v>
      </c>
    </row>
    <row r="1758" customFormat="false" ht="15" hidden="false" customHeight="false" outlineLevel="0" collapsed="false">
      <c r="A1758" s="1" t="s">
        <v>1765</v>
      </c>
      <c r="B1758" s="5" t="n">
        <v>34.8296</v>
      </c>
      <c r="C1758" s="5" t="n">
        <v>12.2897</v>
      </c>
      <c r="D1758" s="1" t="n">
        <f aca="false">LN(B1758/B1757)</f>
        <v>0.00382878264706614</v>
      </c>
      <c r="E1758" s="1" t="n">
        <f aca="false">LN(C1758/C1757)</f>
        <v>-4.88201790171027E-005</v>
      </c>
      <c r="F1758" s="1" t="n">
        <f aca="false">B1758/B1757-1</f>
        <v>0.00383612179902859</v>
      </c>
      <c r="G1758" s="1" t="n">
        <f aca="false">C1758/C1757-1</f>
        <v>-4.88189873315559E-005</v>
      </c>
    </row>
    <row r="1759" customFormat="false" ht="15" hidden="false" customHeight="false" outlineLevel="0" collapsed="false">
      <c r="A1759" s="1" t="s">
        <v>1766</v>
      </c>
      <c r="B1759" s="5" t="n">
        <v>34.7998</v>
      </c>
      <c r="C1759" s="5" t="n">
        <v>12.2892</v>
      </c>
      <c r="D1759" s="1" t="n">
        <f aca="false">LN(B1759/B1758)</f>
        <v>-0.000855960321917474</v>
      </c>
      <c r="E1759" s="1" t="n">
        <f aca="false">LN(C1759/C1758)</f>
        <v>-4.06853032536176E-005</v>
      </c>
      <c r="F1759" s="1" t="n">
        <f aca="false">B1759/B1758-1</f>
        <v>-0.000855594092381229</v>
      </c>
      <c r="G1759" s="1" t="n">
        <f aca="false">C1759/C1758-1</f>
        <v>-4.06844756178915E-005</v>
      </c>
    </row>
    <row r="1760" customFormat="false" ht="15" hidden="false" customHeight="false" outlineLevel="0" collapsed="false">
      <c r="A1760" s="1" t="s">
        <v>1767</v>
      </c>
      <c r="B1760" s="5" t="n">
        <v>34.7539</v>
      </c>
      <c r="C1760" s="5" t="n">
        <v>12.2896</v>
      </c>
      <c r="D1760" s="1" t="n">
        <f aca="false">LN(B1760/B1759)</f>
        <v>-0.00131984370818804</v>
      </c>
      <c r="E1760" s="1" t="n">
        <f aca="false">LN(C1760/C1759)</f>
        <v>3.25483750253738E-005</v>
      </c>
      <c r="F1760" s="1" t="n">
        <f aca="false">B1760/B1759-1</f>
        <v>-0.00131897309754647</v>
      </c>
      <c r="G1760" s="1" t="n">
        <f aca="false">C1760/C1759-1</f>
        <v>3.25489047294791E-005</v>
      </c>
    </row>
    <row r="1761" customFormat="false" ht="15" hidden="false" customHeight="false" outlineLevel="0" collapsed="false">
      <c r="A1761" s="1" t="s">
        <v>1768</v>
      </c>
      <c r="B1761" s="5" t="n">
        <v>34.2849</v>
      </c>
      <c r="C1761" s="5" t="n">
        <v>12.2898</v>
      </c>
      <c r="D1761" s="1" t="n">
        <f aca="false">LN(B1761/B1760)</f>
        <v>-0.0135867719246468</v>
      </c>
      <c r="E1761" s="1" t="n">
        <f aca="false">LN(C1761/C1760)</f>
        <v>1.62737902475005E-005</v>
      </c>
      <c r="F1761" s="1" t="n">
        <f aca="false">B1761/B1760-1</f>
        <v>-0.0134948883434666</v>
      </c>
      <c r="G1761" s="1" t="n">
        <f aca="false">C1761/C1760-1</f>
        <v>1.62739226663433E-005</v>
      </c>
    </row>
    <row r="1762" customFormat="false" ht="15" hidden="false" customHeight="false" outlineLevel="0" collapsed="false">
      <c r="A1762" s="1" t="s">
        <v>1769</v>
      </c>
      <c r="B1762" s="5" t="n">
        <v>34.2872</v>
      </c>
      <c r="C1762" s="5" t="n">
        <v>12.2898</v>
      </c>
      <c r="D1762" s="1" t="n">
        <f aca="false">LN(B1762/B1761)</f>
        <v>6.70826765071785E-005</v>
      </c>
      <c r="E1762" s="1" t="n">
        <f aca="false">LN(C1762/C1761)</f>
        <v>0</v>
      </c>
      <c r="F1762" s="1" t="n">
        <f aca="false">B1762/B1761-1</f>
        <v>6.7084926600236E-005</v>
      </c>
      <c r="G1762" s="1" t="n">
        <f aca="false">C1762/C1761-1</f>
        <v>0</v>
      </c>
    </row>
    <row r="1763" customFormat="false" ht="15" hidden="false" customHeight="false" outlineLevel="0" collapsed="false">
      <c r="A1763" s="1" t="s">
        <v>1770</v>
      </c>
      <c r="B1763" s="5" t="n">
        <v>34.1654</v>
      </c>
      <c r="C1763" s="5" t="n">
        <v>12.2898</v>
      </c>
      <c r="D1763" s="1" t="n">
        <f aca="false">LN(B1763/B1762)</f>
        <v>-0.0035586706287551</v>
      </c>
      <c r="E1763" s="1" t="n">
        <f aca="false">LN(C1763/C1762)</f>
        <v>0</v>
      </c>
      <c r="F1763" s="1" t="n">
        <f aca="false">B1763/B1762-1</f>
        <v>-0.00355234606500388</v>
      </c>
      <c r="G1763" s="1" t="n">
        <f aca="false">C1763/C1762-1</f>
        <v>0</v>
      </c>
    </row>
    <row r="1764" customFormat="false" ht="15" hidden="false" customHeight="false" outlineLevel="0" collapsed="false">
      <c r="A1764" s="1" t="s">
        <v>1771</v>
      </c>
      <c r="B1764" s="5" t="n">
        <v>34.0794</v>
      </c>
      <c r="C1764" s="5" t="n">
        <v>12.2909</v>
      </c>
      <c r="D1764" s="1" t="n">
        <f aca="false">LN(B1764/B1763)</f>
        <v>-0.00252033988006328</v>
      </c>
      <c r="E1764" s="1" t="n">
        <f aca="false">LN(C1764/C1763)</f>
        <v>8.9501112721298E-005</v>
      </c>
      <c r="F1764" s="1" t="n">
        <f aca="false">B1764/B1763-1</f>
        <v>-0.00251716649007472</v>
      </c>
      <c r="G1764" s="1" t="n">
        <f aca="false">C1764/C1763-1</f>
        <v>8.95051180653805E-005</v>
      </c>
    </row>
    <row r="1765" customFormat="false" ht="15" hidden="false" customHeight="false" outlineLevel="0" collapsed="false">
      <c r="A1765" s="1" t="s">
        <v>1772</v>
      </c>
      <c r="B1765" s="5" t="n">
        <v>34.0881</v>
      </c>
      <c r="C1765" s="5" t="n">
        <v>12.291</v>
      </c>
      <c r="D1765" s="1" t="n">
        <f aca="false">LN(B1765/B1764)</f>
        <v>0.000255253604642565</v>
      </c>
      <c r="E1765" s="1" t="n">
        <f aca="false">LN(C1765/C1764)</f>
        <v>8.13606759439206E-006</v>
      </c>
      <c r="F1765" s="1" t="n">
        <f aca="false">B1765/B1764-1</f>
        <v>0.000255286184615899</v>
      </c>
      <c r="G1765" s="1" t="n">
        <f aca="false">C1765/C1764-1</f>
        <v>8.13610069227977E-006</v>
      </c>
    </row>
    <row r="1766" customFormat="false" ht="15" hidden="false" customHeight="false" outlineLevel="0" collapsed="false">
      <c r="A1766" s="1" t="s">
        <v>1773</v>
      </c>
      <c r="B1766" s="5" t="n">
        <v>34.2227</v>
      </c>
      <c r="C1766" s="5" t="n">
        <v>12.2903</v>
      </c>
      <c r="D1766" s="1" t="n">
        <f aca="false">LN(B1766/B1765)</f>
        <v>0.00394081680188809</v>
      </c>
      <c r="E1766" s="1" t="n">
        <f aca="false">LN(C1766/C1765)</f>
        <v>-5.69538633179869E-005</v>
      </c>
      <c r="F1766" s="1" t="n">
        <f aca="false">B1766/B1765-1</f>
        <v>0.00394859203065012</v>
      </c>
      <c r="G1766" s="1" t="n">
        <f aca="false">C1766/C1765-1</f>
        <v>-5.69522414775037E-005</v>
      </c>
    </row>
    <row r="1767" customFormat="false" ht="15" hidden="false" customHeight="false" outlineLevel="0" collapsed="false">
      <c r="A1767" s="1" t="s">
        <v>1774</v>
      </c>
      <c r="B1767" s="5" t="n">
        <v>34.2486</v>
      </c>
      <c r="C1767" s="5" t="n">
        <v>12.2903</v>
      </c>
      <c r="D1767" s="1" t="n">
        <f aca="false">LN(B1767/B1766)</f>
        <v>0.00075652138152098</v>
      </c>
      <c r="E1767" s="1" t="n">
        <f aca="false">LN(C1767/C1766)</f>
        <v>0</v>
      </c>
      <c r="F1767" s="1" t="n">
        <f aca="false">B1767/B1766-1</f>
        <v>0.000756807615997612</v>
      </c>
      <c r="G1767" s="1" t="n">
        <f aca="false">C1767/C1766-1</f>
        <v>0</v>
      </c>
    </row>
    <row r="1768" customFormat="false" ht="15" hidden="false" customHeight="false" outlineLevel="0" collapsed="false">
      <c r="A1768" s="1" t="s">
        <v>1775</v>
      </c>
      <c r="B1768" s="5" t="n">
        <v>34.3814</v>
      </c>
      <c r="C1768" s="5" t="n">
        <v>12.2904</v>
      </c>
      <c r="D1768" s="1" t="n">
        <f aca="false">LN(B1768/B1767)</f>
        <v>0.00387003251485064</v>
      </c>
      <c r="E1768" s="1" t="n">
        <f aca="false">LN(C1768/C1767)</f>
        <v>8.13646478743625E-006</v>
      </c>
      <c r="F1768" s="1" t="n">
        <f aca="false">B1768/B1767-1</f>
        <v>0.00387753076038133</v>
      </c>
      <c r="G1768" s="1" t="n">
        <f aca="false">C1768/C1767-1</f>
        <v>8.13649788855564E-006</v>
      </c>
    </row>
    <row r="1769" customFormat="false" ht="15" hidden="false" customHeight="false" outlineLevel="0" collapsed="false">
      <c r="A1769" s="1" t="s">
        <v>1776</v>
      </c>
      <c r="B1769" s="5" t="n">
        <v>34.3183</v>
      </c>
      <c r="C1769" s="5" t="n">
        <v>12.2892</v>
      </c>
      <c r="D1769" s="1" t="n">
        <f aca="false">LN(B1769/B1768)</f>
        <v>-0.00183698088184479</v>
      </c>
      <c r="E1769" s="1" t="n">
        <f aca="false">LN(C1769/C1768)</f>
        <v>-9.76419470580167E-005</v>
      </c>
      <c r="F1769" s="1" t="n">
        <f aca="false">B1769/B1768-1</f>
        <v>-0.00183529466513865</v>
      </c>
      <c r="G1769" s="1" t="n">
        <f aca="false">C1769/C1768-1</f>
        <v>-9.76371802382525E-005</v>
      </c>
    </row>
    <row r="1770" customFormat="false" ht="15" hidden="false" customHeight="false" outlineLevel="0" collapsed="false">
      <c r="A1770" s="1" t="s">
        <v>1777</v>
      </c>
      <c r="B1770" s="5" t="n">
        <v>33.9851</v>
      </c>
      <c r="C1770" s="5" t="n">
        <v>12.2892</v>
      </c>
      <c r="D1770" s="1" t="n">
        <f aca="false">LN(B1770/B1769)</f>
        <v>-0.00975654632449486</v>
      </c>
      <c r="E1770" s="1" t="n">
        <f aca="false">LN(C1770/C1769)</f>
        <v>0</v>
      </c>
      <c r="F1770" s="1" t="n">
        <f aca="false">B1770/B1769-1</f>
        <v>-0.00970910563751692</v>
      </c>
      <c r="G1770" s="1" t="n">
        <f aca="false">C1770/C1769-1</f>
        <v>0</v>
      </c>
    </row>
    <row r="1771" customFormat="false" ht="15" hidden="false" customHeight="false" outlineLevel="0" collapsed="false">
      <c r="A1771" s="1" t="s">
        <v>1778</v>
      </c>
      <c r="B1771" s="5" t="n">
        <v>33.9394</v>
      </c>
      <c r="C1771" s="5" t="n">
        <v>12.2887</v>
      </c>
      <c r="D1771" s="1" t="n">
        <f aca="false">LN(B1771/B1770)</f>
        <v>-0.00134561187482106</v>
      </c>
      <c r="E1771" s="1" t="n">
        <f aca="false">LN(C1771/C1770)</f>
        <v>-4.06869586146464E-005</v>
      </c>
      <c r="F1771" s="1" t="n">
        <f aca="false">B1771/B1770-1</f>
        <v>-0.00134470694510247</v>
      </c>
      <c r="G1771" s="1" t="n">
        <f aca="false">C1771/C1770-1</f>
        <v>-4.06861309115714E-005</v>
      </c>
    </row>
    <row r="1772" customFormat="false" ht="15" hidden="false" customHeight="false" outlineLevel="0" collapsed="false">
      <c r="A1772" s="1" t="s">
        <v>1779</v>
      </c>
      <c r="B1772" s="5" t="n">
        <v>33.8365</v>
      </c>
      <c r="C1772" s="5" t="n">
        <v>12.289</v>
      </c>
      <c r="D1772" s="1" t="n">
        <f aca="false">LN(B1772/B1771)</f>
        <v>-0.00303647990106476</v>
      </c>
      <c r="E1772" s="1" t="n">
        <f aca="false">LN(C1772/C1771)</f>
        <v>2.44123738196634E-005</v>
      </c>
      <c r="F1772" s="1" t="n">
        <f aca="false">B1772/B1771-1</f>
        <v>-0.00303187445859376</v>
      </c>
      <c r="G1772" s="1" t="n">
        <f aca="false">C1772/C1771-1</f>
        <v>2.4412671804086E-005</v>
      </c>
    </row>
    <row r="1773" customFormat="false" ht="15" hidden="false" customHeight="false" outlineLevel="0" collapsed="false">
      <c r="A1773" s="1" t="s">
        <v>1780</v>
      </c>
      <c r="B1773" s="5" t="n">
        <v>34.0195</v>
      </c>
      <c r="C1773" s="5" t="n">
        <v>12.2892</v>
      </c>
      <c r="D1773" s="1" t="n">
        <f aca="false">LN(B1773/B1772)</f>
        <v>0.00539378812978304</v>
      </c>
      <c r="E1773" s="1" t="n">
        <f aca="false">LN(C1773/C1772)</f>
        <v>1.62745847949872E-005</v>
      </c>
      <c r="F1773" s="1" t="n">
        <f aca="false">B1773/B1772-1</f>
        <v>0.00540836079381735</v>
      </c>
      <c r="G1773" s="1" t="n">
        <f aca="false">C1773/C1772-1</f>
        <v>1.62747172267608E-005</v>
      </c>
    </row>
    <row r="1774" customFormat="false" ht="15" hidden="false" customHeight="false" outlineLevel="0" collapsed="false">
      <c r="A1774" s="1" t="s">
        <v>1781</v>
      </c>
      <c r="B1774" s="5" t="n">
        <v>34.0355</v>
      </c>
      <c r="C1774" s="5" t="n">
        <v>12.2892</v>
      </c>
      <c r="D1774" s="1" t="n">
        <f aca="false">LN(B1774/B1773)</f>
        <v>0.000470207928728112</v>
      </c>
      <c r="E1774" s="1" t="n">
        <f aca="false">LN(C1774/C1773)</f>
        <v>0</v>
      </c>
      <c r="F1774" s="1" t="n">
        <f aca="false">B1774/B1773-1</f>
        <v>0.000470318493805078</v>
      </c>
      <c r="G1774" s="1" t="n">
        <f aca="false">C1774/C1773-1</f>
        <v>0</v>
      </c>
    </row>
    <row r="1775" customFormat="false" ht="15" hidden="false" customHeight="false" outlineLevel="0" collapsed="false">
      <c r="A1775" s="1" t="s">
        <v>1782</v>
      </c>
      <c r="B1775" s="5" t="n">
        <v>33.8843</v>
      </c>
      <c r="C1775" s="5" t="n">
        <v>12.2894</v>
      </c>
      <c r="D1775" s="1" t="n">
        <f aca="false">LN(B1775/B1774)</f>
        <v>-0.00445231728513157</v>
      </c>
      <c r="E1775" s="1" t="n">
        <f aca="false">LN(C1775/C1774)</f>
        <v>1.62743199373875E-005</v>
      </c>
      <c r="F1775" s="1" t="n">
        <f aca="false">B1775/B1774-1</f>
        <v>-0.00444242041397935</v>
      </c>
      <c r="G1775" s="1" t="n">
        <f aca="false">C1775/C1774-1</f>
        <v>1.62744523648506E-005</v>
      </c>
    </row>
    <row r="1776" customFormat="false" ht="15" hidden="false" customHeight="false" outlineLevel="0" collapsed="false">
      <c r="A1776" s="1" t="s">
        <v>1783</v>
      </c>
      <c r="B1776" s="5" t="n">
        <v>33.8334</v>
      </c>
      <c r="C1776" s="5" t="n">
        <v>12.2889</v>
      </c>
      <c r="D1776" s="1" t="n">
        <f aca="false">LN(B1776/B1775)</f>
        <v>-0.00150330001124654</v>
      </c>
      <c r="E1776" s="1" t="n">
        <f aca="false">LN(C1776/C1775)</f>
        <v>-4.06862964541357E-005</v>
      </c>
      <c r="F1776" s="1" t="n">
        <f aca="false">B1776/B1775-1</f>
        <v>-0.00150217062179259</v>
      </c>
      <c r="G1776" s="1" t="n">
        <f aca="false">C1776/C1775-1</f>
        <v>-4.06854687780012E-005</v>
      </c>
    </row>
    <row r="1777" customFormat="false" ht="15" hidden="false" customHeight="false" outlineLevel="0" collapsed="false">
      <c r="A1777" s="1" t="s">
        <v>1784</v>
      </c>
      <c r="B1777" s="5" t="n">
        <v>33.479</v>
      </c>
      <c r="C1777" s="5" t="n">
        <v>12.2883</v>
      </c>
      <c r="D1777" s="1" t="n">
        <f aca="false">LN(B1777/B1776)</f>
        <v>-0.0105301036581967</v>
      </c>
      <c r="E1777" s="1" t="n">
        <f aca="false">LN(C1777/C1776)</f>
        <v>-4.88257409403403E-005</v>
      </c>
      <c r="F1777" s="1" t="n">
        <f aca="false">B1777/B1776-1</f>
        <v>-0.0104748562071798</v>
      </c>
      <c r="G1777" s="1" t="n">
        <f aca="false">C1777/C1776-1</f>
        <v>-4.88245489832506E-005</v>
      </c>
    </row>
    <row r="1778" customFormat="false" ht="15" hidden="false" customHeight="false" outlineLevel="0" collapsed="false">
      <c r="A1778" s="1" t="s">
        <v>1785</v>
      </c>
      <c r="B1778" s="5" t="n">
        <v>33.0561</v>
      </c>
      <c r="C1778" s="5" t="n">
        <v>12.2893</v>
      </c>
      <c r="D1778" s="1" t="n">
        <f aca="false">LN(B1778/B1777)</f>
        <v>-0.0127122584948823</v>
      </c>
      <c r="E1778" s="1" t="n">
        <f aca="false">LN(C1778/C1777)</f>
        <v>8.137491053267E-005</v>
      </c>
      <c r="F1778" s="1" t="n">
        <f aca="false">B1778/B1777-1</f>
        <v>-0.012631799038203</v>
      </c>
      <c r="G1778" s="1" t="n">
        <f aca="false">C1778/C1777-1</f>
        <v>8.1378221560513E-005</v>
      </c>
    </row>
    <row r="1779" customFormat="false" ht="15" hidden="false" customHeight="false" outlineLevel="0" collapsed="false">
      <c r="A1779" s="1" t="s">
        <v>1786</v>
      </c>
      <c r="B1779" s="5" t="n">
        <v>33.4414</v>
      </c>
      <c r="C1779" s="5" t="n">
        <v>12.2899</v>
      </c>
      <c r="D1779" s="1" t="n">
        <f aca="false">LN(B1779/B1778)</f>
        <v>0.0115885352667895</v>
      </c>
      <c r="E1779" s="1" t="n">
        <f aca="false">LN(C1779/C1778)</f>
        <v>4.88217680084353E-005</v>
      </c>
      <c r="F1779" s="1" t="n">
        <f aca="false">B1779/B1778-1</f>
        <v>0.0116559424735525</v>
      </c>
      <c r="G1779" s="1" t="n">
        <f aca="false">C1779/C1778-1</f>
        <v>4.88229598103462E-005</v>
      </c>
    </row>
    <row r="1780" customFormat="false" ht="15" hidden="false" customHeight="false" outlineLevel="0" collapsed="false">
      <c r="A1780" s="1" t="s">
        <v>1787</v>
      </c>
      <c r="B1780" s="5" t="n">
        <v>33.3102</v>
      </c>
      <c r="C1780" s="5" t="n">
        <v>12.2898</v>
      </c>
      <c r="D1780" s="1" t="n">
        <f aca="false">LN(B1780/B1779)</f>
        <v>-0.0039309969783461</v>
      </c>
      <c r="E1780" s="1" t="n">
        <f aca="false">LN(C1780/C1779)</f>
        <v>-8.13679581124446E-006</v>
      </c>
      <c r="F1780" s="1" t="n">
        <f aca="false">B1780/B1779-1</f>
        <v>-0.00392328072389314</v>
      </c>
      <c r="G1780" s="1" t="n">
        <f aca="false">C1780/C1779-1</f>
        <v>-8.13676270761121E-006</v>
      </c>
    </row>
    <row r="1781" customFormat="false" ht="15" hidden="false" customHeight="false" outlineLevel="0" collapsed="false">
      <c r="A1781" s="1" t="s">
        <v>1788</v>
      </c>
      <c r="B1781" s="5" t="n">
        <v>32.9182</v>
      </c>
      <c r="C1781" s="5" t="n">
        <v>12.29</v>
      </c>
      <c r="D1781" s="1" t="n">
        <f aca="false">LN(B1781/B1780)</f>
        <v>-0.0118379600838233</v>
      </c>
      <c r="E1781" s="1" t="n">
        <f aca="false">LN(C1781/C1780)</f>
        <v>1.62735254154353E-005</v>
      </c>
      <c r="F1781" s="1" t="n">
        <f aca="false">B1781/B1780-1</f>
        <v>-0.011768167107973</v>
      </c>
      <c r="G1781" s="1" t="n">
        <f aca="false">C1781/C1780-1</f>
        <v>1.62736578299683E-005</v>
      </c>
    </row>
    <row r="1782" customFormat="false" ht="15" hidden="false" customHeight="false" outlineLevel="0" collapsed="false">
      <c r="A1782" s="1" t="s">
        <v>1789</v>
      </c>
      <c r="B1782" s="5" t="n">
        <v>33.023</v>
      </c>
      <c r="C1782" s="5" t="n">
        <v>12.2896</v>
      </c>
      <c r="D1782" s="1" t="n">
        <f aca="false">LN(B1782/B1781)</f>
        <v>0.00317859208618488</v>
      </c>
      <c r="E1782" s="1" t="n">
        <f aca="false">LN(C1782/C1781)</f>
        <v>-3.25473156629711E-005</v>
      </c>
      <c r="F1782" s="1" t="n">
        <f aca="false">B1782/B1781-1</f>
        <v>0.00318364916672254</v>
      </c>
      <c r="G1782" s="1" t="n">
        <f aca="false">C1782/C1781-1</f>
        <v>-3.2546786004839E-005</v>
      </c>
    </row>
    <row r="1783" customFormat="false" ht="15" hidden="false" customHeight="false" outlineLevel="0" collapsed="false">
      <c r="A1783" s="1" t="s">
        <v>1790</v>
      </c>
      <c r="B1783" s="5" t="n">
        <v>33.6219</v>
      </c>
      <c r="C1783" s="5" t="n">
        <v>12.2897</v>
      </c>
      <c r="D1783" s="1" t="n">
        <f aca="false">LN(B1783/B1782)</f>
        <v>0.0179733519705219</v>
      </c>
      <c r="E1783" s="1" t="n">
        <f aca="false">LN(C1783/C1782)</f>
        <v>8.13692822828137E-006</v>
      </c>
      <c r="F1783" s="1" t="n">
        <f aca="false">B1783/B1782-1</f>
        <v>0.0181358447142899</v>
      </c>
      <c r="G1783" s="1" t="n">
        <f aca="false">C1783/C1782-1</f>
        <v>8.13696133317166E-006</v>
      </c>
    </row>
    <row r="1784" customFormat="false" ht="15" hidden="false" customHeight="false" outlineLevel="0" collapsed="false">
      <c r="A1784" s="1" t="s">
        <v>1791</v>
      </c>
      <c r="B1784" s="5" t="n">
        <v>33.8448</v>
      </c>
      <c r="C1784" s="5" t="n">
        <v>12.29</v>
      </c>
      <c r="D1784" s="1" t="n">
        <f aca="false">LN(B1784/B1783)</f>
        <v>0.00660772828736007</v>
      </c>
      <c r="E1784" s="1" t="n">
        <f aca="false">LN(C1784/C1783)</f>
        <v>2.44103874346923E-005</v>
      </c>
      <c r="F1784" s="1" t="n">
        <f aca="false">B1784/B1783-1</f>
        <v>0.00662960748797659</v>
      </c>
      <c r="G1784" s="1" t="n">
        <f aca="false">C1784/C1783-1</f>
        <v>2.44106853706239E-005</v>
      </c>
    </row>
    <row r="1785" customFormat="false" ht="15" hidden="false" customHeight="false" outlineLevel="0" collapsed="false">
      <c r="A1785" s="1" t="s">
        <v>1792</v>
      </c>
      <c r="B1785" s="5" t="n">
        <v>33.4942</v>
      </c>
      <c r="C1785" s="5" t="n">
        <v>12.2913</v>
      </c>
      <c r="D1785" s="1" t="n">
        <f aca="false">LN(B1785/B1784)</f>
        <v>-0.0104130791375642</v>
      </c>
      <c r="E1785" s="1" t="n">
        <f aca="false">LN(C1785/C1784)</f>
        <v>0.000105771460517709</v>
      </c>
      <c r="F1785" s="1" t="n">
        <f aca="false">B1785/B1784-1</f>
        <v>-0.0103590507256653</v>
      </c>
      <c r="G1785" s="1" t="n">
        <f aca="false">C1785/C1784-1</f>
        <v>0.000105777054515865</v>
      </c>
    </row>
    <row r="1786" customFormat="false" ht="15" hidden="false" customHeight="false" outlineLevel="0" collapsed="false">
      <c r="A1786" s="1" t="s">
        <v>1793</v>
      </c>
      <c r="B1786" s="5" t="n">
        <v>33.8556</v>
      </c>
      <c r="C1786" s="5" t="n">
        <v>12.2917</v>
      </c>
      <c r="D1786" s="1" t="n">
        <f aca="false">LN(B1786/B1785)</f>
        <v>0.0107321319080535</v>
      </c>
      <c r="E1786" s="1" t="n">
        <f aca="false">LN(C1786/C1785)</f>
        <v>3.25428141427493E-005</v>
      </c>
      <c r="F1786" s="1" t="n">
        <f aca="false">B1786/B1785-1</f>
        <v>0.0107899278083967</v>
      </c>
      <c r="G1786" s="1" t="n">
        <f aca="false">C1786/C1785-1</f>
        <v>3.25433436658695E-005</v>
      </c>
    </row>
    <row r="1787" customFormat="false" ht="15" hidden="false" customHeight="false" outlineLevel="0" collapsed="false">
      <c r="A1787" s="1" t="s">
        <v>1794</v>
      </c>
      <c r="B1787" s="5" t="n">
        <v>34.1835</v>
      </c>
      <c r="C1787" s="5" t="n">
        <v>12.2925</v>
      </c>
      <c r="D1787" s="1" t="n">
        <f aca="false">LN(B1787/B1786)</f>
        <v>0.00963865008756052</v>
      </c>
      <c r="E1787" s="1" t="n">
        <f aca="false">LN(C1787/C1786)</f>
        <v>6.50824513535584E-005</v>
      </c>
      <c r="F1787" s="1" t="n">
        <f aca="false">B1787/B1786-1</f>
        <v>0.00968525147981425</v>
      </c>
      <c r="G1787" s="1" t="n">
        <f aca="false">C1787/C1786-1</f>
        <v>6.50845692622415E-005</v>
      </c>
    </row>
    <row r="1788" customFormat="false" ht="15" hidden="false" customHeight="false" outlineLevel="0" collapsed="false">
      <c r="A1788" s="1" t="s">
        <v>1795</v>
      </c>
      <c r="B1788" s="5" t="n">
        <v>33.9287</v>
      </c>
      <c r="C1788" s="5" t="n">
        <v>12.2921</v>
      </c>
      <c r="D1788" s="1" t="n">
        <f aca="false">LN(B1788/B1787)</f>
        <v>-0.00748180762291187</v>
      </c>
      <c r="E1788" s="1" t="n">
        <f aca="false">LN(C1788/C1787)</f>
        <v>-3.25406962111699E-005</v>
      </c>
      <c r="F1788" s="1" t="n">
        <f aca="false">B1788/B1787-1</f>
        <v>-0.00745388857197193</v>
      </c>
      <c r="G1788" s="1" t="n">
        <f aca="false">C1788/C1787-1</f>
        <v>-3.25401667684577E-005</v>
      </c>
    </row>
    <row r="1789" customFormat="false" ht="15" hidden="false" customHeight="false" outlineLevel="0" collapsed="false">
      <c r="A1789" s="1" t="s">
        <v>1796</v>
      </c>
      <c r="B1789" s="5" t="n">
        <v>33.8559</v>
      </c>
      <c r="C1789" s="5" t="n">
        <v>12.2922</v>
      </c>
      <c r="D1789" s="1" t="n">
        <f aca="false">LN(B1789/B1788)</f>
        <v>-0.00214798134061512</v>
      </c>
      <c r="E1789" s="1" t="n">
        <f aca="false">LN(C1789/C1788)</f>
        <v>8.13527332487568E-006</v>
      </c>
      <c r="F1789" s="1" t="n">
        <f aca="false">B1789/B1788-1</f>
        <v>-0.0021456760795433</v>
      </c>
      <c r="G1789" s="1" t="n">
        <f aca="false">C1789/C1788-1</f>
        <v>8.13530641630145E-006</v>
      </c>
    </row>
    <row r="1790" customFormat="false" ht="15" hidden="false" customHeight="false" outlineLevel="0" collapsed="false">
      <c r="A1790" s="1" t="s">
        <v>1797</v>
      </c>
      <c r="B1790" s="5" t="n">
        <v>34.0495</v>
      </c>
      <c r="C1790" s="5" t="n">
        <v>12.2917</v>
      </c>
      <c r="D1790" s="1" t="n">
        <f aca="false">LN(B1790/B1789)</f>
        <v>0.00570206565462266</v>
      </c>
      <c r="E1790" s="1" t="n">
        <f aca="false">LN(C1790/C1789)</f>
        <v>-4.06770284672045E-005</v>
      </c>
      <c r="F1790" s="1" t="n">
        <f aca="false">B1790/B1789-1</f>
        <v>0.00571835337415361</v>
      </c>
      <c r="G1790" s="1" t="n">
        <f aca="false">C1790/C1789-1</f>
        <v>-4.06762011680994E-005</v>
      </c>
    </row>
    <row r="1791" customFormat="false" ht="15" hidden="false" customHeight="false" outlineLevel="0" collapsed="false">
      <c r="A1791" s="1" t="s">
        <v>1798</v>
      </c>
      <c r="B1791" s="5" t="n">
        <v>34.1863</v>
      </c>
      <c r="C1791" s="5" t="n">
        <v>12.292</v>
      </c>
      <c r="D1791" s="1" t="n">
        <f aca="false">LN(B1791/B1790)</f>
        <v>0.00400963081782121</v>
      </c>
      <c r="E1791" s="1" t="n">
        <f aca="false">LN(C1791/C1790)</f>
        <v>2.44064156343832E-005</v>
      </c>
      <c r="F1791" s="1" t="n">
        <f aca="false">B1791/B1790-1</f>
        <v>0.0040176801421461</v>
      </c>
      <c r="G1791" s="1" t="n">
        <f aca="false">C1791/C1790-1</f>
        <v>2.44067134733683E-005</v>
      </c>
    </row>
    <row r="1792" customFormat="false" ht="15" hidden="false" customHeight="false" outlineLevel="0" collapsed="false">
      <c r="A1792" s="1" t="s">
        <v>1799</v>
      </c>
      <c r="B1792" s="5" t="n">
        <v>34.4878</v>
      </c>
      <c r="C1792" s="5" t="n">
        <v>12.2921</v>
      </c>
      <c r="D1792" s="1" t="n">
        <f aca="false">LN(B1792/B1791)</f>
        <v>0.00878065929176933</v>
      </c>
      <c r="E1792" s="1" t="n">
        <f aca="false">LN(C1792/C1791)</f>
        <v>8.13533950806242E-006</v>
      </c>
      <c r="F1792" s="1" t="n">
        <f aca="false">B1792/B1791-1</f>
        <v>0.00881932236012673</v>
      </c>
      <c r="G1792" s="1" t="n">
        <f aca="false">C1792/C1791-1</f>
        <v>8.13537260002661E-006</v>
      </c>
    </row>
    <row r="1793" customFormat="false" ht="15" hidden="false" customHeight="false" outlineLevel="0" collapsed="false">
      <c r="A1793" s="1" t="s">
        <v>1800</v>
      </c>
      <c r="B1793" s="5" t="n">
        <v>34.7124</v>
      </c>
      <c r="C1793" s="5" t="n">
        <v>12.2923</v>
      </c>
      <c r="D1793" s="1" t="n">
        <f aca="false">LN(B1793/B1792)</f>
        <v>0.00649133351265802</v>
      </c>
      <c r="E1793" s="1" t="n">
        <f aca="false">LN(C1793/C1792)</f>
        <v>1.62704804676177E-005</v>
      </c>
      <c r="F1793" s="1" t="n">
        <f aca="false">B1793/B1792-1</f>
        <v>0.00651244788011995</v>
      </c>
      <c r="G1793" s="1" t="n">
        <f aca="false">C1793/C1792-1</f>
        <v>1.62706128326029E-005</v>
      </c>
    </row>
    <row r="1794" customFormat="false" ht="15" hidden="false" customHeight="false" outlineLevel="0" collapsed="false">
      <c r="A1794" s="1" t="s">
        <v>1801</v>
      </c>
      <c r="B1794" s="5" t="n">
        <v>34.7131</v>
      </c>
      <c r="C1794" s="5" t="n">
        <v>12.2925</v>
      </c>
      <c r="D1794" s="1" t="n">
        <f aca="false">LN(B1794/B1793)</f>
        <v>2.01655011491881E-005</v>
      </c>
      <c r="E1794" s="1" t="n">
        <f aca="false">LN(C1794/C1793)</f>
        <v>1.62702157434635E-005</v>
      </c>
      <c r="F1794" s="1" t="n">
        <f aca="false">B1794/B1793-1</f>
        <v>2.01657044742731E-005</v>
      </c>
      <c r="G1794" s="1" t="n">
        <f aca="false">C1794/C1793-1</f>
        <v>1.62703481041415E-005</v>
      </c>
    </row>
    <row r="1795" customFormat="false" ht="15" hidden="false" customHeight="false" outlineLevel="0" collapsed="false">
      <c r="A1795" s="1" t="s">
        <v>1802</v>
      </c>
      <c r="B1795" s="5" t="n">
        <v>34.4941</v>
      </c>
      <c r="C1795" s="5" t="n">
        <v>12.2922</v>
      </c>
      <c r="D1795" s="1" t="n">
        <f aca="false">LN(B1795/B1794)</f>
        <v>-0.00632884240337711</v>
      </c>
      <c r="E1795" s="1" t="n">
        <f aca="false">LN(C1795/C1794)</f>
        <v>-2.44054228863092E-005</v>
      </c>
      <c r="F1795" s="1" t="n">
        <f aca="false">B1795/B1794-1</f>
        <v>-0.00630885746303256</v>
      </c>
      <c r="G1795" s="1" t="n">
        <f aca="false">C1795/C1794-1</f>
        <v>-2.44051250763988E-005</v>
      </c>
    </row>
    <row r="1796" customFormat="false" ht="15" hidden="false" customHeight="false" outlineLevel="0" collapsed="false">
      <c r="A1796" s="1" t="s">
        <v>1803</v>
      </c>
      <c r="B1796" s="5" t="n">
        <v>34.4691</v>
      </c>
      <c r="C1796" s="5" t="n">
        <v>12.2917</v>
      </c>
      <c r="D1796" s="1" t="n">
        <f aca="false">LN(B1796/B1795)</f>
        <v>-0.000725024392578401</v>
      </c>
      <c r="E1796" s="1" t="n">
        <f aca="false">LN(C1796/C1795)</f>
        <v>-4.06770284672045E-005</v>
      </c>
      <c r="F1796" s="1" t="n">
        <f aca="false">B1796/B1795-1</f>
        <v>-0.000724761625901405</v>
      </c>
      <c r="G1796" s="1" t="n">
        <f aca="false">C1796/C1795-1</f>
        <v>-4.06762011680994E-005</v>
      </c>
    </row>
    <row r="1797" customFormat="false" ht="15" hidden="false" customHeight="false" outlineLevel="0" collapsed="false">
      <c r="A1797" s="1" t="s">
        <v>1804</v>
      </c>
      <c r="B1797" s="5" t="n">
        <v>34.153</v>
      </c>
      <c r="C1797" s="5" t="n">
        <v>12.2918</v>
      </c>
      <c r="D1797" s="1" t="n">
        <f aca="false">LN(B1797/B1796)</f>
        <v>-0.00921284063832297</v>
      </c>
      <c r="E1797" s="1" t="n">
        <f aca="false">LN(C1797/C1796)</f>
        <v>8.13553806428391E-006</v>
      </c>
      <c r="F1797" s="1" t="n">
        <f aca="false">B1797/B1796-1</f>
        <v>-0.00917053244790256</v>
      </c>
      <c r="G1797" s="1" t="n">
        <f aca="false">C1797/C1796-1</f>
        <v>8.13557115786345E-006</v>
      </c>
    </row>
    <row r="1798" customFormat="false" ht="15" hidden="false" customHeight="false" outlineLevel="0" collapsed="false">
      <c r="A1798" s="1" t="s">
        <v>1805</v>
      </c>
      <c r="B1798" s="5" t="n">
        <v>34.2417</v>
      </c>
      <c r="C1798" s="5" t="n">
        <v>12.291</v>
      </c>
      <c r="D1798" s="1" t="n">
        <f aca="false">LN(B1798/B1797)</f>
        <v>0.00259376968474104</v>
      </c>
      <c r="E1798" s="1" t="n">
        <f aca="false">LN(C1798/C1797)</f>
        <v>-6.50861578243677E-005</v>
      </c>
      <c r="F1798" s="1" t="n">
        <f aca="false">B1798/B1797-1</f>
        <v>0.00259713641554193</v>
      </c>
      <c r="G1798" s="1" t="n">
        <f aca="false">C1798/C1797-1</f>
        <v>-6.50840397663499E-005</v>
      </c>
    </row>
    <row r="1799" customFormat="false" ht="15" hidden="false" customHeight="false" outlineLevel="0" collapsed="false">
      <c r="A1799" s="1" t="s">
        <v>1806</v>
      </c>
      <c r="B1799" s="5" t="n">
        <v>34.3958</v>
      </c>
      <c r="C1799" s="5" t="n">
        <v>12.2919</v>
      </c>
      <c r="D1799" s="1" t="n">
        <f aca="false">LN(B1799/B1798)</f>
        <v>0.0044902643283826</v>
      </c>
      <c r="E1799" s="1" t="n">
        <f aca="false">LN(C1799/C1798)</f>
        <v>7.32216297021183E-005</v>
      </c>
      <c r="F1799" s="1" t="n">
        <f aca="false">B1799/B1798-1</f>
        <v>0.00450036067134518</v>
      </c>
      <c r="G1799" s="1" t="n">
        <f aca="false">C1799/C1798-1</f>
        <v>7.32243104710761E-005</v>
      </c>
    </row>
    <row r="1800" customFormat="false" ht="15" hidden="false" customHeight="false" outlineLevel="0" collapsed="false">
      <c r="A1800" s="1" t="s">
        <v>1807</v>
      </c>
      <c r="B1800" s="5" t="n">
        <v>34.2041</v>
      </c>
      <c r="C1800" s="5" t="n">
        <v>12.2933</v>
      </c>
      <c r="D1800" s="1" t="n">
        <f aca="false">LN(B1800/B1799)</f>
        <v>-0.00558894397803949</v>
      </c>
      <c r="E1800" s="1" t="n">
        <f aca="false">LN(C1800/C1799)</f>
        <v>0.000113889657315276</v>
      </c>
      <c r="F1800" s="1" t="n">
        <f aca="false">B1800/B1799-1</f>
        <v>-0.00557335488635258</v>
      </c>
      <c r="G1800" s="1" t="n">
        <f aca="false">C1800/C1799-1</f>
        <v>0.000113896142988512</v>
      </c>
    </row>
    <row r="1801" customFormat="false" ht="15" hidden="false" customHeight="false" outlineLevel="0" collapsed="false">
      <c r="A1801" s="1" t="s">
        <v>1808</v>
      </c>
      <c r="B1801" s="5" t="n">
        <v>33.5524</v>
      </c>
      <c r="C1801" s="5" t="n">
        <v>12.2933</v>
      </c>
      <c r="D1801" s="1" t="n">
        <f aca="false">LN(B1801/B1800)</f>
        <v>-0.0192371240425598</v>
      </c>
      <c r="E1801" s="1" t="n">
        <f aca="false">LN(C1801/C1800)</f>
        <v>0</v>
      </c>
      <c r="F1801" s="1" t="n">
        <f aca="false">B1801/B1800-1</f>
        <v>-0.0190532713914413</v>
      </c>
      <c r="G1801" s="1" t="n">
        <f aca="false">C1801/C1800-1</f>
        <v>0</v>
      </c>
    </row>
    <row r="1802" customFormat="false" ht="15" hidden="false" customHeight="false" outlineLevel="0" collapsed="false">
      <c r="A1802" s="1" t="s">
        <v>1809</v>
      </c>
      <c r="B1802" s="5" t="n">
        <v>33.6189</v>
      </c>
      <c r="C1802" s="5" t="n">
        <v>12.2932</v>
      </c>
      <c r="D1802" s="1" t="n">
        <f aca="false">LN(B1802/B1801)</f>
        <v>0.0019800129437968</v>
      </c>
      <c r="E1802" s="1" t="n">
        <f aca="false">LN(C1802/C1801)</f>
        <v>-8.13454538063482E-006</v>
      </c>
      <c r="F1802" s="1" t="n">
        <f aca="false">B1802/B1801-1</f>
        <v>0.00198197446382364</v>
      </c>
      <c r="G1802" s="1" t="n">
        <f aca="false">C1802/C1801-1</f>
        <v>-8.13451229531026E-006</v>
      </c>
    </row>
    <row r="1803" customFormat="false" ht="15" hidden="false" customHeight="false" outlineLevel="0" collapsed="false">
      <c r="A1803" s="1" t="s">
        <v>1810</v>
      </c>
      <c r="B1803" s="5" t="n">
        <v>33.4538</v>
      </c>
      <c r="C1803" s="5" t="n">
        <v>12.2907</v>
      </c>
      <c r="D1803" s="1" t="n">
        <f aca="false">LN(B1803/B1802)</f>
        <v>-0.00492302631173087</v>
      </c>
      <c r="E1803" s="1" t="n">
        <f aca="false">LN(C1803/C1802)</f>
        <v>-0.00020338514300978</v>
      </c>
      <c r="F1803" s="1" t="n">
        <f aca="false">B1803/B1802-1</f>
        <v>-0.00491092807914584</v>
      </c>
      <c r="G1803" s="1" t="n">
        <f aca="false">C1803/C1802-1</f>
        <v>-0.000203364461653699</v>
      </c>
    </row>
    <row r="1804" customFormat="false" ht="15" hidden="false" customHeight="false" outlineLevel="0" collapsed="false">
      <c r="A1804" s="1" t="s">
        <v>1811</v>
      </c>
      <c r="B1804" s="5" t="n">
        <v>32.7295</v>
      </c>
      <c r="C1804" s="5" t="n">
        <v>12.2898</v>
      </c>
      <c r="D1804" s="1" t="n">
        <f aca="false">LN(B1804/B1803)</f>
        <v>-0.0218885706219373</v>
      </c>
      <c r="E1804" s="1" t="n">
        <f aca="false">LN(C1804/C1803)</f>
        <v>-7.32287789428512E-005</v>
      </c>
      <c r="F1804" s="1" t="n">
        <f aca="false">B1804/B1803-1</f>
        <v>-0.0216507541744136</v>
      </c>
      <c r="G1804" s="1" t="n">
        <f aca="false">C1804/C1803-1</f>
        <v>-7.32260977812649E-005</v>
      </c>
    </row>
    <row r="1805" customFormat="false" ht="15" hidden="false" customHeight="false" outlineLevel="0" collapsed="false">
      <c r="A1805" s="1" t="s">
        <v>1812</v>
      </c>
      <c r="B1805" s="5" t="n">
        <v>32.734</v>
      </c>
      <c r="C1805" s="5" t="n">
        <v>12.2897</v>
      </c>
      <c r="D1805" s="1" t="n">
        <f aca="false">LN(B1805/B1804)</f>
        <v>0.000137481192025654</v>
      </c>
      <c r="E1805" s="1" t="n">
        <f aca="false">LN(C1805/C1804)</f>
        <v>-8.1368620191561E-006</v>
      </c>
      <c r="F1805" s="1" t="n">
        <f aca="false">B1805/B1804-1</f>
        <v>0.00013749064299784</v>
      </c>
      <c r="G1805" s="1" t="n">
        <f aca="false">C1805/C1804-1</f>
        <v>-8.13682891498413E-006</v>
      </c>
    </row>
    <row r="1806" customFormat="false" ht="15" hidden="false" customHeight="false" outlineLevel="0" collapsed="false">
      <c r="A1806" s="1" t="s">
        <v>1813</v>
      </c>
      <c r="B1806" s="5" t="n">
        <v>32.7767</v>
      </c>
      <c r="C1806" s="5" t="n">
        <v>12.2905</v>
      </c>
      <c r="D1806" s="1" t="n">
        <f aca="false">LN(B1806/B1805)</f>
        <v>0.00130360402337227</v>
      </c>
      <c r="E1806" s="1" t="n">
        <f aca="false">LN(C1806/C1805)</f>
        <v>6.50930423903521E-005</v>
      </c>
      <c r="F1806" s="1" t="n">
        <f aca="false">B1806/B1805-1</f>
        <v>0.00130445408443802</v>
      </c>
      <c r="G1806" s="1" t="n">
        <f aca="false">C1806/C1805-1</f>
        <v>6.50951609884043E-005</v>
      </c>
    </row>
    <row r="1807" customFormat="false" ht="15" hidden="false" customHeight="false" outlineLevel="0" collapsed="false">
      <c r="A1807" s="1" t="s">
        <v>1814</v>
      </c>
      <c r="B1807" s="5" t="n">
        <v>33.0648</v>
      </c>
      <c r="C1807" s="5" t="n">
        <v>12.2924</v>
      </c>
      <c r="D1807" s="1" t="n">
        <f aca="false">LN(B1807/B1806)</f>
        <v>0.00875137530929722</v>
      </c>
      <c r="E1807" s="1" t="n">
        <f aca="false">LN(C1807/C1806)</f>
        <v>0.000154578996276648</v>
      </c>
      <c r="F1807" s="1" t="n">
        <f aca="false">B1807/B1806-1</f>
        <v>0.00878978054532631</v>
      </c>
      <c r="G1807" s="1" t="n">
        <f aca="false">C1807/C1806-1</f>
        <v>0.000154590944225319</v>
      </c>
    </row>
    <row r="1808" customFormat="false" ht="15" hidden="false" customHeight="false" outlineLevel="0" collapsed="false">
      <c r="A1808" s="1" t="s">
        <v>1815</v>
      </c>
      <c r="B1808" s="5" t="n">
        <v>32.7569</v>
      </c>
      <c r="C1808" s="5" t="n">
        <v>12.2924</v>
      </c>
      <c r="D1808" s="1" t="n">
        <f aca="false">LN(B1808/B1807)</f>
        <v>-0.00935564550359402</v>
      </c>
      <c r="E1808" s="1" t="n">
        <f aca="false">LN(C1808/C1807)</f>
        <v>0</v>
      </c>
      <c r="F1808" s="1" t="n">
        <f aca="false">B1808/B1807-1</f>
        <v>-0.00931201761389744</v>
      </c>
      <c r="G1808" s="1" t="n">
        <f aca="false">C1808/C1807-1</f>
        <v>0</v>
      </c>
    </row>
    <row r="1809" customFormat="false" ht="15" hidden="false" customHeight="false" outlineLevel="0" collapsed="false">
      <c r="A1809" s="1" t="s">
        <v>1816</v>
      </c>
      <c r="B1809" s="5" t="n">
        <v>32.6751</v>
      </c>
      <c r="C1809" s="5" t="n">
        <v>12.2917</v>
      </c>
      <c r="D1809" s="1" t="n">
        <f aca="false">LN(B1809/B1808)</f>
        <v>-0.00250030696340102</v>
      </c>
      <c r="E1809" s="1" t="n">
        <f aca="false">LN(C1809/C1808)</f>
        <v>-5.69473765718042E-005</v>
      </c>
      <c r="F1809" s="1" t="n">
        <f aca="false">B1809/B1808-1</f>
        <v>-0.00249718379944386</v>
      </c>
      <c r="G1809" s="1" t="n">
        <f aca="false">C1809/C1808-1</f>
        <v>-5.69457551007346E-005</v>
      </c>
    </row>
    <row r="1810" customFormat="false" ht="15" hidden="false" customHeight="false" outlineLevel="0" collapsed="false">
      <c r="A1810" s="1" t="s">
        <v>1817</v>
      </c>
      <c r="B1810" s="5" t="n">
        <v>32.9133</v>
      </c>
      <c r="C1810" s="5" t="n">
        <v>12.2914</v>
      </c>
      <c r="D1810" s="1" t="n">
        <f aca="false">LN(B1810/B1809)</f>
        <v>0.00726351145194163</v>
      </c>
      <c r="E1810" s="1" t="n">
        <f aca="false">LN(C1810/C1809)</f>
        <v>-2.44070113220459E-005</v>
      </c>
      <c r="F1810" s="1" t="n">
        <f aca="false">B1810/B1809-1</f>
        <v>0.00728995473617533</v>
      </c>
      <c r="G1810" s="1" t="n">
        <f aca="false">C1810/C1809-1</f>
        <v>-2.44067134733683E-005</v>
      </c>
    </row>
    <row r="1811" customFormat="false" ht="15" hidden="false" customHeight="false" outlineLevel="0" collapsed="false">
      <c r="A1811" s="1" t="s">
        <v>1818</v>
      </c>
      <c r="B1811" s="5" t="n">
        <v>33.1991</v>
      </c>
      <c r="C1811" s="5" t="n">
        <v>12.2915</v>
      </c>
      <c r="D1811" s="1" t="n">
        <f aca="false">LN(B1811/B1810)</f>
        <v>0.00864593571995939</v>
      </c>
      <c r="E1811" s="1" t="n">
        <f aca="false">LN(C1811/C1810)</f>
        <v>8.1357366300532E-006</v>
      </c>
      <c r="F1811" s="1" t="n">
        <f aca="false">B1811/B1810-1</f>
        <v>0.00868341977255405</v>
      </c>
      <c r="G1811" s="1" t="n">
        <f aca="false">C1811/C1810-1</f>
        <v>8.13576972524821E-006</v>
      </c>
    </row>
    <row r="1812" customFormat="false" ht="15" hidden="false" customHeight="false" outlineLevel="0" collapsed="false">
      <c r="A1812" s="1" t="s">
        <v>1819</v>
      </c>
      <c r="B1812" s="5" t="n">
        <v>33.5435</v>
      </c>
      <c r="C1812" s="5" t="n">
        <v>12.292</v>
      </c>
      <c r="D1812" s="1" t="n">
        <f aca="false">LN(B1812/B1811)</f>
        <v>0.0103203368407282</v>
      </c>
      <c r="E1812" s="1" t="n">
        <f aca="false">LN(C1812/C1811)</f>
        <v>4.06776903265113E-005</v>
      </c>
      <c r="F1812" s="1" t="n">
        <f aca="false">B1812/B1811-1</f>
        <v>0.0103737751927011</v>
      </c>
      <c r="G1812" s="1" t="n">
        <f aca="false">C1812/C1811-1</f>
        <v>4.06785176749747E-005</v>
      </c>
    </row>
    <row r="1813" customFormat="false" ht="15" hidden="false" customHeight="false" outlineLevel="0" collapsed="false">
      <c r="A1813" s="1" t="s">
        <v>1820</v>
      </c>
      <c r="B1813" s="5" t="n">
        <v>33.3488</v>
      </c>
      <c r="C1813" s="5" t="n">
        <v>12.2921</v>
      </c>
      <c r="D1813" s="1" t="n">
        <f aca="false">LN(B1813/B1812)</f>
        <v>-0.00582131425672673</v>
      </c>
      <c r="E1813" s="1" t="n">
        <f aca="false">LN(C1813/C1812)</f>
        <v>8.13533950806242E-006</v>
      </c>
      <c r="F1813" s="1" t="n">
        <f aca="false">B1813/B1812-1</f>
        <v>-0.00580440323758713</v>
      </c>
      <c r="G1813" s="1" t="n">
        <f aca="false">C1813/C1812-1</f>
        <v>8.13537260002661E-006</v>
      </c>
    </row>
    <row r="1814" customFormat="false" ht="15" hidden="false" customHeight="false" outlineLevel="0" collapsed="false">
      <c r="A1814" s="1" t="s">
        <v>1821</v>
      </c>
      <c r="B1814" s="5" t="n">
        <v>32.9085</v>
      </c>
      <c r="C1814" s="5" t="n">
        <v>12.2918</v>
      </c>
      <c r="D1814" s="1" t="n">
        <f aca="false">LN(B1814/B1813)</f>
        <v>-0.013290806640181</v>
      </c>
      <c r="E1814" s="1" t="n">
        <f aca="false">LN(C1814/C1813)</f>
        <v>-2.44062170781974E-005</v>
      </c>
      <c r="F1814" s="1" t="n">
        <f aca="false">B1814/B1813-1</f>
        <v>-0.013202873866526</v>
      </c>
      <c r="G1814" s="1" t="n">
        <f aca="false">C1814/C1813-1</f>
        <v>-2.44059192489043E-005</v>
      </c>
    </row>
    <row r="1815" customFormat="false" ht="15" hidden="false" customHeight="false" outlineLevel="0" collapsed="false">
      <c r="A1815" s="1" t="s">
        <v>1822</v>
      </c>
      <c r="B1815" s="5" t="n">
        <v>33.0745</v>
      </c>
      <c r="C1815" s="5" t="n">
        <v>12.2916</v>
      </c>
      <c r="D1815" s="1" t="n">
        <f aca="false">LN(B1815/B1814)</f>
        <v>0.00503160966369158</v>
      </c>
      <c r="E1815" s="1" t="n">
        <f aca="false">LN(C1815/C1814)</f>
        <v>-1.62711423158224E-005</v>
      </c>
      <c r="F1815" s="1" t="n">
        <f aca="false">B1815/B1814-1</f>
        <v>0.00504428946928615</v>
      </c>
      <c r="G1815" s="1" t="n">
        <f aca="false">C1815/C1814-1</f>
        <v>-1.62710099415042E-005</v>
      </c>
    </row>
    <row r="1816" customFormat="false" ht="15" hidden="false" customHeight="false" outlineLevel="0" collapsed="false">
      <c r="A1816" s="1" t="s">
        <v>1823</v>
      </c>
      <c r="B1816" s="5" t="n">
        <v>32.8959</v>
      </c>
      <c r="C1816" s="5" t="n">
        <v>12.2914</v>
      </c>
      <c r="D1816" s="1" t="n">
        <f aca="false">LN(B1816/B1815)</f>
        <v>-0.00541456278396884</v>
      </c>
      <c r="E1816" s="1" t="n">
        <f aca="false">LN(C1816/C1815)</f>
        <v>-1.6271407070352E-005</v>
      </c>
      <c r="F1816" s="1" t="n">
        <f aca="false">B1816/B1815-1</f>
        <v>-0.00539993046002218</v>
      </c>
      <c r="G1816" s="1" t="n">
        <f aca="false">C1816/C1815-1</f>
        <v>-1.6271274691726E-005</v>
      </c>
    </row>
    <row r="1817" customFormat="false" ht="15" hidden="false" customHeight="false" outlineLevel="0" collapsed="false">
      <c r="A1817" s="1" t="s">
        <v>1824</v>
      </c>
      <c r="B1817" s="5" t="n">
        <v>32.6418</v>
      </c>
      <c r="C1817" s="5" t="n">
        <v>12.2917</v>
      </c>
      <c r="D1817" s="1" t="n">
        <f aca="false">LN(B1817/B1816)</f>
        <v>-0.00775435431062417</v>
      </c>
      <c r="E1817" s="1" t="n">
        <f aca="false">LN(C1817/C1816)</f>
        <v>2.44070113219985E-005</v>
      </c>
      <c r="F1817" s="1" t="n">
        <f aca="false">B1817/B1816-1</f>
        <v>-0.00772436686638744</v>
      </c>
      <c r="G1817" s="1" t="n">
        <f aca="false">C1817/C1816-1</f>
        <v>2.44073091755226E-005</v>
      </c>
    </row>
    <row r="1818" customFormat="false" ht="15" hidden="false" customHeight="false" outlineLevel="0" collapsed="false">
      <c r="A1818" s="1" t="s">
        <v>1825</v>
      </c>
      <c r="B1818" s="5" t="n">
        <v>32.6639</v>
      </c>
      <c r="C1818" s="5" t="n">
        <v>12.2916</v>
      </c>
      <c r="D1818" s="1" t="n">
        <f aca="false">LN(B1818/B1817)</f>
        <v>0.000676816903995394</v>
      </c>
      <c r="E1818" s="1" t="n">
        <f aca="false">LN(C1818/C1817)</f>
        <v>-8.13560425169095E-006</v>
      </c>
      <c r="F1818" s="1" t="n">
        <f aca="false">B1818/B1817-1</f>
        <v>0.000677045996237746</v>
      </c>
      <c r="G1818" s="1" t="n">
        <f aca="false">C1818/C1817-1</f>
        <v>-8.13557115775243E-006</v>
      </c>
    </row>
    <row r="1819" customFormat="false" ht="15" hidden="false" customHeight="false" outlineLevel="0" collapsed="false">
      <c r="A1819" s="1" t="s">
        <v>1826</v>
      </c>
      <c r="B1819" s="5" t="n">
        <v>33.0317</v>
      </c>
      <c r="C1819" s="5" t="n">
        <v>12.2923</v>
      </c>
      <c r="D1819" s="1" t="n">
        <f aca="false">LN(B1819/B1818)</f>
        <v>0.0111972139021605</v>
      </c>
      <c r="E1819" s="1" t="n">
        <f aca="false">LN(C1819/C1818)</f>
        <v>5.69478398616385E-005</v>
      </c>
      <c r="F1819" s="1" t="n">
        <f aca="false">B1819/B1818-1</f>
        <v>0.0112601373381624</v>
      </c>
      <c r="G1819" s="1" t="n">
        <f aca="false">C1819/C1818-1</f>
        <v>5.69494614206523E-005</v>
      </c>
    </row>
    <row r="1820" customFormat="false" ht="15" hidden="false" customHeight="false" outlineLevel="0" collapsed="false">
      <c r="A1820" s="1" t="s">
        <v>1827</v>
      </c>
      <c r="B1820" s="5" t="n">
        <v>33.0143</v>
      </c>
      <c r="C1820" s="5" t="n">
        <v>12.2943</v>
      </c>
      <c r="D1820" s="1" t="n">
        <f aca="false">LN(B1820/B1819)</f>
        <v>-0.000526905502303358</v>
      </c>
      <c r="E1820" s="1" t="n">
        <f aca="false">LN(C1820/C1819)</f>
        <v>0.000162690246265143</v>
      </c>
      <c r="F1820" s="1" t="n">
        <f aca="false">B1820/B1819-1</f>
        <v>-0.000526766711976712</v>
      </c>
      <c r="G1820" s="1" t="n">
        <f aca="false">C1820/C1819-1</f>
        <v>0.000162703481040971</v>
      </c>
    </row>
    <row r="1821" customFormat="false" ht="15" hidden="false" customHeight="false" outlineLevel="0" collapsed="false">
      <c r="A1821" s="1" t="s">
        <v>1828</v>
      </c>
      <c r="B1821" s="5" t="n">
        <v>33.0602</v>
      </c>
      <c r="C1821" s="5" t="n">
        <v>12.294</v>
      </c>
      <c r="D1821" s="1" t="n">
        <f aca="false">LN(B1821/B1820)</f>
        <v>0.00138934104331569</v>
      </c>
      <c r="E1821" s="1" t="n">
        <f aca="false">LN(C1821/C1820)</f>
        <v>-2.44018496613249E-005</v>
      </c>
      <c r="F1821" s="1" t="n">
        <f aca="false">B1821/B1820-1</f>
        <v>0.00139030662470518</v>
      </c>
      <c r="G1821" s="1" t="n">
        <f aca="false">C1821/C1820-1</f>
        <v>-2.44015519386132E-005</v>
      </c>
    </row>
    <row r="1822" customFormat="false" ht="15" hidden="false" customHeight="false" outlineLevel="0" collapsed="false">
      <c r="A1822" s="1" t="s">
        <v>1829</v>
      </c>
      <c r="B1822" s="5" t="n">
        <v>32.8102</v>
      </c>
      <c r="C1822" s="5" t="n">
        <v>12.2943</v>
      </c>
      <c r="D1822" s="1" t="n">
        <f aca="false">LN(B1822/B1821)</f>
        <v>-0.00759069932439367</v>
      </c>
      <c r="E1822" s="1" t="n">
        <f aca="false">LN(C1822/C1821)</f>
        <v>2.44018496614137E-005</v>
      </c>
      <c r="F1822" s="1" t="n">
        <f aca="false">B1822/B1821-1</f>
        <v>-0.00756196272254861</v>
      </c>
      <c r="G1822" s="1" t="n">
        <f aca="false">C1822/C1821-1</f>
        <v>2.44021473889688E-005</v>
      </c>
    </row>
    <row r="1823" customFormat="false" ht="15" hidden="false" customHeight="false" outlineLevel="0" collapsed="false">
      <c r="A1823" s="1" t="s">
        <v>1830</v>
      </c>
      <c r="B1823" s="5" t="n">
        <v>32.605</v>
      </c>
      <c r="C1823" s="5" t="n">
        <v>12.294</v>
      </c>
      <c r="D1823" s="1" t="n">
        <f aca="false">LN(B1823/B1822)</f>
        <v>-0.00627379181179585</v>
      </c>
      <c r="E1823" s="1" t="n">
        <f aca="false">LN(C1823/C1822)</f>
        <v>-2.44018496613249E-005</v>
      </c>
      <c r="F1823" s="1" t="n">
        <f aca="false">B1823/B1822-1</f>
        <v>-0.00625415267203511</v>
      </c>
      <c r="G1823" s="1" t="n">
        <f aca="false">C1823/C1822-1</f>
        <v>-2.44015519386132E-005</v>
      </c>
    </row>
    <row r="1824" customFormat="false" ht="15" hidden="false" customHeight="false" outlineLevel="0" collapsed="false">
      <c r="A1824" s="1" t="s">
        <v>1831</v>
      </c>
      <c r="B1824" s="5" t="n">
        <v>32.547</v>
      </c>
      <c r="C1824" s="5" t="n">
        <v>12.2939</v>
      </c>
      <c r="D1824" s="1" t="n">
        <f aca="false">LN(B1824/B1823)</f>
        <v>-0.00178045233674228</v>
      </c>
      <c r="E1824" s="1" t="n">
        <f aca="false">LN(C1824/C1823)</f>
        <v>-8.1340822112503E-006</v>
      </c>
      <c r="F1824" s="1" t="n">
        <f aca="false">B1824/B1823-1</f>
        <v>-0.00177886827173745</v>
      </c>
      <c r="G1824" s="1" t="n">
        <f aca="false">C1824/C1823-1</f>
        <v>-8.13404912969329E-006</v>
      </c>
    </row>
    <row r="1825" customFormat="false" ht="15" hidden="false" customHeight="false" outlineLevel="0" collapsed="false">
      <c r="A1825" s="1" t="s">
        <v>1832</v>
      </c>
      <c r="B1825" s="5" t="n">
        <v>32.7882</v>
      </c>
      <c r="C1825" s="5" t="n">
        <v>12.2936</v>
      </c>
      <c r="D1825" s="1" t="n">
        <f aca="false">LN(B1825/B1824)</f>
        <v>0.00738349605636456</v>
      </c>
      <c r="E1825" s="1" t="n">
        <f aca="false">LN(C1825/C1824)</f>
        <v>-2.4402643621057E-005</v>
      </c>
      <c r="F1825" s="1" t="n">
        <f aca="false">B1825/B1824-1</f>
        <v>0.0074108212738504</v>
      </c>
      <c r="G1825" s="1" t="n">
        <f aca="false">C1825/C1824-1</f>
        <v>-2.44023458789711E-005</v>
      </c>
    </row>
    <row r="1826" customFormat="false" ht="15" hidden="false" customHeight="false" outlineLevel="0" collapsed="false">
      <c r="A1826" s="1" t="s">
        <v>1833</v>
      </c>
      <c r="B1826" s="5" t="n">
        <v>32.5228</v>
      </c>
      <c r="C1826" s="5" t="n">
        <v>12.2943</v>
      </c>
      <c r="D1826" s="1" t="n">
        <f aca="false">LN(B1826/B1825)</f>
        <v>-0.00812731273063573</v>
      </c>
      <c r="E1826" s="1" t="n">
        <f aca="false">LN(C1826/C1825)</f>
        <v>5.69385754936789E-005</v>
      </c>
      <c r="F1826" s="1" t="n">
        <f aca="false">B1826/B1825-1</f>
        <v>-0.00809437541554603</v>
      </c>
      <c r="G1826" s="1" t="n">
        <f aca="false">C1826/C1825-1</f>
        <v>5.69401965251348E-005</v>
      </c>
    </row>
    <row r="1827" customFormat="false" ht="15" hidden="false" customHeight="false" outlineLevel="0" collapsed="false">
      <c r="A1827" s="1" t="s">
        <v>1834</v>
      </c>
      <c r="B1827" s="5" t="n">
        <v>32.5804</v>
      </c>
      <c r="C1827" s="5" t="n">
        <v>12.2946</v>
      </c>
      <c r="D1827" s="1" t="n">
        <f aca="false">LN(B1827/B1826)</f>
        <v>0.00176949873522058</v>
      </c>
      <c r="E1827" s="1" t="n">
        <f aca="false">LN(C1827/C1826)</f>
        <v>2.44012542258098E-005</v>
      </c>
      <c r="F1827" s="1" t="n">
        <f aca="false">B1827/B1826-1</f>
        <v>0.00177106522193671</v>
      </c>
      <c r="G1827" s="1" t="n">
        <f aca="false">C1827/C1826-1</f>
        <v>2.44015519388352E-005</v>
      </c>
    </row>
    <row r="1828" customFormat="false" ht="15" hidden="false" customHeight="false" outlineLevel="0" collapsed="false">
      <c r="A1828" s="1" t="s">
        <v>1835</v>
      </c>
      <c r="B1828" s="5" t="n">
        <v>32.6841</v>
      </c>
      <c r="C1828" s="5" t="n">
        <v>12.2953</v>
      </c>
      <c r="D1828" s="1" t="n">
        <f aca="false">LN(B1828/B1827)</f>
        <v>0.00317784054943598</v>
      </c>
      <c r="E1828" s="1" t="n">
        <f aca="false">LN(C1828/C1827)</f>
        <v>5.69339444395876E-005</v>
      </c>
      <c r="F1828" s="1" t="n">
        <f aca="false">B1828/B1827-1</f>
        <v>0.0031828952376276</v>
      </c>
      <c r="G1828" s="1" t="n">
        <f aca="false">C1828/C1827-1</f>
        <v>5.69355652073611E-005</v>
      </c>
    </row>
    <row r="1829" customFormat="false" ht="15" hidden="false" customHeight="false" outlineLevel="0" collapsed="false">
      <c r="A1829" s="1" t="s">
        <v>1836</v>
      </c>
      <c r="B1829" s="5" t="n">
        <v>32.863</v>
      </c>
      <c r="C1829" s="5" t="n">
        <v>12.2954</v>
      </c>
      <c r="D1829" s="1" t="n">
        <f aca="false">LN(B1829/B1828)</f>
        <v>0.00545868373205786</v>
      </c>
      <c r="E1829" s="1" t="n">
        <f aca="false">LN(C1829/C1828)</f>
        <v>8.13315603066098E-006</v>
      </c>
      <c r="F1829" s="1" t="n">
        <f aca="false">B1829/B1828-1</f>
        <v>0.00547360949207709</v>
      </c>
      <c r="G1829" s="1" t="n">
        <f aca="false">C1829/C1828-1</f>
        <v>8.13318910486416E-006</v>
      </c>
    </row>
    <row r="1830" customFormat="false" ht="15" hidden="false" customHeight="false" outlineLevel="0" collapsed="false">
      <c r="A1830" s="1" t="s">
        <v>1837</v>
      </c>
      <c r="B1830" s="5" t="n">
        <v>32.9599</v>
      </c>
      <c r="C1830" s="5" t="n">
        <v>12.2944</v>
      </c>
      <c r="D1830" s="1" t="n">
        <f aca="false">LN(B1830/B1829)</f>
        <v>0.00294426620521945</v>
      </c>
      <c r="E1830" s="1" t="n">
        <f aca="false">LN(C1830/C1829)</f>
        <v>-8.13345371294534E-005</v>
      </c>
      <c r="F1830" s="1" t="n">
        <f aca="false">B1830/B1829-1</f>
        <v>0.00294860481392445</v>
      </c>
      <c r="G1830" s="1" t="n">
        <f aca="false">C1830/C1829-1</f>
        <v>-8.13312295656621E-005</v>
      </c>
    </row>
    <row r="1831" customFormat="false" ht="15" hidden="false" customHeight="false" outlineLevel="0" collapsed="false">
      <c r="A1831" s="1" t="s">
        <v>1838</v>
      </c>
      <c r="B1831" s="5" t="n">
        <v>32.8681</v>
      </c>
      <c r="C1831" s="5" t="n">
        <v>12.295</v>
      </c>
      <c r="D1831" s="1" t="n">
        <f aca="false">LN(B1831/B1830)</f>
        <v>-0.00278908851885076</v>
      </c>
      <c r="E1831" s="1" t="n">
        <f aca="false">LN(C1831/C1830)</f>
        <v>4.88015161100647E-005</v>
      </c>
      <c r="F1831" s="1" t="n">
        <f aca="false">B1831/B1830-1</f>
        <v>-0.00278520262500792</v>
      </c>
      <c r="G1831" s="1" t="n">
        <f aca="false">C1831/C1830-1</f>
        <v>4.88027069234231E-005</v>
      </c>
    </row>
    <row r="1832" customFormat="false" ht="15" hidden="false" customHeight="false" outlineLevel="0" collapsed="false">
      <c r="A1832" s="1" t="s">
        <v>1839</v>
      </c>
      <c r="B1832" s="5" t="n">
        <v>33.1589</v>
      </c>
      <c r="C1832" s="5" t="n">
        <v>12.296</v>
      </c>
      <c r="D1832" s="1" t="n">
        <f aca="false">LN(B1832/B1831)</f>
        <v>0.00880857468265544</v>
      </c>
      <c r="E1832" s="1" t="n">
        <f aca="false">LN(C1832/C1831)</f>
        <v>8.13305681388764E-005</v>
      </c>
      <c r="F1832" s="1" t="n">
        <f aca="false">B1832/B1831-1</f>
        <v>0.00884748433891835</v>
      </c>
      <c r="G1832" s="1" t="n">
        <f aca="false">C1832/C1831-1</f>
        <v>8.13338755591975E-005</v>
      </c>
    </row>
    <row r="1833" customFormat="false" ht="15" hidden="false" customHeight="false" outlineLevel="0" collapsed="false">
      <c r="A1833" s="1" t="s">
        <v>1840</v>
      </c>
      <c r="B1833" s="5" t="n">
        <v>33.3899</v>
      </c>
      <c r="C1833" s="5" t="n">
        <v>12.2973</v>
      </c>
      <c r="D1833" s="1" t="n">
        <f aca="false">LN(B1833/B1832)</f>
        <v>0.00694230182253249</v>
      </c>
      <c r="E1833" s="1" t="n">
        <f aca="false">LN(C1833/C1832)</f>
        <v>0.000105719850626857</v>
      </c>
      <c r="F1833" s="1" t="n">
        <f aca="false">B1833/B1832-1</f>
        <v>0.00696645546142949</v>
      </c>
      <c r="G1833" s="1" t="n">
        <f aca="false">C1833/C1832-1</f>
        <v>0.000105725439167204</v>
      </c>
    </row>
    <row r="1834" customFormat="false" ht="15" hidden="false" customHeight="false" outlineLevel="0" collapsed="false">
      <c r="A1834" s="1" t="s">
        <v>1841</v>
      </c>
      <c r="B1834" s="5" t="n">
        <v>33.3937</v>
      </c>
      <c r="C1834" s="5" t="n">
        <v>12.2964</v>
      </c>
      <c r="D1834" s="1" t="n">
        <f aca="false">LN(B1834/B1833)</f>
        <v>0.000113800394231661</v>
      </c>
      <c r="E1834" s="1" t="n">
        <f aca="false">LN(C1834/C1833)</f>
        <v>-7.31894753860889E-005</v>
      </c>
      <c r="F1834" s="1" t="n">
        <f aca="false">B1834/B1833-1</f>
        <v>0.000113806869742161</v>
      </c>
      <c r="G1834" s="1" t="n">
        <f aca="false">C1834/C1833-1</f>
        <v>-7.31867971017763E-005</v>
      </c>
    </row>
    <row r="1835" customFormat="false" ht="15" hidden="false" customHeight="false" outlineLevel="0" collapsed="false">
      <c r="A1835" s="1" t="s">
        <v>1842</v>
      </c>
      <c r="B1835" s="5" t="n">
        <v>33.4519</v>
      </c>
      <c r="C1835" s="5" t="n">
        <v>12.2959</v>
      </c>
      <c r="D1835" s="1" t="n">
        <f aca="false">LN(B1835/B1834)</f>
        <v>0.00174132672027056</v>
      </c>
      <c r="E1835" s="1" t="n">
        <f aca="false">LN(C1835/C1834)</f>
        <v>-4.06631344013489E-005</v>
      </c>
      <c r="F1835" s="1" t="n">
        <f aca="false">B1835/B1834-1</f>
        <v>0.00174284371004108</v>
      </c>
      <c r="G1835" s="1" t="n">
        <f aca="false">C1835/C1834-1</f>
        <v>-4.06623076673052E-005</v>
      </c>
    </row>
    <row r="1836" customFormat="false" ht="15" hidden="false" customHeight="false" outlineLevel="0" collapsed="false">
      <c r="A1836" s="1" t="s">
        <v>1843</v>
      </c>
      <c r="B1836" s="5" t="n">
        <v>33.4548</v>
      </c>
      <c r="C1836" s="5" t="n">
        <v>12.296</v>
      </c>
      <c r="D1836" s="1" t="n">
        <f aca="false">LN(B1836/B1835)</f>
        <v>8.66878803412636E-005</v>
      </c>
      <c r="E1836" s="1" t="n">
        <f aca="false">LN(C1836/C1835)</f>
        <v>8.13275916046571E-006</v>
      </c>
      <c r="F1836" s="1" t="n">
        <f aca="false">B1836/B1835-1</f>
        <v>8.66916378441385E-005</v>
      </c>
      <c r="G1836" s="1" t="n">
        <f aca="false">C1836/C1835-1</f>
        <v>8.13279223144114E-006</v>
      </c>
    </row>
    <row r="1837" customFormat="false" ht="15" hidden="false" customHeight="false" outlineLevel="0" collapsed="false">
      <c r="A1837" s="1" t="s">
        <v>1844</v>
      </c>
      <c r="B1837" s="5" t="n">
        <v>33.5272</v>
      </c>
      <c r="C1837" s="5" t="n">
        <v>12.2956</v>
      </c>
      <c r="D1837" s="1" t="n">
        <f aca="false">LN(B1837/B1836)</f>
        <v>0.00216177564705199</v>
      </c>
      <c r="E1837" s="1" t="n">
        <f aca="false">LN(C1837/C1836)</f>
        <v>-3.25314335004076E-005</v>
      </c>
      <c r="F1837" s="1" t="n">
        <f aca="false">B1837/B1836-1</f>
        <v>0.00216411396869809</v>
      </c>
      <c r="G1837" s="1" t="n">
        <f aca="false">C1837/C1836-1</f>
        <v>-3.25309043590627E-005</v>
      </c>
    </row>
    <row r="1838" customFormat="false" ht="15" hidden="false" customHeight="false" outlineLevel="0" collapsed="false">
      <c r="A1838" s="1" t="s">
        <v>1845</v>
      </c>
      <c r="B1838" s="5" t="n">
        <v>33.86</v>
      </c>
      <c r="C1838" s="5" t="n">
        <v>12.295</v>
      </c>
      <c r="D1838" s="1" t="n">
        <f aca="false">LN(B1838/B1837)</f>
        <v>0.00987732702067068</v>
      </c>
      <c r="E1838" s="1" t="n">
        <f aca="false">LN(C1838/C1837)</f>
        <v>-4.8799134638342E-005</v>
      </c>
      <c r="F1838" s="1" t="n">
        <f aca="false">B1838/B1837-1</f>
        <v>0.00992626882053971</v>
      </c>
      <c r="G1838" s="1" t="n">
        <f aca="false">C1838/C1837-1</f>
        <v>-4.87979439799391E-005</v>
      </c>
    </row>
    <row r="1839" customFormat="false" ht="15" hidden="false" customHeight="false" outlineLevel="0" collapsed="false">
      <c r="A1839" s="1" t="s">
        <v>1846</v>
      </c>
      <c r="B1839" s="5" t="n">
        <v>33.9685</v>
      </c>
      <c r="C1839" s="5" t="n">
        <v>12.2947</v>
      </c>
      <c r="D1839" s="1" t="n">
        <f aca="false">LN(B1839/B1838)</f>
        <v>0.003199247883799</v>
      </c>
      <c r="E1839" s="1" t="n">
        <f aca="false">LN(C1839/C1838)</f>
        <v>-2.44004603565042E-005</v>
      </c>
      <c r="F1839" s="1" t="n">
        <f aca="false">B1839/B1838-1</f>
        <v>0.00320437093916115</v>
      </c>
      <c r="G1839" s="1" t="n">
        <f aca="false">C1839/C1838-1</f>
        <v>-2.44001626676926E-005</v>
      </c>
    </row>
    <row r="1840" customFormat="false" ht="15" hidden="false" customHeight="false" outlineLevel="0" collapsed="false">
      <c r="A1840" s="1" t="s">
        <v>1847</v>
      </c>
      <c r="B1840" s="5" t="n">
        <v>34.0185</v>
      </c>
      <c r="C1840" s="5" t="n">
        <v>12.2956</v>
      </c>
      <c r="D1840" s="1" t="n">
        <f aca="false">LN(B1840/B1839)</f>
        <v>0.00147086969610096</v>
      </c>
      <c r="E1840" s="1" t="n">
        <f aca="false">LN(C1840/C1839)</f>
        <v>7.31995949948057E-005</v>
      </c>
      <c r="F1840" s="1" t="n">
        <f aca="false">B1840/B1839-1</f>
        <v>0.00147195195548822</v>
      </c>
      <c r="G1840" s="1" t="n">
        <f aca="false">C1840/C1839-1</f>
        <v>7.320227415053E-005</v>
      </c>
    </row>
    <row r="1841" customFormat="false" ht="15" hidden="false" customHeight="false" outlineLevel="0" collapsed="false">
      <c r="A1841" s="1" t="s">
        <v>1848</v>
      </c>
      <c r="B1841" s="5" t="n">
        <v>34.1041</v>
      </c>
      <c r="C1841" s="5" t="n">
        <v>12.2961</v>
      </c>
      <c r="D1841" s="1" t="n">
        <f aca="false">LN(B1841/B1840)</f>
        <v>0.00251311738108674</v>
      </c>
      <c r="E1841" s="1" t="n">
        <f aca="false">LN(C1841/C1840)</f>
        <v>4.06641265196496E-005</v>
      </c>
      <c r="F1841" s="1" t="n">
        <f aca="false">B1841/B1840-1</f>
        <v>0.00251627790760911</v>
      </c>
      <c r="G1841" s="1" t="n">
        <f aca="false">C1841/C1840-1</f>
        <v>4.06649533164494E-005</v>
      </c>
    </row>
    <row r="1842" customFormat="false" ht="15" hidden="false" customHeight="false" outlineLevel="0" collapsed="false">
      <c r="A1842" s="1" t="s">
        <v>1849</v>
      </c>
      <c r="B1842" s="5" t="n">
        <v>34.1839</v>
      </c>
      <c r="C1842" s="5" t="n">
        <v>12.2959</v>
      </c>
      <c r="D1842" s="1" t="n">
        <f aca="false">LN(B1842/B1841)</f>
        <v>0.00233716132627829</v>
      </c>
      <c r="E1842" s="1" t="n">
        <f aca="false">LN(C1842/C1841)</f>
        <v>-1.62654521799289E-005</v>
      </c>
      <c r="F1842" s="1" t="n">
        <f aca="false">B1842/B1841-1</f>
        <v>0.00233989461677631</v>
      </c>
      <c r="G1842" s="1" t="n">
        <f aca="false">C1842/C1841-1</f>
        <v>-1.62653198981788E-005</v>
      </c>
    </row>
    <row r="1843" customFormat="false" ht="15" hidden="false" customHeight="false" outlineLevel="0" collapsed="false">
      <c r="A1843" s="1" t="s">
        <v>1850</v>
      </c>
      <c r="B1843" s="5" t="n">
        <v>34.1844</v>
      </c>
      <c r="C1843" s="5" t="n">
        <v>12.296</v>
      </c>
      <c r="D1843" s="1" t="n">
        <f aca="false">LN(B1843/B1842)</f>
        <v>1.46266617718377E-005</v>
      </c>
      <c r="E1843" s="1" t="n">
        <f aca="false">LN(C1843/C1842)</f>
        <v>8.13275916046571E-006</v>
      </c>
      <c r="F1843" s="1" t="n">
        <f aca="false">B1843/B1842-1</f>
        <v>1.46267687419765E-005</v>
      </c>
      <c r="G1843" s="1" t="n">
        <f aca="false">C1843/C1842-1</f>
        <v>8.13279223144114E-006</v>
      </c>
    </row>
    <row r="1844" customFormat="false" ht="15" hidden="false" customHeight="false" outlineLevel="0" collapsed="false">
      <c r="A1844" s="1" t="s">
        <v>1851</v>
      </c>
      <c r="B1844" s="5" t="n">
        <v>34.3488</v>
      </c>
      <c r="C1844" s="5" t="n">
        <v>12.2963</v>
      </c>
      <c r="D1844" s="1" t="n">
        <f aca="false">LN(B1844/B1843)</f>
        <v>0.00479768390629192</v>
      </c>
      <c r="E1844" s="1" t="n">
        <f aca="false">LN(C1844/C1843)</f>
        <v>2.4397880638781E-005</v>
      </c>
      <c r="F1844" s="1" t="n">
        <f aca="false">B1844/B1843-1</f>
        <v>0.00480921121915268</v>
      </c>
      <c r="G1844" s="1" t="n">
        <f aca="false">C1844/C1843-1</f>
        <v>2.43981782694913E-005</v>
      </c>
    </row>
    <row r="1845" customFormat="false" ht="15" hidden="false" customHeight="false" outlineLevel="0" collapsed="false">
      <c r="A1845" s="1" t="s">
        <v>1852</v>
      </c>
      <c r="B1845" s="5" t="n">
        <v>34.2629</v>
      </c>
      <c r="C1845" s="5" t="n">
        <v>12.2964</v>
      </c>
      <c r="D1845" s="1" t="n">
        <f aca="false">LN(B1845/B1844)</f>
        <v>-0.00250394742823661</v>
      </c>
      <c r="E1845" s="1" t="n">
        <f aca="false">LN(C1845/C1844)</f>
        <v>8.13249460202162E-006</v>
      </c>
      <c r="F1845" s="1" t="n">
        <f aca="false">B1845/B1844-1</f>
        <v>-0.00250081516675971</v>
      </c>
      <c r="G1845" s="1" t="n">
        <f aca="false">C1845/C1844-1</f>
        <v>8.13252767084549E-006</v>
      </c>
    </row>
    <row r="1846" customFormat="false" ht="15" hidden="false" customHeight="false" outlineLevel="0" collapsed="false">
      <c r="A1846" s="1" t="s">
        <v>1853</v>
      </c>
      <c r="B1846" s="5" t="n">
        <v>34.0968</v>
      </c>
      <c r="C1846" s="5" t="n">
        <v>12.2962</v>
      </c>
      <c r="D1846" s="1" t="n">
        <f aca="false">LN(B1846/B1845)</f>
        <v>-0.00485959788824123</v>
      </c>
      <c r="E1846" s="1" t="n">
        <f aca="false">LN(C1846/C1845)</f>
        <v>-1.62650553421287E-005</v>
      </c>
      <c r="F1846" s="1" t="n">
        <f aca="false">B1846/B1845-1</f>
        <v>-0.00484780914633609</v>
      </c>
      <c r="G1846" s="1" t="n">
        <f aca="false">C1846/C1845-1</f>
        <v>-1.62649230668332E-005</v>
      </c>
    </row>
    <row r="1847" customFormat="false" ht="15" hidden="false" customHeight="false" outlineLevel="0" collapsed="false">
      <c r="A1847" s="1" t="s">
        <v>1854</v>
      </c>
      <c r="B1847" s="5" t="n">
        <v>33.858</v>
      </c>
      <c r="C1847" s="5" t="n">
        <v>12.2962</v>
      </c>
      <c r="D1847" s="1" t="n">
        <f aca="false">LN(B1847/B1846)</f>
        <v>-0.00702823002878206</v>
      </c>
      <c r="E1847" s="1" t="n">
        <f aca="false">LN(C1847/C1846)</f>
        <v>0</v>
      </c>
      <c r="F1847" s="1" t="n">
        <f aca="false">B1847/B1846-1</f>
        <v>-0.00700358977968618</v>
      </c>
      <c r="G1847" s="1" t="n">
        <f aca="false">C1847/C1846-1</f>
        <v>0</v>
      </c>
    </row>
    <row r="1848" customFormat="false" ht="15" hidden="false" customHeight="false" outlineLevel="0" collapsed="false">
      <c r="A1848" s="1" t="s">
        <v>1855</v>
      </c>
      <c r="B1848" s="5" t="n">
        <v>34.238</v>
      </c>
      <c r="C1848" s="5" t="n">
        <v>12.2961</v>
      </c>
      <c r="D1848" s="1" t="n">
        <f aca="false">LN(B1848/B1847)</f>
        <v>0.0111608301375288</v>
      </c>
      <c r="E1848" s="1" t="n">
        <f aca="false">LN(C1848/C1847)</f>
        <v>-8.13262687932696E-006</v>
      </c>
      <c r="F1848" s="1" t="n">
        <f aca="false">B1848/B1847-1</f>
        <v>0.0112233445566781</v>
      </c>
      <c r="G1848" s="1" t="n">
        <f aca="false">C1848/C1847-1</f>
        <v>-8.13259380960663E-006</v>
      </c>
    </row>
    <row r="1849" customFormat="false" ht="15" hidden="false" customHeight="false" outlineLevel="0" collapsed="false">
      <c r="A1849" s="1" t="s">
        <v>1856</v>
      </c>
      <c r="B1849" s="5" t="n">
        <v>34.2921</v>
      </c>
      <c r="C1849" s="5" t="n">
        <v>12.2963</v>
      </c>
      <c r="D1849" s="1" t="n">
        <f aca="false">LN(B1849/B1848)</f>
        <v>0.00157886859171331</v>
      </c>
      <c r="E1849" s="1" t="n">
        <f aca="false">LN(C1849/C1848)</f>
        <v>1.62651876194085E-005</v>
      </c>
      <c r="F1849" s="1" t="n">
        <f aca="false">B1849/B1848-1</f>
        <v>0.00158011566096139</v>
      </c>
      <c r="G1849" s="1" t="n">
        <f aca="false">C1849/C1848-1</f>
        <v>1.62653198982898E-005</v>
      </c>
    </row>
    <row r="1850" customFormat="false" ht="15" hidden="false" customHeight="false" outlineLevel="0" collapsed="false">
      <c r="A1850" s="1" t="s">
        <v>1857</v>
      </c>
      <c r="B1850" s="5" t="n">
        <v>34.5614</v>
      </c>
      <c r="C1850" s="5" t="n">
        <v>12.2967</v>
      </c>
      <c r="D1850" s="1" t="n">
        <f aca="false">LN(B1850/B1849)</f>
        <v>0.00782244543033616</v>
      </c>
      <c r="E1850" s="1" t="n">
        <f aca="false">LN(C1850/C1849)</f>
        <v>3.25295815910277E-005</v>
      </c>
      <c r="F1850" s="1" t="n">
        <f aca="false">B1850/B1849-1</f>
        <v>0.00785312068960486</v>
      </c>
      <c r="G1850" s="1" t="n">
        <f aca="false">C1850/C1849-1</f>
        <v>3.2530110683604E-005</v>
      </c>
    </row>
    <row r="1851" customFormat="false" ht="15" hidden="false" customHeight="false" outlineLevel="0" collapsed="false">
      <c r="A1851" s="1" t="s">
        <v>1858</v>
      </c>
      <c r="B1851" s="5" t="n">
        <v>34.5635</v>
      </c>
      <c r="C1851" s="5" t="n">
        <v>12.2964</v>
      </c>
      <c r="D1851" s="1" t="n">
        <f aca="false">LN(B1851/B1850)</f>
        <v>6.07595815875802E-005</v>
      </c>
      <c r="E1851" s="1" t="n">
        <f aca="false">LN(C1851/C1850)</f>
        <v>-2.43970869889924E-005</v>
      </c>
      <c r="F1851" s="1" t="n">
        <f aca="false">B1851/B1850-1</f>
        <v>6.07614274883428E-005</v>
      </c>
      <c r="G1851" s="1" t="n">
        <f aca="false">C1851/C1850-1</f>
        <v>-2.43967893824859E-005</v>
      </c>
    </row>
    <row r="1852" customFormat="false" ht="15" hidden="false" customHeight="false" outlineLevel="0" collapsed="false">
      <c r="A1852" s="1" t="s">
        <v>1859</v>
      </c>
      <c r="B1852" s="5" t="n">
        <v>34.2066</v>
      </c>
      <c r="C1852" s="5" t="n">
        <v>12.297</v>
      </c>
      <c r="D1852" s="1" t="n">
        <f aca="false">LN(B1852/B1851)</f>
        <v>-0.0103796040502429</v>
      </c>
      <c r="E1852" s="1" t="n">
        <f aca="false">LN(C1852/C1851)</f>
        <v>4.87935787746953E-005</v>
      </c>
      <c r="F1852" s="1" t="n">
        <f aca="false">B1852/B1851-1</f>
        <v>-0.0103259218539788</v>
      </c>
      <c r="G1852" s="1" t="n">
        <f aca="false">C1852/C1851-1</f>
        <v>4.87947692007218E-005</v>
      </c>
    </row>
    <row r="1853" customFormat="false" ht="15" hidden="false" customHeight="false" outlineLevel="0" collapsed="false">
      <c r="A1853" s="1" t="s">
        <v>1860</v>
      </c>
      <c r="B1853" s="5" t="n">
        <v>34.5402</v>
      </c>
      <c r="C1853" s="5" t="n">
        <v>12.2971</v>
      </c>
      <c r="D1853" s="1" t="n">
        <f aca="false">LN(B1853/B1852)</f>
        <v>0.00970525518374322</v>
      </c>
      <c r="E1853" s="1" t="n">
        <f aca="false">LN(C1853/C1852)</f>
        <v>8.13203166609977E-006</v>
      </c>
      <c r="F1853" s="1" t="n">
        <f aca="false">B1853/B1852-1</f>
        <v>0.00975250390275551</v>
      </c>
      <c r="G1853" s="1" t="n">
        <f aca="false">C1853/C1852-1</f>
        <v>8.13206473115891E-006</v>
      </c>
    </row>
    <row r="1854" customFormat="false" ht="15" hidden="false" customHeight="false" outlineLevel="0" collapsed="false">
      <c r="A1854" s="1" t="s">
        <v>1861</v>
      </c>
      <c r="B1854" s="5" t="n">
        <v>34.5993</v>
      </c>
      <c r="C1854" s="5" t="n">
        <v>12.297</v>
      </c>
      <c r="D1854" s="1" t="n">
        <f aca="false">LN(B1854/B1853)</f>
        <v>0.00170958755542761</v>
      </c>
      <c r="E1854" s="1" t="n">
        <f aca="false">LN(C1854/C1853)</f>
        <v>-8.13203166615944E-006</v>
      </c>
      <c r="F1854" s="1" t="n">
        <f aca="false">B1854/B1853-1</f>
        <v>0.00171104973335412</v>
      </c>
      <c r="G1854" s="1" t="n">
        <f aca="false">C1854/C1853-1</f>
        <v>-8.13199860127956E-006</v>
      </c>
    </row>
    <row r="1855" customFormat="false" ht="15" hidden="false" customHeight="false" outlineLevel="0" collapsed="false">
      <c r="A1855" s="1" t="s">
        <v>1862</v>
      </c>
      <c r="B1855" s="5" t="n">
        <v>34.1933</v>
      </c>
      <c r="C1855" s="5" t="n">
        <v>12.297</v>
      </c>
      <c r="D1855" s="1" t="n">
        <f aca="false">LN(B1855/B1854)</f>
        <v>-0.0118037322015128</v>
      </c>
      <c r="E1855" s="1" t="n">
        <f aca="false">LN(C1855/C1854)</f>
        <v>0</v>
      </c>
      <c r="F1855" s="1" t="n">
        <f aca="false">B1855/B1854-1</f>
        <v>-0.0117343414462142</v>
      </c>
      <c r="G1855" s="1" t="n">
        <f aca="false">C1855/C1854-1</f>
        <v>0</v>
      </c>
    </row>
    <row r="1856" customFormat="false" ht="15" hidden="false" customHeight="false" outlineLevel="0" collapsed="false">
      <c r="A1856" s="1" t="s">
        <v>1863</v>
      </c>
      <c r="B1856" s="5" t="n">
        <v>34.1947</v>
      </c>
      <c r="C1856" s="5" t="n">
        <v>12.2972</v>
      </c>
      <c r="D1856" s="1" t="n">
        <f aca="false">LN(B1856/B1855)</f>
        <v>4.0942855477342E-005</v>
      </c>
      <c r="E1856" s="1" t="n">
        <f aca="false">LN(C1856/C1855)</f>
        <v>1.62639972030203E-005</v>
      </c>
      <c r="F1856" s="1" t="n">
        <f aca="false">B1856/B1855-1</f>
        <v>4.09436936474883E-005</v>
      </c>
      <c r="G1856" s="1" t="n">
        <f aca="false">C1856/C1855-1</f>
        <v>1.62641294625399E-005</v>
      </c>
    </row>
    <row r="1857" customFormat="false" ht="15" hidden="false" customHeight="false" outlineLevel="0" collapsed="false">
      <c r="A1857" s="1" t="s">
        <v>1864</v>
      </c>
      <c r="B1857" s="5" t="n">
        <v>34.1501</v>
      </c>
      <c r="C1857" s="5" t="n">
        <v>12.2973</v>
      </c>
      <c r="D1857" s="1" t="n">
        <f aca="false">LN(B1857/B1856)</f>
        <v>-0.00130514702891799</v>
      </c>
      <c r="E1857" s="1" t="n">
        <f aca="false">LN(C1857/C1856)</f>
        <v>8.13189940852681E-006</v>
      </c>
      <c r="F1857" s="1" t="n">
        <f aca="false">B1857/B1856-1</f>
        <v>-0.00130429569494672</v>
      </c>
      <c r="G1857" s="1" t="n">
        <f aca="false">C1857/C1856-1</f>
        <v>8.13193247251043E-006</v>
      </c>
    </row>
    <row r="1858" customFormat="false" ht="15" hidden="false" customHeight="false" outlineLevel="0" collapsed="false">
      <c r="A1858" s="1" t="s">
        <v>1865</v>
      </c>
      <c r="B1858" s="5" t="n">
        <v>34.4381</v>
      </c>
      <c r="C1858" s="5" t="n">
        <v>12.2974</v>
      </c>
      <c r="D1858" s="1" t="n">
        <f aca="false">LN(B1858/B1857)</f>
        <v>0.00839799535867204</v>
      </c>
      <c r="E1858" s="1" t="n">
        <f aca="false">LN(C1858/C1857)</f>
        <v>8.13183328107258E-006</v>
      </c>
      <c r="F1858" s="1" t="n">
        <f aca="false">B1858/B1857-1</f>
        <v>0.00843335744258433</v>
      </c>
      <c r="G1858" s="1" t="n">
        <f aca="false">C1858/C1857-1</f>
        <v>8.13186634451846E-006</v>
      </c>
    </row>
    <row r="1859" customFormat="false" ht="15" hidden="false" customHeight="false" outlineLevel="0" collapsed="false">
      <c r="A1859" s="1" t="s">
        <v>1866</v>
      </c>
      <c r="B1859" s="5" t="n">
        <v>34.3954</v>
      </c>
      <c r="C1859" s="5" t="n">
        <v>12.2971</v>
      </c>
      <c r="D1859" s="1" t="n">
        <f aca="false">LN(B1859/B1858)</f>
        <v>-0.00124067512119095</v>
      </c>
      <c r="E1859" s="1" t="n">
        <f aca="false">LN(C1859/C1858)</f>
        <v>-2.43956982263134E-005</v>
      </c>
      <c r="F1859" s="1" t="n">
        <f aca="false">B1859/B1858-1</f>
        <v>-0.00123990580200406</v>
      </c>
      <c r="G1859" s="1" t="n">
        <f aca="false">C1859/C1858-1</f>
        <v>-2.43954006536873E-005</v>
      </c>
    </row>
    <row r="1860" customFormat="false" ht="15" hidden="false" customHeight="false" outlineLevel="0" collapsed="false">
      <c r="A1860" s="1" t="s">
        <v>1867</v>
      </c>
      <c r="B1860" s="5" t="n">
        <v>34.3308</v>
      </c>
      <c r="C1860" s="5" t="n">
        <v>12.2976</v>
      </c>
      <c r="D1860" s="1" t="n">
        <f aca="false">LN(B1860/B1859)</f>
        <v>-0.00187992407627116</v>
      </c>
      <c r="E1860" s="1" t="n">
        <f aca="false">LN(C1860/C1859)</f>
        <v>4.06591664111773E-005</v>
      </c>
      <c r="F1860" s="1" t="n">
        <f aca="false">B1860/B1859-1</f>
        <v>-0.00187815812579584</v>
      </c>
      <c r="G1860" s="1" t="n">
        <f aca="false">C1860/C1859-1</f>
        <v>4.06599930062868E-005</v>
      </c>
    </row>
    <row r="1861" customFormat="false" ht="15" hidden="false" customHeight="false" outlineLevel="0" collapsed="false">
      <c r="A1861" s="1" t="s">
        <v>1868</v>
      </c>
      <c r="B1861" s="5" t="n">
        <v>34.5418</v>
      </c>
      <c r="C1861" s="5" t="n">
        <v>12.2984</v>
      </c>
      <c r="D1861" s="1" t="n">
        <f aca="false">LN(B1861/B1860)</f>
        <v>0.00612727442086744</v>
      </c>
      <c r="E1861" s="1" t="n">
        <f aca="false">LN(C1861/C1860)</f>
        <v>6.50512278650687E-005</v>
      </c>
      <c r="F1861" s="1" t="n">
        <f aca="false">B1861/B1860-1</f>
        <v>0.00614608456546306</v>
      </c>
      <c r="G1861" s="1" t="n">
        <f aca="false">C1861/C1860-1</f>
        <v>6.5053343742072E-005</v>
      </c>
    </row>
    <row r="1862" customFormat="false" ht="15" hidden="false" customHeight="false" outlineLevel="0" collapsed="false">
      <c r="A1862" s="1" t="s">
        <v>1869</v>
      </c>
      <c r="B1862" s="5" t="n">
        <v>34.8057</v>
      </c>
      <c r="C1862" s="5" t="n">
        <v>12.2984</v>
      </c>
      <c r="D1862" s="1" t="n">
        <f aca="false">LN(B1862/B1861)</f>
        <v>0.00761098161897545</v>
      </c>
      <c r="E1862" s="1" t="n">
        <f aca="false">LN(C1862/C1861)</f>
        <v>0</v>
      </c>
      <c r="F1862" s="1" t="n">
        <f aca="false">B1862/B1861-1</f>
        <v>0.0076400187598793</v>
      </c>
      <c r="G1862" s="1" t="n">
        <f aca="false">C1862/C1861-1</f>
        <v>0</v>
      </c>
    </row>
    <row r="1863" customFormat="false" ht="15" hidden="false" customHeight="false" outlineLevel="0" collapsed="false">
      <c r="A1863" s="1" t="s">
        <v>1870</v>
      </c>
      <c r="B1863" s="5" t="n">
        <v>34.8297</v>
      </c>
      <c r="C1863" s="5" t="n">
        <v>12.2982</v>
      </c>
      <c r="D1863" s="1" t="n">
        <f aca="false">LN(B1863/B1862)</f>
        <v>0.000689304605137184</v>
      </c>
      <c r="E1863" s="1" t="n">
        <f aca="false">LN(C1863/C1862)</f>
        <v>-1.62624102522618E-005</v>
      </c>
      <c r="F1863" s="1" t="n">
        <f aca="false">B1863/B1862-1</f>
        <v>0.000689542230152052</v>
      </c>
      <c r="G1863" s="1" t="n">
        <f aca="false">C1863/C1862-1</f>
        <v>-1.6262278019985E-005</v>
      </c>
    </row>
    <row r="1864" customFormat="false" ht="15" hidden="false" customHeight="false" outlineLevel="0" collapsed="false">
      <c r="A1864" s="1" t="s">
        <v>1871</v>
      </c>
      <c r="B1864" s="5" t="n">
        <v>34.6679</v>
      </c>
      <c r="C1864" s="5" t="n">
        <v>12.299</v>
      </c>
      <c r="D1864" s="1" t="n">
        <f aca="false">LN(B1864/B1863)</f>
        <v>-0.00465628431289209</v>
      </c>
      <c r="E1864" s="1" t="n">
        <f aca="false">LN(C1864/C1863)</f>
        <v>6.50480542729591E-005</v>
      </c>
      <c r="F1864" s="1" t="n">
        <f aca="false">B1864/B1863-1</f>
        <v>-0.00464546062699367</v>
      </c>
      <c r="G1864" s="1" t="n">
        <f aca="false">C1864/C1863-1</f>
        <v>6.50501699435147E-005</v>
      </c>
    </row>
    <row r="1865" customFormat="false" ht="15" hidden="false" customHeight="false" outlineLevel="0" collapsed="false">
      <c r="A1865" s="1" t="s">
        <v>1872</v>
      </c>
      <c r="B1865" s="5" t="n">
        <v>34.4129</v>
      </c>
      <c r="C1865" s="5" t="n">
        <v>12.2992</v>
      </c>
      <c r="D1865" s="1" t="n">
        <f aca="false">LN(B1865/B1864)</f>
        <v>-0.00738269267907045</v>
      </c>
      <c r="E1865" s="1" t="n">
        <f aca="false">LN(C1865/C1864)</f>
        <v>1.62613524571989E-005</v>
      </c>
      <c r="F1865" s="1" t="n">
        <f aca="false">B1865/B1864-1</f>
        <v>-0.00735550754444325</v>
      </c>
      <c r="G1865" s="1" t="n">
        <f aca="false">C1865/C1864-1</f>
        <v>1.62614846737075E-005</v>
      </c>
    </row>
    <row r="1866" customFormat="false" ht="15" hidden="false" customHeight="false" outlineLevel="0" collapsed="false">
      <c r="A1866" s="1" t="s">
        <v>1873</v>
      </c>
      <c r="B1866" s="5" t="n">
        <v>34.1491</v>
      </c>
      <c r="C1866" s="5" t="n">
        <v>12.2984</v>
      </c>
      <c r="D1866" s="1" t="n">
        <f aca="false">LN(B1866/B1865)</f>
        <v>-0.00769526273408815</v>
      </c>
      <c r="E1866" s="1" t="n">
        <f aca="false">LN(C1866/C1865)</f>
        <v>-6.50469964778188E-005</v>
      </c>
      <c r="F1866" s="1" t="n">
        <f aca="false">B1866/B1865-1</f>
        <v>-0.007665730002412</v>
      </c>
      <c r="G1866" s="1" t="n">
        <f aca="false">C1866/C1865-1</f>
        <v>-6.50448809678128E-005</v>
      </c>
    </row>
    <row r="1867" customFormat="false" ht="15" hidden="false" customHeight="false" outlineLevel="0" collapsed="false">
      <c r="A1867" s="1" t="s">
        <v>1874</v>
      </c>
      <c r="B1867" s="5" t="n">
        <v>34.1457</v>
      </c>
      <c r="C1867" s="5" t="n">
        <v>12.2989</v>
      </c>
      <c r="D1867" s="1" t="n">
        <f aca="false">LN(B1867/B1866)</f>
        <v>-9.95683420350265E-005</v>
      </c>
      <c r="E1867" s="1" t="n">
        <f aca="false">LN(C1867/C1866)</f>
        <v>4.06548686292586E-005</v>
      </c>
      <c r="F1867" s="1" t="n">
        <f aca="false">B1867/B1866-1</f>
        <v>-9.95633852721722E-005</v>
      </c>
      <c r="G1867" s="1" t="n">
        <f aca="false">C1867/C1866-1</f>
        <v>4.06556950496295E-005</v>
      </c>
    </row>
    <row r="1868" customFormat="false" ht="15" hidden="false" customHeight="false" outlineLevel="0" collapsed="false">
      <c r="A1868" s="1" t="s">
        <v>1875</v>
      </c>
      <c r="B1868" s="5" t="n">
        <v>34.2939</v>
      </c>
      <c r="C1868" s="5" t="n">
        <v>12.2988</v>
      </c>
      <c r="D1868" s="1" t="n">
        <f aca="false">LN(B1868/B1867)</f>
        <v>0.00433083278212977</v>
      </c>
      <c r="E1868" s="1" t="n">
        <f aca="false">LN(C1868/C1867)</f>
        <v>-8.13084150150716E-006</v>
      </c>
      <c r="F1868" s="1" t="n">
        <f aca="false">B1868/B1867-1</f>
        <v>0.00434022439135839</v>
      </c>
      <c r="G1868" s="1" t="n">
        <f aca="false">C1868/C1867-1</f>
        <v>-8.13080844630498E-006</v>
      </c>
    </row>
    <row r="1869" customFormat="false" ht="15" hidden="false" customHeight="false" outlineLevel="0" collapsed="false">
      <c r="A1869" s="1" t="s">
        <v>1876</v>
      </c>
      <c r="B1869" s="5" t="n">
        <v>34.2155</v>
      </c>
      <c r="C1869" s="5" t="n">
        <v>12.2988</v>
      </c>
      <c r="D1869" s="1" t="n">
        <f aca="false">LN(B1869/B1868)</f>
        <v>-0.00228873801912444</v>
      </c>
      <c r="E1869" s="1" t="n">
        <f aca="false">LN(C1869/C1868)</f>
        <v>0</v>
      </c>
      <c r="F1869" s="1" t="n">
        <f aca="false">B1869/B1868-1</f>
        <v>-0.00228612085531255</v>
      </c>
      <c r="G1869" s="1" t="n">
        <f aca="false">C1869/C1868-1</f>
        <v>0</v>
      </c>
    </row>
    <row r="1870" customFormat="false" ht="15" hidden="false" customHeight="false" outlineLevel="0" collapsed="false">
      <c r="A1870" s="1" t="s">
        <v>1877</v>
      </c>
      <c r="B1870" s="5" t="n">
        <v>34.4126</v>
      </c>
      <c r="C1870" s="5" t="n">
        <v>12.2988</v>
      </c>
      <c r="D1870" s="1" t="n">
        <f aca="false">LN(B1870/B1869)</f>
        <v>0.00574401861400927</v>
      </c>
      <c r="E1870" s="1" t="n">
        <f aca="false">LN(C1870/C1869)</f>
        <v>0</v>
      </c>
      <c r="F1870" s="1" t="n">
        <f aca="false">B1870/B1869-1</f>
        <v>0.00576054712045715</v>
      </c>
      <c r="G1870" s="1" t="n">
        <f aca="false">C1870/C1869-1</f>
        <v>0</v>
      </c>
    </row>
    <row r="1871" customFormat="false" ht="15" hidden="false" customHeight="false" outlineLevel="0" collapsed="false">
      <c r="A1871" s="1" t="s">
        <v>1878</v>
      </c>
      <c r="B1871" s="5" t="n">
        <v>34.1255</v>
      </c>
      <c r="C1871" s="5" t="n">
        <v>12.2986</v>
      </c>
      <c r="D1871" s="1" t="n">
        <f aca="false">LN(B1871/B1870)</f>
        <v>-0.00837787097288096</v>
      </c>
      <c r="E1871" s="1" t="n">
        <f aca="false">LN(C1871/C1870)</f>
        <v>-1.62618813374085E-005</v>
      </c>
      <c r="F1871" s="1" t="n">
        <f aca="false">B1871/B1870-1</f>
        <v>-0.0083428744122791</v>
      </c>
      <c r="G1871" s="1" t="n">
        <f aca="false">C1871/C1870-1</f>
        <v>-1.62617491137329E-005</v>
      </c>
    </row>
    <row r="1872" customFormat="false" ht="15" hidden="false" customHeight="false" outlineLevel="0" collapsed="false">
      <c r="A1872" s="1" t="s">
        <v>1879</v>
      </c>
      <c r="B1872" s="5" t="n">
        <v>33.9175</v>
      </c>
      <c r="C1872" s="5" t="n">
        <v>12.298</v>
      </c>
      <c r="D1872" s="1" t="n">
        <f aca="false">LN(B1872/B1871)</f>
        <v>-0.00611380003510973</v>
      </c>
      <c r="E1872" s="1" t="n">
        <f aca="false">LN(C1872/C1871)</f>
        <v>-4.87872307651766E-005</v>
      </c>
      <c r="F1872" s="1" t="n">
        <f aca="false">B1872/B1871-1</f>
        <v>-0.00609514878902895</v>
      </c>
      <c r="G1872" s="1" t="n">
        <f aca="false">C1872/C1871-1</f>
        <v>-4.87860406875873E-005</v>
      </c>
    </row>
    <row r="1873" customFormat="false" ht="15" hidden="false" customHeight="false" outlineLevel="0" collapsed="false">
      <c r="A1873" s="1" t="s">
        <v>1880</v>
      </c>
      <c r="B1873" s="5" t="n">
        <v>33.8413</v>
      </c>
      <c r="C1873" s="5" t="n">
        <v>12.2977</v>
      </c>
      <c r="D1873" s="1" t="n">
        <f aca="false">LN(B1873/B1872)</f>
        <v>-0.00224915530153243</v>
      </c>
      <c r="E1873" s="1" t="n">
        <f aca="false">LN(C1873/C1872)</f>
        <v>-2.43945079842385E-005</v>
      </c>
      <c r="F1873" s="1" t="n">
        <f aca="false">B1873/B1872-1</f>
        <v>-0.0022466278469816</v>
      </c>
      <c r="G1873" s="1" t="n">
        <f aca="false">C1873/C1872-1</f>
        <v>-2.4394210440648E-005</v>
      </c>
    </row>
    <row r="1874" customFormat="false" ht="15" hidden="false" customHeight="false" outlineLevel="0" collapsed="false">
      <c r="A1874" s="1" t="s">
        <v>1881</v>
      </c>
      <c r="B1874" s="5" t="n">
        <v>33.6352</v>
      </c>
      <c r="C1874" s="5" t="n">
        <v>12.2973</v>
      </c>
      <c r="D1874" s="1" t="n">
        <f aca="false">LN(B1874/B1873)</f>
        <v>-0.00610881242889594</v>
      </c>
      <c r="E1874" s="1" t="n">
        <f aca="false">LN(C1874/C1873)</f>
        <v>-3.2526936372113E-005</v>
      </c>
      <c r="F1874" s="1" t="n">
        <f aca="false">B1874/B1873-1</f>
        <v>-0.00609019157065482</v>
      </c>
      <c r="G1874" s="1" t="n">
        <f aca="false">C1874/C1873-1</f>
        <v>-3.25264073770537E-005</v>
      </c>
    </row>
    <row r="1875" customFormat="false" ht="15" hidden="false" customHeight="false" outlineLevel="0" collapsed="false">
      <c r="A1875" s="1" t="s">
        <v>1882</v>
      </c>
      <c r="B1875" s="5" t="n">
        <v>33.3919</v>
      </c>
      <c r="C1875" s="5" t="n">
        <v>12.2964</v>
      </c>
      <c r="D1875" s="1" t="n">
        <f aca="false">LN(B1875/B1874)</f>
        <v>-0.00725978204581388</v>
      </c>
      <c r="E1875" s="1" t="n">
        <f aca="false">LN(C1875/C1874)</f>
        <v>-7.31894753860889E-005</v>
      </c>
      <c r="F1875" s="1" t="n">
        <f aca="false">B1875/B1874-1</f>
        <v>-0.00723349348301772</v>
      </c>
      <c r="G1875" s="1" t="n">
        <f aca="false">C1875/C1874-1</f>
        <v>-7.31867971017763E-005</v>
      </c>
    </row>
    <row r="1876" customFormat="false" ht="15" hidden="false" customHeight="false" outlineLevel="0" collapsed="false">
      <c r="A1876" s="1" t="s">
        <v>1883</v>
      </c>
      <c r="B1876" s="5" t="n">
        <v>33.3121</v>
      </c>
      <c r="C1876" s="5" t="n">
        <v>12.2972</v>
      </c>
      <c r="D1876" s="1" t="n">
        <f aca="false">LN(B1876/B1875)</f>
        <v>-0.00239266125180198</v>
      </c>
      <c r="E1876" s="1" t="n">
        <f aca="false">LN(C1876/C1875)</f>
        <v>6.50575759775657E-005</v>
      </c>
      <c r="F1876" s="1" t="n">
        <f aca="false">B1876/B1875-1</f>
        <v>-0.0023898011194331</v>
      </c>
      <c r="G1876" s="1" t="n">
        <f aca="false">C1876/C1875-1</f>
        <v>6.5059692267555E-005</v>
      </c>
    </row>
    <row r="1877" customFormat="false" ht="15" hidden="false" customHeight="false" outlineLevel="0" collapsed="false">
      <c r="A1877" s="1" t="s">
        <v>1884</v>
      </c>
      <c r="B1877" s="5" t="n">
        <v>32.726</v>
      </c>
      <c r="C1877" s="5" t="n">
        <v>12.2977</v>
      </c>
      <c r="D1877" s="1" t="n">
        <f aca="false">LN(B1877/B1876)</f>
        <v>-0.0177508253425785</v>
      </c>
      <c r="E1877" s="1" t="n">
        <f aca="false">LN(C1877/C1876)</f>
        <v>4.0658835780442E-005</v>
      </c>
      <c r="F1877" s="1" t="n">
        <f aca="false">B1877/B1876-1</f>
        <v>-0.017594207510184</v>
      </c>
      <c r="G1877" s="1" t="n">
        <f aca="false">C1877/C1876-1</f>
        <v>4.06596623621081E-005</v>
      </c>
    </row>
    <row r="1878" customFormat="false" ht="15" hidden="false" customHeight="false" outlineLevel="0" collapsed="false">
      <c r="A1878" s="1" t="s">
        <v>1885</v>
      </c>
      <c r="B1878" s="5" t="n">
        <v>33.0512</v>
      </c>
      <c r="C1878" s="5" t="n">
        <v>12.298</v>
      </c>
      <c r="D1878" s="1" t="n">
        <f aca="false">LN(B1878/B1877)</f>
        <v>0.00988800525514739</v>
      </c>
      <c r="E1878" s="1" t="n">
        <f aca="false">LN(C1878/C1877)</f>
        <v>2.43945079843054E-005</v>
      </c>
      <c r="F1878" s="1" t="n">
        <f aca="false">B1878/B1877-1</f>
        <v>0.00993705310762083</v>
      </c>
      <c r="G1878" s="1" t="n">
        <f aca="false">C1878/C1877-1</f>
        <v>2.43948055327348E-005</v>
      </c>
    </row>
    <row r="1879" customFormat="false" ht="15" hidden="false" customHeight="false" outlineLevel="0" collapsed="false">
      <c r="A1879" s="1" t="s">
        <v>1886</v>
      </c>
      <c r="B1879" s="5" t="n">
        <v>33.1003</v>
      </c>
      <c r="C1879" s="5" t="n">
        <v>12.2973</v>
      </c>
      <c r="D1879" s="1" t="n">
        <f aca="false">LN(B1879/B1878)</f>
        <v>0.00148447152420178</v>
      </c>
      <c r="E1879" s="1" t="n">
        <f aca="false">LN(C1879/C1878)</f>
        <v>-5.69214443564103E-005</v>
      </c>
      <c r="F1879" s="1" t="n">
        <f aca="false">B1879/B1878-1</f>
        <v>0.00148557389746795</v>
      </c>
      <c r="G1879" s="1" t="n">
        <f aca="false">C1879/C1878-1</f>
        <v>-5.69198243617342E-005</v>
      </c>
    </row>
    <row r="1880" customFormat="false" ht="15" hidden="false" customHeight="false" outlineLevel="0" collapsed="false">
      <c r="A1880" s="1" t="s">
        <v>1887</v>
      </c>
      <c r="B1880" s="5" t="n">
        <v>33.1636</v>
      </c>
      <c r="C1880" s="5" t="n">
        <v>12.2974</v>
      </c>
      <c r="D1880" s="1" t="n">
        <f aca="false">LN(B1880/B1879)</f>
        <v>0.0019105431239236</v>
      </c>
      <c r="E1880" s="1" t="n">
        <f aca="false">LN(C1880/C1879)</f>
        <v>8.13183328107258E-006</v>
      </c>
      <c r="F1880" s="1" t="n">
        <f aca="false">B1880/B1879-1</f>
        <v>0.00191236937429595</v>
      </c>
      <c r="G1880" s="1" t="n">
        <f aca="false">C1880/C1879-1</f>
        <v>8.13186634451846E-006</v>
      </c>
    </row>
    <row r="1881" customFormat="false" ht="15" hidden="false" customHeight="false" outlineLevel="0" collapsed="false">
      <c r="A1881" s="1" t="s">
        <v>1888</v>
      </c>
      <c r="B1881" s="5" t="n">
        <v>33.0362</v>
      </c>
      <c r="C1881" s="5" t="n">
        <v>12.2975</v>
      </c>
      <c r="D1881" s="1" t="n">
        <f aca="false">LN(B1881/B1880)</f>
        <v>-0.00384895897813629</v>
      </c>
      <c r="E1881" s="1" t="n">
        <f aca="false">LN(C1881/C1880)</f>
        <v>8.1317671549506E-006</v>
      </c>
      <c r="F1881" s="1" t="n">
        <f aca="false">B1881/B1880-1</f>
        <v>-0.00384156122978208</v>
      </c>
      <c r="G1881" s="1" t="n">
        <f aca="false">C1881/C1880-1</f>
        <v>8.13180021785875E-006</v>
      </c>
    </row>
    <row r="1882" customFormat="false" ht="15" hidden="false" customHeight="false" outlineLevel="0" collapsed="false">
      <c r="A1882" s="1" t="s">
        <v>1889</v>
      </c>
      <c r="B1882" s="5" t="n">
        <v>32.8292</v>
      </c>
      <c r="C1882" s="5" t="n">
        <v>12.2972</v>
      </c>
      <c r="D1882" s="1" t="n">
        <f aca="false">LN(B1882/B1881)</f>
        <v>-0.00628556667138011</v>
      </c>
      <c r="E1882" s="1" t="n">
        <f aca="false">LN(C1882/C1881)</f>
        <v>-2.43954998446034E-005</v>
      </c>
      <c r="F1882" s="1" t="n">
        <f aca="false">B1882/B1881-1</f>
        <v>-0.00626585382096001</v>
      </c>
      <c r="G1882" s="1" t="n">
        <f aca="false">C1882/C1881-1</f>
        <v>-2.43952022768168E-005</v>
      </c>
    </row>
    <row r="1883" customFormat="false" ht="15" hidden="false" customHeight="false" outlineLevel="0" collapsed="false">
      <c r="A1883" s="1" t="s">
        <v>1890</v>
      </c>
      <c r="B1883" s="5" t="n">
        <v>32.7106</v>
      </c>
      <c r="C1883" s="5" t="n">
        <v>12.2972</v>
      </c>
      <c r="D1883" s="1" t="n">
        <f aca="false">LN(B1883/B1882)</f>
        <v>-0.00361917886403002</v>
      </c>
      <c r="E1883" s="1" t="n">
        <f aca="false">LN(C1883/C1882)</f>
        <v>0</v>
      </c>
      <c r="F1883" s="1" t="n">
        <f aca="false">B1883/B1882-1</f>
        <v>-0.00361263753000385</v>
      </c>
      <c r="G1883" s="1" t="n">
        <f aca="false">C1883/C1882-1</f>
        <v>0</v>
      </c>
    </row>
    <row r="1884" customFormat="false" ht="15" hidden="false" customHeight="false" outlineLevel="0" collapsed="false">
      <c r="A1884" s="1" t="s">
        <v>1891</v>
      </c>
      <c r="B1884" s="5" t="n">
        <v>32.7477</v>
      </c>
      <c r="C1884" s="5" t="n">
        <v>12.2974</v>
      </c>
      <c r="D1884" s="1" t="n">
        <f aca="false">LN(B1884/B1883)</f>
        <v>0.00113354621102508</v>
      </c>
      <c r="E1884" s="1" t="n">
        <f aca="false">LN(C1884/C1883)</f>
        <v>1.62637326895813E-005</v>
      </c>
      <c r="F1884" s="1" t="n">
        <f aca="false">B1884/B1883-1</f>
        <v>0.00113418891735417</v>
      </c>
      <c r="G1884" s="1" t="n">
        <f aca="false">C1884/C1883-1</f>
        <v>1.62638649447988E-005</v>
      </c>
    </row>
    <row r="1885" customFormat="false" ht="15" hidden="false" customHeight="false" outlineLevel="0" collapsed="false">
      <c r="A1885" s="1" t="s">
        <v>1892</v>
      </c>
      <c r="B1885" s="5" t="n">
        <v>32.9131</v>
      </c>
      <c r="C1885" s="5" t="n">
        <v>12.2979</v>
      </c>
      <c r="D1885" s="1" t="n">
        <f aca="false">LN(B1885/B1884)</f>
        <v>0.00503802420452125</v>
      </c>
      <c r="E1885" s="1" t="n">
        <f aca="false">LN(C1885/C1884)</f>
        <v>4.06581745349576E-005</v>
      </c>
      <c r="F1885" s="1" t="n">
        <f aca="false">B1885/B1884-1</f>
        <v>0.00505073638759357</v>
      </c>
      <c r="G1885" s="1" t="n">
        <f aca="false">C1885/C1884-1</f>
        <v>4.06590010897379E-005</v>
      </c>
    </row>
    <row r="1886" customFormat="false" ht="15" hidden="false" customHeight="false" outlineLevel="0" collapsed="false">
      <c r="A1886" s="1" t="s">
        <v>1893</v>
      </c>
      <c r="B1886" s="5" t="n">
        <v>33.2635</v>
      </c>
      <c r="C1886" s="5" t="n">
        <v>12.2978</v>
      </c>
      <c r="D1886" s="1" t="n">
        <f aca="false">LN(B1886/B1885)</f>
        <v>0.0105899449256787</v>
      </c>
      <c r="E1886" s="1" t="n">
        <f aca="false">LN(C1886/C1885)</f>
        <v>-8.13150266101458E-006</v>
      </c>
      <c r="F1886" s="1" t="n">
        <f aca="false">B1886/B1885-1</f>
        <v>0.0106462168559023</v>
      </c>
      <c r="G1886" s="1" t="n">
        <f aca="false">C1886/C1885-1</f>
        <v>-8.13146960043643E-006</v>
      </c>
    </row>
    <row r="1887" customFormat="false" ht="15" hidden="false" customHeight="false" outlineLevel="0" collapsed="false">
      <c r="A1887" s="1" t="s">
        <v>1894</v>
      </c>
      <c r="B1887" s="5" t="n">
        <v>33.2686</v>
      </c>
      <c r="C1887" s="5" t="n">
        <v>12.2975</v>
      </c>
      <c r="D1887" s="1" t="n">
        <f aca="false">LN(B1887/B1886)</f>
        <v>0.000153309455435401</v>
      </c>
      <c r="E1887" s="1" t="n">
        <f aca="false">LN(C1887/C1886)</f>
        <v>-2.43949047189028E-005</v>
      </c>
      <c r="F1887" s="1" t="n">
        <f aca="false">B1887/B1886-1</f>
        <v>0.000153321207930546</v>
      </c>
      <c r="G1887" s="1" t="n">
        <f aca="false">C1887/C1886-1</f>
        <v>-2.43946071656342E-005</v>
      </c>
    </row>
    <row r="1888" customFormat="false" ht="15" hidden="false" customHeight="false" outlineLevel="0" collapsed="false">
      <c r="A1888" s="1" t="s">
        <v>1895</v>
      </c>
      <c r="B1888" s="5" t="n">
        <v>33.5707</v>
      </c>
      <c r="C1888" s="5" t="n">
        <v>12.2982</v>
      </c>
      <c r="D1888" s="1" t="n">
        <f aca="false">LN(B1888/B1887)</f>
        <v>0.00903965353260079</v>
      </c>
      <c r="E1888" s="1" t="n">
        <f aca="false">LN(C1888/C1887)</f>
        <v>5.69205186427066E-005</v>
      </c>
      <c r="F1888" s="1" t="n">
        <f aca="false">B1888/B1887-1</f>
        <v>0.0090806345923784</v>
      </c>
      <c r="G1888" s="1" t="n">
        <f aca="false">C1888/C1887-1</f>
        <v>5.69221386461649E-005</v>
      </c>
    </row>
    <row r="1889" customFormat="false" ht="15" hidden="false" customHeight="false" outlineLevel="0" collapsed="false">
      <c r="A1889" s="1" t="s">
        <v>1896</v>
      </c>
      <c r="B1889" s="5" t="n">
        <v>33.5667</v>
      </c>
      <c r="C1889" s="5" t="n">
        <v>12.2985</v>
      </c>
      <c r="D1889" s="1" t="n">
        <f aca="false">LN(B1889/B1888)</f>
        <v>-0.000119158621118435</v>
      </c>
      <c r="E1889" s="1" t="n">
        <f aca="false">LN(C1889/C1888)</f>
        <v>2.43935162047489E-005</v>
      </c>
      <c r="F1889" s="1" t="n">
        <f aca="false">B1889/B1888-1</f>
        <v>-0.000119151522011918</v>
      </c>
      <c r="G1889" s="1" t="n">
        <f aca="false">C1889/C1888-1</f>
        <v>2.43938137289845E-005</v>
      </c>
    </row>
    <row r="1890" customFormat="false" ht="15" hidden="false" customHeight="false" outlineLevel="0" collapsed="false">
      <c r="A1890" s="1" t="s">
        <v>1897</v>
      </c>
      <c r="B1890" s="5" t="n">
        <v>33.7638</v>
      </c>
      <c r="C1890" s="5" t="n">
        <v>12.3005</v>
      </c>
      <c r="D1890" s="1" t="n">
        <f aca="false">LN(B1890/B1889)</f>
        <v>0.00585471853057336</v>
      </c>
      <c r="E1890" s="1" t="n">
        <f aca="false">LN(C1890/C1889)</f>
        <v>0.000162608236465446</v>
      </c>
      <c r="F1890" s="1" t="n">
        <f aca="false">B1890/B1889-1</f>
        <v>0.00587189089186624</v>
      </c>
      <c r="G1890" s="1" t="n">
        <f aca="false">C1890/C1889-1</f>
        <v>0.000162621457901357</v>
      </c>
    </row>
    <row r="1891" customFormat="false" ht="15" hidden="false" customHeight="false" outlineLevel="0" collapsed="false">
      <c r="A1891" s="1" t="s">
        <v>1898</v>
      </c>
      <c r="B1891" s="5" t="n">
        <v>33.764</v>
      </c>
      <c r="C1891" s="5" t="n">
        <v>12.3012</v>
      </c>
      <c r="D1891" s="1" t="n">
        <f aca="false">LN(B1891/B1890)</f>
        <v>5.92348632708397E-006</v>
      </c>
      <c r="E1891" s="1" t="n">
        <f aca="false">LN(C1891/C1890)</f>
        <v>5.69066365486332E-005</v>
      </c>
      <c r="F1891" s="1" t="n">
        <f aca="false">B1891/B1890-1</f>
        <v>5.92350387096374E-006</v>
      </c>
      <c r="G1891" s="1" t="n">
        <f aca="false">C1891/C1890-1</f>
        <v>5.69082557619893E-005</v>
      </c>
    </row>
    <row r="1892" customFormat="false" ht="15" hidden="false" customHeight="false" outlineLevel="0" collapsed="false">
      <c r="A1892" s="1" t="s">
        <v>1899</v>
      </c>
      <c r="B1892" s="5" t="n">
        <v>34.0282</v>
      </c>
      <c r="C1892" s="5" t="n">
        <v>12.3012</v>
      </c>
      <c r="D1892" s="1" t="n">
        <f aca="false">LN(B1892/B1891)</f>
        <v>0.00779444648752844</v>
      </c>
      <c r="E1892" s="1" t="n">
        <f aca="false">LN(C1892/C1891)</f>
        <v>0</v>
      </c>
      <c r="F1892" s="1" t="n">
        <f aca="false">B1892/B1891-1</f>
        <v>0.007824902262765</v>
      </c>
      <c r="G1892" s="1" t="n">
        <f aca="false">C1892/C1891-1</f>
        <v>0</v>
      </c>
    </row>
    <row r="1893" customFormat="false" ht="15" hidden="false" customHeight="false" outlineLevel="0" collapsed="false">
      <c r="A1893" s="1" t="s">
        <v>1900</v>
      </c>
      <c r="B1893" s="5" t="n">
        <v>34.0845</v>
      </c>
      <c r="C1893" s="5" t="n">
        <v>12.302</v>
      </c>
      <c r="D1893" s="1" t="n">
        <f aca="false">LN(B1893/B1892)</f>
        <v>0.00165314288882295</v>
      </c>
      <c r="E1893" s="1" t="n">
        <f aca="false">LN(C1893/C1892)</f>
        <v>6.50321909573534E-005</v>
      </c>
      <c r="F1893" s="1" t="n">
        <f aca="false">B1893/B1892-1</f>
        <v>0.00165451008281359</v>
      </c>
      <c r="G1893" s="1" t="n">
        <f aca="false">C1893/C1892-1</f>
        <v>6.50343055961233E-005</v>
      </c>
    </row>
    <row r="1894" customFormat="false" ht="15" hidden="false" customHeight="false" outlineLevel="0" collapsed="false">
      <c r="A1894" s="1" t="s">
        <v>1901</v>
      </c>
      <c r="B1894" s="5" t="n">
        <v>34.1817</v>
      </c>
      <c r="C1894" s="5" t="n">
        <v>12.302</v>
      </c>
      <c r="D1894" s="1" t="n">
        <f aca="false">LN(B1894/B1893)</f>
        <v>0.00284767764091343</v>
      </c>
      <c r="E1894" s="1" t="n">
        <f aca="false">LN(C1894/C1893)</f>
        <v>0</v>
      </c>
      <c r="F1894" s="1" t="n">
        <f aca="false">B1894/B1893-1</f>
        <v>0.00285173612639178</v>
      </c>
      <c r="G1894" s="1" t="n">
        <f aca="false">C1894/C1893-1</f>
        <v>0</v>
      </c>
    </row>
    <row r="1895" customFormat="false" ht="15" hidden="false" customHeight="false" outlineLevel="0" collapsed="false">
      <c r="A1895" s="1" t="s">
        <v>1902</v>
      </c>
      <c r="B1895" s="5" t="n">
        <v>34.5307</v>
      </c>
      <c r="C1895" s="5" t="n">
        <v>12.3026</v>
      </c>
      <c r="D1895" s="1" t="n">
        <f aca="false">LN(B1895/B1894)</f>
        <v>0.0101583702847327</v>
      </c>
      <c r="E1895" s="1" t="n">
        <f aca="false">LN(C1895/C1894)</f>
        <v>4.87713679652284E-005</v>
      </c>
      <c r="F1895" s="1" t="n">
        <f aca="false">B1895/B1894-1</f>
        <v>0.0102101416840006</v>
      </c>
      <c r="G1895" s="1" t="n">
        <f aca="false">C1895/C1894-1</f>
        <v>4.87725573077302E-005</v>
      </c>
    </row>
    <row r="1896" customFormat="false" ht="15" hidden="false" customHeight="false" outlineLevel="0" collapsed="false">
      <c r="A1896" s="1" t="s">
        <v>1903</v>
      </c>
      <c r="B1896" s="5" t="n">
        <v>34.5981</v>
      </c>
      <c r="C1896" s="5" t="n">
        <v>12.3029</v>
      </c>
      <c r="D1896" s="1" t="n">
        <f aca="false">LN(B1896/B1895)</f>
        <v>0.0019499838376195</v>
      </c>
      <c r="E1896" s="1" t="n">
        <f aca="false">LN(C1896/C1895)</f>
        <v>2.43847920192121E-005</v>
      </c>
      <c r="F1896" s="1" t="n">
        <f aca="false">B1896/B1895-1</f>
        <v>0.00195188629248744</v>
      </c>
      <c r="G1896" s="1" t="n">
        <f aca="false">C1896/C1895-1</f>
        <v>2.43850893306696E-005</v>
      </c>
    </row>
    <row r="1897" customFormat="false" ht="15" hidden="false" customHeight="false" outlineLevel="0" collapsed="false">
      <c r="A1897" s="1" t="s">
        <v>1904</v>
      </c>
      <c r="B1897" s="5" t="n">
        <v>34.5337</v>
      </c>
      <c r="C1897" s="5" t="n">
        <v>12.3023</v>
      </c>
      <c r="D1897" s="1" t="n">
        <f aca="false">LN(B1897/B1896)</f>
        <v>-0.00186310839956792</v>
      </c>
      <c r="E1897" s="1" t="n">
        <f aca="false">LN(C1897/C1896)</f>
        <v>-4.87701786710157E-005</v>
      </c>
      <c r="F1897" s="1" t="n">
        <f aca="false">B1897/B1896-1</f>
        <v>-0.00186137389047369</v>
      </c>
      <c r="G1897" s="1" t="n">
        <f aca="false">C1897/C1896-1</f>
        <v>-4.87689894251853E-005</v>
      </c>
    </row>
    <row r="1898" customFormat="false" ht="15" hidden="false" customHeight="false" outlineLevel="0" collapsed="false">
      <c r="A1898" s="1" t="s">
        <v>1905</v>
      </c>
      <c r="B1898" s="5" t="n">
        <v>34.5372</v>
      </c>
      <c r="C1898" s="5" t="n">
        <v>12.3035</v>
      </c>
      <c r="D1898" s="1" t="n">
        <f aca="false">LN(B1898/B1897)</f>
        <v>0.000101345139646124</v>
      </c>
      <c r="E1898" s="1" t="n">
        <f aca="false">LN(C1898/C1897)</f>
        <v>9.75379789277883E-005</v>
      </c>
      <c r="F1898" s="1" t="n">
        <f aca="false">B1898/B1897-1</f>
        <v>0.000101350275238277</v>
      </c>
      <c r="G1898" s="1" t="n">
        <f aca="false">C1898/C1897-1</f>
        <v>9.75427359111158E-005</v>
      </c>
    </row>
    <row r="1899" customFormat="false" ht="15" hidden="false" customHeight="false" outlineLevel="0" collapsed="false">
      <c r="A1899" s="1" t="s">
        <v>1906</v>
      </c>
      <c r="B1899" s="5" t="n">
        <v>34.4485</v>
      </c>
      <c r="C1899" s="5" t="n">
        <v>12.3034</v>
      </c>
      <c r="D1899" s="1" t="n">
        <f aca="false">LN(B1899/B1898)</f>
        <v>-0.00257154885375008</v>
      </c>
      <c r="E1899" s="1" t="n">
        <f aca="false">LN(C1899/C1898)</f>
        <v>-8.12780155159407E-006</v>
      </c>
      <c r="F1899" s="1" t="n">
        <f aca="false">B1899/B1898-1</f>
        <v>-0.00256824525439225</v>
      </c>
      <c r="G1899" s="1" t="n">
        <f aca="false">C1899/C1898-1</f>
        <v>-8.12776852110453E-006</v>
      </c>
    </row>
    <row r="1900" customFormat="false" ht="15" hidden="false" customHeight="false" outlineLevel="0" collapsed="false">
      <c r="A1900" s="1" t="s">
        <v>1907</v>
      </c>
      <c r="B1900" s="5" t="n">
        <v>34.7105</v>
      </c>
      <c r="C1900" s="5" t="n">
        <v>12.3029</v>
      </c>
      <c r="D1900" s="1" t="n">
        <f aca="false">LN(B1900/B1899)</f>
        <v>0.00757677969310895</v>
      </c>
      <c r="E1900" s="1" t="n">
        <f aca="false">LN(C1900/C1899)</f>
        <v>-4.0639998705199E-005</v>
      </c>
      <c r="F1900" s="1" t="n">
        <f aca="false">B1900/B1899-1</f>
        <v>0.00760555612000524</v>
      </c>
      <c r="G1900" s="1" t="n">
        <f aca="false">C1900/C1899-1</f>
        <v>-4.06391729116384E-005</v>
      </c>
    </row>
    <row r="1901" customFormat="false" ht="15" hidden="false" customHeight="false" outlineLevel="0" collapsed="false">
      <c r="A1901" s="1" t="s">
        <v>1908</v>
      </c>
      <c r="B1901" s="5" t="n">
        <v>34.521</v>
      </c>
      <c r="C1901" s="5" t="n">
        <v>12.3032</v>
      </c>
      <c r="D1901" s="1" t="n">
        <f aca="false">LN(B1901/B1900)</f>
        <v>-0.00547440033109652</v>
      </c>
      <c r="E1901" s="1" t="n">
        <f aca="false">LN(C1901/C1900)</f>
        <v>2.43841974158009E-005</v>
      </c>
      <c r="F1901" s="1" t="n">
        <f aca="false">B1901/B1900-1</f>
        <v>-0.00545944310799329</v>
      </c>
      <c r="G1901" s="1" t="n">
        <f aca="false">C1901/C1900-1</f>
        <v>2.43844947127592E-005</v>
      </c>
    </row>
    <row r="1902" customFormat="false" ht="15" hidden="false" customHeight="false" outlineLevel="0" collapsed="false">
      <c r="A1902" s="1" t="s">
        <v>1909</v>
      </c>
      <c r="B1902" s="5" t="n">
        <v>34.472</v>
      </c>
      <c r="C1902" s="5" t="n">
        <v>12.3038</v>
      </c>
      <c r="D1902" s="1" t="n">
        <f aca="false">LN(B1902/B1901)</f>
        <v>-0.00142043419589428</v>
      </c>
      <c r="E1902" s="1" t="n">
        <f aca="false">LN(C1902/C1901)</f>
        <v>4.87666111366965E-005</v>
      </c>
      <c r="F1902" s="1" t="n">
        <f aca="false">B1902/B1901-1</f>
        <v>-0.00141942585672483</v>
      </c>
      <c r="G1902" s="1" t="n">
        <f aca="false">C1902/C1901-1</f>
        <v>4.8767800247207E-005</v>
      </c>
    </row>
    <row r="1903" customFormat="false" ht="15" hidden="false" customHeight="false" outlineLevel="0" collapsed="false">
      <c r="A1903" s="1" t="s">
        <v>1910</v>
      </c>
      <c r="B1903" s="5" t="n">
        <v>34.9459</v>
      </c>
      <c r="C1903" s="5" t="n">
        <v>12.3041</v>
      </c>
      <c r="D1903" s="1" t="n">
        <f aca="false">LN(B1903/B1902)</f>
        <v>0.0136537510413834</v>
      </c>
      <c r="E1903" s="1" t="n">
        <f aca="false">LN(C1903/C1902)</f>
        <v>2.43824137787558E-005</v>
      </c>
      <c r="F1903" s="1" t="n">
        <f aca="false">B1903/B1902-1</f>
        <v>0.0137473891854258</v>
      </c>
      <c r="G1903" s="1" t="n">
        <f aca="false">C1903/C1902-1</f>
        <v>2.43827110322226E-005</v>
      </c>
    </row>
    <row r="1904" customFormat="false" ht="15" hidden="false" customHeight="false" outlineLevel="0" collapsed="false">
      <c r="A1904" s="1" t="s">
        <v>1911</v>
      </c>
      <c r="B1904" s="5" t="n">
        <v>34.6263</v>
      </c>
      <c r="C1904" s="5" t="n">
        <v>12.3042</v>
      </c>
      <c r="D1904" s="1" t="n">
        <f aca="false">LN(B1904/B1903)</f>
        <v>-0.00918764242586462</v>
      </c>
      <c r="E1904" s="1" t="n">
        <f aca="false">LN(C1904/C1903)</f>
        <v>8.1273391499035E-006</v>
      </c>
      <c r="F1904" s="1" t="n">
        <f aca="false">B1904/B1903-1</f>
        <v>-0.009145565001903</v>
      </c>
      <c r="G1904" s="1" t="n">
        <f aca="false">C1904/C1903-1</f>
        <v>8.12737217681381E-006</v>
      </c>
    </row>
    <row r="1905" customFormat="false" ht="15" hidden="false" customHeight="false" outlineLevel="0" collapsed="false">
      <c r="A1905" s="1" t="s">
        <v>1912</v>
      </c>
      <c r="B1905" s="5" t="n">
        <v>34.6284</v>
      </c>
      <c r="C1905" s="5" t="n">
        <v>12.3043</v>
      </c>
      <c r="D1905" s="1" t="n">
        <f aca="false">LN(B1905/B1904)</f>
        <v>6.0645703487072E-005</v>
      </c>
      <c r="E1905" s="1" t="n">
        <f aca="false">LN(C1905/C1904)</f>
        <v>8.12727309661127E-006</v>
      </c>
      <c r="F1905" s="1" t="n">
        <f aca="false">B1905/B1904-1</f>
        <v>6.06475424749231E-005</v>
      </c>
      <c r="G1905" s="1" t="n">
        <f aca="false">C1905/C1904-1</f>
        <v>8.12730612298473E-006</v>
      </c>
    </row>
    <row r="1906" customFormat="false" ht="15" hidden="false" customHeight="false" outlineLevel="0" collapsed="false">
      <c r="A1906" s="1" t="s">
        <v>1913</v>
      </c>
      <c r="B1906" s="5" t="n">
        <v>34.3635</v>
      </c>
      <c r="C1906" s="5" t="n">
        <v>12.3044</v>
      </c>
      <c r="D1906" s="1" t="n">
        <f aca="false">LN(B1906/B1905)</f>
        <v>-0.00767920007316746</v>
      </c>
      <c r="E1906" s="1" t="n">
        <f aca="false">LN(C1906/C1905)</f>
        <v>8.12720704465129E-006</v>
      </c>
      <c r="F1906" s="1" t="n">
        <f aca="false">B1906/B1905-1</f>
        <v>-0.00764979034549673</v>
      </c>
      <c r="G1906" s="1" t="n">
        <f aca="false">C1906/C1905-1</f>
        <v>8.12724007048793E-006</v>
      </c>
    </row>
    <row r="1907" customFormat="false" ht="15" hidden="false" customHeight="false" outlineLevel="0" collapsed="false">
      <c r="A1907" s="1" t="s">
        <v>1914</v>
      </c>
      <c r="B1907" s="5" t="n">
        <v>34.2288</v>
      </c>
      <c r="C1907" s="5" t="n">
        <v>12.3049</v>
      </c>
      <c r="D1907" s="1" t="n">
        <f aca="false">LN(B1907/B1906)</f>
        <v>-0.00392755959936363</v>
      </c>
      <c r="E1907" s="1" t="n">
        <f aca="false">LN(C1907/C1906)</f>
        <v>4.06350444806818E-005</v>
      </c>
      <c r="F1907" s="1" t="n">
        <f aca="false">B1907/B1906-1</f>
        <v>-0.00391985682482876</v>
      </c>
      <c r="G1907" s="1" t="n">
        <f aca="false">C1907/C1906-1</f>
        <v>4.06358700952847E-005</v>
      </c>
    </row>
    <row r="1908" customFormat="false" ht="15" hidden="false" customHeight="false" outlineLevel="0" collapsed="false">
      <c r="A1908" s="1" t="s">
        <v>1915</v>
      </c>
      <c r="B1908" s="5" t="n">
        <v>34.2586</v>
      </c>
      <c r="C1908" s="5" t="n">
        <v>12.3051</v>
      </c>
      <c r="D1908" s="1" t="n">
        <f aca="false">LN(B1908/B1907)</f>
        <v>0.000870233119687621</v>
      </c>
      <c r="E1908" s="1" t="n">
        <f aca="false">LN(C1908/C1907)</f>
        <v>1.62535554656748E-005</v>
      </c>
      <c r="F1908" s="1" t="n">
        <f aca="false">B1908/B1907-1</f>
        <v>0.00087061188239157</v>
      </c>
      <c r="G1908" s="1" t="n">
        <f aca="false">C1908/C1907-1</f>
        <v>1.62536875554231E-005</v>
      </c>
    </row>
    <row r="1909" customFormat="false" ht="15" hidden="false" customHeight="false" outlineLevel="0" collapsed="false">
      <c r="A1909" s="1" t="s">
        <v>1916</v>
      </c>
      <c r="B1909" s="5" t="n">
        <v>34.3652</v>
      </c>
      <c r="C1909" s="5" t="n">
        <v>12.3054</v>
      </c>
      <c r="D1909" s="1" t="n">
        <f aca="false">LN(B1909/B1908)</f>
        <v>0.00310679635180644</v>
      </c>
      <c r="E1909" s="1" t="n">
        <f aca="false">LN(C1909/C1908)</f>
        <v>2.43798378754529E-005</v>
      </c>
      <c r="F1909" s="1" t="n">
        <f aca="false">B1909/B1908-1</f>
        <v>0.0031116274453713</v>
      </c>
      <c r="G1909" s="1" t="n">
        <f aca="false">C1909/C1908-1</f>
        <v>2.43801350661155E-005</v>
      </c>
    </row>
    <row r="1910" customFormat="false" ht="15" hidden="false" customHeight="false" outlineLevel="0" collapsed="false">
      <c r="A1910" s="1" t="s">
        <v>1917</v>
      </c>
      <c r="B1910" s="5" t="n">
        <v>34.2682</v>
      </c>
      <c r="C1910" s="5" t="n">
        <v>12.3051</v>
      </c>
      <c r="D1910" s="1" t="n">
        <f aca="false">LN(B1910/B1909)</f>
        <v>-0.00282661399795957</v>
      </c>
      <c r="E1910" s="1" t="n">
        <f aca="false">LN(C1910/C1909)</f>
        <v>-2.43798378753998E-005</v>
      </c>
      <c r="F1910" s="1" t="n">
        <f aca="false">B1910/B1909-1</f>
        <v>-0.00282262288594282</v>
      </c>
      <c r="G1910" s="1" t="n">
        <f aca="false">C1910/C1909-1</f>
        <v>-2.43795406895675E-005</v>
      </c>
    </row>
    <row r="1911" customFormat="false" ht="15" hidden="false" customHeight="false" outlineLevel="0" collapsed="false">
      <c r="A1911" s="1" t="s">
        <v>1918</v>
      </c>
      <c r="B1911" s="5" t="n">
        <v>34.4714</v>
      </c>
      <c r="C1911" s="5" t="n">
        <v>12.3056</v>
      </c>
      <c r="D1911" s="1" t="n">
        <f aca="false">LN(B1911/B1910)</f>
        <v>0.00591218429802001</v>
      </c>
      <c r="E1911" s="1" t="n">
        <f aca="false">LN(C1911/C1910)</f>
        <v>4.06327329226303E-005</v>
      </c>
      <c r="F1911" s="1" t="n">
        <f aca="false">B1911/B1910-1</f>
        <v>0.0059296957529138</v>
      </c>
      <c r="G1911" s="1" t="n">
        <f aca="false">C1911/C1910-1</f>
        <v>4.06335584433037E-005</v>
      </c>
    </row>
    <row r="1912" customFormat="false" ht="15" hidden="false" customHeight="false" outlineLevel="0" collapsed="false">
      <c r="A1912" s="1" t="s">
        <v>1919</v>
      </c>
      <c r="B1912" s="5" t="n">
        <v>34.4811</v>
      </c>
      <c r="C1912" s="5" t="n">
        <v>12.3061</v>
      </c>
      <c r="D1912" s="1" t="n">
        <f aca="false">LN(B1912/B1911)</f>
        <v>0.000281353107254406</v>
      </c>
      <c r="E1912" s="1" t="n">
        <f aca="false">LN(C1912/C1911)</f>
        <v>4.06310819706138E-005</v>
      </c>
      <c r="F1912" s="1" t="n">
        <f aca="false">B1912/B1911-1</f>
        <v>0.000281392690752114</v>
      </c>
      <c r="G1912" s="1" t="n">
        <f aca="false">C1912/C1911-1</f>
        <v>4.06319074242045E-005</v>
      </c>
    </row>
    <row r="1913" customFormat="false" ht="15" hidden="false" customHeight="false" outlineLevel="0" collapsed="false">
      <c r="A1913" s="1" t="s">
        <v>1920</v>
      </c>
      <c r="B1913" s="5" t="n">
        <v>34.3118</v>
      </c>
      <c r="C1913" s="5" t="n">
        <v>12.3065</v>
      </c>
      <c r="D1913" s="1" t="n">
        <f aca="false">LN(B1913/B1912)</f>
        <v>-0.00492202950576668</v>
      </c>
      <c r="E1913" s="1" t="n">
        <f aca="false">LN(C1913/C1912)</f>
        <v>3.25036769811442E-005</v>
      </c>
      <c r="F1913" s="1" t="n">
        <f aca="false">B1913/B1912-1</f>
        <v>-0.00490993616792967</v>
      </c>
      <c r="G1913" s="1" t="n">
        <f aca="false">C1913/C1912-1</f>
        <v>3.25042052313762E-005</v>
      </c>
    </row>
    <row r="1914" customFormat="false" ht="15" hidden="false" customHeight="false" outlineLevel="0" collapsed="false">
      <c r="A1914" s="1" t="s">
        <v>1921</v>
      </c>
      <c r="B1914" s="5" t="n">
        <v>34.18</v>
      </c>
      <c r="C1914" s="5" t="n">
        <v>12.3069</v>
      </c>
      <c r="D1914" s="1" t="n">
        <f aca="false">LN(B1914/B1913)</f>
        <v>-0.00384864064560936</v>
      </c>
      <c r="E1914" s="1" t="n">
        <f aca="false">LN(C1914/C1913)</f>
        <v>3.25026205268085E-005</v>
      </c>
      <c r="F1914" s="1" t="n">
        <f aca="false">B1914/B1913-1</f>
        <v>-0.00384124412009856</v>
      </c>
      <c r="G1914" s="1" t="n">
        <f aca="false">C1914/C1913-1</f>
        <v>3.25031487427019E-005</v>
      </c>
    </row>
    <row r="1915" customFormat="false" ht="15" hidden="false" customHeight="false" outlineLevel="0" collapsed="false">
      <c r="A1915" s="1" t="s">
        <v>1922</v>
      </c>
      <c r="B1915" s="5" t="n">
        <v>34.442</v>
      </c>
      <c r="C1915" s="5" t="n">
        <v>12.308</v>
      </c>
      <c r="D1915" s="1" t="n">
        <f aca="false">LN(B1915/B1914)</f>
        <v>0.00763607219526295</v>
      </c>
      <c r="E1915" s="1" t="n">
        <f aca="false">LN(C1915/C1914)</f>
        <v>8.93767596644014E-005</v>
      </c>
      <c r="F1915" s="1" t="n">
        <f aca="false">B1915/B1914-1</f>
        <v>0.00766530134581633</v>
      </c>
      <c r="G1915" s="1" t="n">
        <f aca="false">C1915/C1914-1</f>
        <v>8.93807538859814E-005</v>
      </c>
    </row>
    <row r="1916" customFormat="false" ht="15" hidden="false" customHeight="false" outlineLevel="0" collapsed="false">
      <c r="A1916" s="1" t="s">
        <v>1923</v>
      </c>
      <c r="B1916" s="5" t="n">
        <v>34.6793</v>
      </c>
      <c r="C1916" s="5" t="n">
        <v>12.3085</v>
      </c>
      <c r="D1916" s="1" t="n">
        <f aca="false">LN(B1916/B1915)</f>
        <v>0.00686621728151655</v>
      </c>
      <c r="E1916" s="1" t="n">
        <f aca="false">LN(C1916/C1915)</f>
        <v>4.06231592687043E-005</v>
      </c>
      <c r="F1916" s="1" t="n">
        <f aca="false">B1916/B1915-1</f>
        <v>0.00688984379536595</v>
      </c>
      <c r="G1916" s="1" t="n">
        <f aca="false">C1916/C1915-1</f>
        <v>4.06239844004119E-005</v>
      </c>
    </row>
    <row r="1917" customFormat="false" ht="15" hidden="false" customHeight="false" outlineLevel="0" collapsed="false">
      <c r="A1917" s="1" t="s">
        <v>1924</v>
      </c>
      <c r="B1917" s="5" t="n">
        <v>34.6988</v>
      </c>
      <c r="C1917" s="5" t="n">
        <v>12.3085</v>
      </c>
      <c r="D1917" s="1" t="n">
        <f aca="false">LN(B1917/B1916)</f>
        <v>0.000562137058048483</v>
      </c>
      <c r="E1917" s="1" t="n">
        <f aca="false">LN(C1917/C1916)</f>
        <v>0</v>
      </c>
      <c r="F1917" s="1" t="n">
        <f aca="false">B1917/B1916-1</f>
        <v>0.000562295086694364</v>
      </c>
      <c r="G1917" s="1" t="n">
        <f aca="false">C1917/C1916-1</f>
        <v>0</v>
      </c>
    </row>
    <row r="1918" customFormat="false" ht="15" hidden="false" customHeight="false" outlineLevel="0" collapsed="false">
      <c r="A1918" s="1" t="s">
        <v>1925</v>
      </c>
      <c r="B1918" s="5" t="n">
        <v>34.4531</v>
      </c>
      <c r="C1918" s="5" t="n">
        <v>12.3085</v>
      </c>
      <c r="D1918" s="1" t="n">
        <f aca="false">LN(B1918/B1917)</f>
        <v>-0.00710612532484449</v>
      </c>
      <c r="E1918" s="1" t="n">
        <f aca="false">LN(C1918/C1917)</f>
        <v>0</v>
      </c>
      <c r="F1918" s="1" t="n">
        <f aca="false">B1918/B1917-1</f>
        <v>-0.00708093651653663</v>
      </c>
      <c r="G1918" s="1" t="n">
        <f aca="false">C1918/C1917-1</f>
        <v>0</v>
      </c>
    </row>
    <row r="1919" customFormat="false" ht="15" hidden="false" customHeight="false" outlineLevel="0" collapsed="false">
      <c r="A1919" s="1" t="s">
        <v>1926</v>
      </c>
      <c r="B1919" s="5" t="n">
        <v>34.3281</v>
      </c>
      <c r="C1919" s="5" t="n">
        <v>12.3085</v>
      </c>
      <c r="D1919" s="1" t="n">
        <f aca="false">LN(B1919/B1918)</f>
        <v>-0.00363471813857229</v>
      </c>
      <c r="E1919" s="1" t="n">
        <f aca="false">LN(C1919/C1918)</f>
        <v>0</v>
      </c>
      <c r="F1919" s="1" t="n">
        <f aca="false">B1919/B1918-1</f>
        <v>-0.00362812054648198</v>
      </c>
      <c r="G1919" s="1" t="n">
        <f aca="false">C1919/C1918-1</f>
        <v>0</v>
      </c>
    </row>
    <row r="1920" customFormat="false" ht="15" hidden="false" customHeight="false" outlineLevel="0" collapsed="false">
      <c r="A1920" s="1" t="s">
        <v>1927</v>
      </c>
      <c r="B1920" s="5" t="n">
        <v>34.1564</v>
      </c>
      <c r="C1920" s="5" t="n">
        <v>12.3091</v>
      </c>
      <c r="D1920" s="1" t="n">
        <f aca="false">LN(B1920/B1919)</f>
        <v>-0.00501428380888752</v>
      </c>
      <c r="E1920" s="1" t="n">
        <f aca="false">LN(C1920/C1919)</f>
        <v>4.87456129046239E-005</v>
      </c>
      <c r="F1920" s="1" t="n">
        <f aca="false">B1920/B1919-1</f>
        <v>-0.00500173327390685</v>
      </c>
      <c r="G1920" s="1" t="n">
        <f aca="false">C1920/C1919-1</f>
        <v>4.87468009913172E-005</v>
      </c>
    </row>
    <row r="1921" customFormat="false" ht="15" hidden="false" customHeight="false" outlineLevel="0" collapsed="false">
      <c r="A1921" s="1" t="s">
        <v>1928</v>
      </c>
      <c r="B1921" s="5" t="n">
        <v>34.1085</v>
      </c>
      <c r="C1921" s="5" t="n">
        <v>12.3098</v>
      </c>
      <c r="D1921" s="1" t="n">
        <f aca="false">LN(B1921/B1920)</f>
        <v>-0.00140335686015009</v>
      </c>
      <c r="E1921" s="1" t="n">
        <f aca="false">LN(C1921/C1920)</f>
        <v>5.68668787140654E-005</v>
      </c>
      <c r="F1921" s="1" t="n">
        <f aca="false">B1921/B1920-1</f>
        <v>-0.00140237261538101</v>
      </c>
      <c r="G1921" s="1" t="n">
        <f aca="false">C1921/C1920-1</f>
        <v>5.68684956656629E-005</v>
      </c>
    </row>
    <row r="1922" customFormat="false" ht="15" hidden="false" customHeight="false" outlineLevel="0" collapsed="false">
      <c r="A1922" s="1" t="s">
        <v>1929</v>
      </c>
      <c r="B1922" s="5" t="n">
        <v>34.1615</v>
      </c>
      <c r="C1922" s="5" t="n">
        <v>12.3107</v>
      </c>
      <c r="D1922" s="1" t="n">
        <f aca="false">LN(B1922/B1921)</f>
        <v>0.00155265887351624</v>
      </c>
      <c r="E1922" s="1" t="n">
        <f aca="false">LN(C1922/C1921)</f>
        <v>7.31098069008727E-005</v>
      </c>
      <c r="F1922" s="1" t="n">
        <f aca="false">B1922/B1921-1</f>
        <v>0.00155386487239251</v>
      </c>
      <c r="G1922" s="1" t="n">
        <f aca="false">C1922/C1921-1</f>
        <v>7.31124794879356E-005</v>
      </c>
    </row>
    <row r="1923" customFormat="false" ht="15" hidden="false" customHeight="false" outlineLevel="0" collapsed="false">
      <c r="A1923" s="1" t="s">
        <v>1930</v>
      </c>
      <c r="B1923" s="5" t="n">
        <v>34.234</v>
      </c>
      <c r="C1923" s="5" t="n">
        <v>12.3111</v>
      </c>
      <c r="D1923" s="1" t="n">
        <f aca="false">LN(B1923/B1922)</f>
        <v>0.00212002331013775</v>
      </c>
      <c r="E1923" s="1" t="n">
        <f aca="false">LN(C1923/C1922)</f>
        <v>3.24915318972139E-005</v>
      </c>
      <c r="F1923" s="1" t="n">
        <f aca="false">B1923/B1922-1</f>
        <v>0.00212227214847127</v>
      </c>
      <c r="G1923" s="1" t="n">
        <f aca="false">C1923/C1922-1</f>
        <v>3.24920597527534E-005</v>
      </c>
    </row>
    <row r="1924" customFormat="false" ht="15" hidden="false" customHeight="false" outlineLevel="0" collapsed="false">
      <c r="A1924" s="1" t="s">
        <v>1931</v>
      </c>
      <c r="B1924" s="5" t="n">
        <v>34.3558</v>
      </c>
      <c r="C1924" s="5" t="n">
        <v>12.3117</v>
      </c>
      <c r="D1924" s="1" t="n">
        <f aca="false">LN(B1924/B1923)</f>
        <v>0.00355155221409684</v>
      </c>
      <c r="E1924" s="1" t="n">
        <f aca="false">LN(C1924/C1923)</f>
        <v>4.87353184950226E-005</v>
      </c>
      <c r="F1924" s="1" t="n">
        <f aca="false">B1924/B1923-1</f>
        <v>0.00355786644855982</v>
      </c>
      <c r="G1924" s="1" t="n">
        <f aca="false">C1924/C1923-1</f>
        <v>4.87365060799494E-005</v>
      </c>
    </row>
    <row r="1925" customFormat="false" ht="15" hidden="false" customHeight="false" outlineLevel="0" collapsed="false">
      <c r="A1925" s="1" t="s">
        <v>1932</v>
      </c>
      <c r="B1925" s="5" t="n">
        <v>34.1427</v>
      </c>
      <c r="C1925" s="5" t="n">
        <v>12.3119</v>
      </c>
      <c r="D1925" s="1" t="n">
        <f aca="false">LN(B1925/B1924)</f>
        <v>-0.00622205413242404</v>
      </c>
      <c r="E1925" s="1" t="n">
        <f aca="false">LN(C1925/C1924)</f>
        <v>1.62445783723712E-005</v>
      </c>
      <c r="F1925" s="1" t="n">
        <f aca="false">B1925/B1924-1</f>
        <v>-0.00620273723796283</v>
      </c>
      <c r="G1925" s="1" t="n">
        <f aca="false">C1925/C1924-1</f>
        <v>1.62447103162489E-005</v>
      </c>
    </row>
    <row r="1926" customFormat="false" ht="15" hidden="false" customHeight="false" outlineLevel="0" collapsed="false">
      <c r="A1926" s="1" t="s">
        <v>1933</v>
      </c>
      <c r="B1926" s="5" t="n">
        <v>34.1998</v>
      </c>
      <c r="C1926" s="5" t="n">
        <v>12.3124</v>
      </c>
      <c r="D1926" s="1" t="n">
        <f aca="false">LN(B1926/B1925)</f>
        <v>0.00167099574309843</v>
      </c>
      <c r="E1926" s="1" t="n">
        <f aca="false">LN(C1926/C1925)</f>
        <v>4.06102914656246E-005</v>
      </c>
      <c r="F1926" s="1" t="n">
        <f aca="false">B1926/B1925-1</f>
        <v>0.0016723926344433</v>
      </c>
      <c r="G1926" s="1" t="n">
        <f aca="false">C1926/C1925-1</f>
        <v>4.06111160746736E-005</v>
      </c>
    </row>
    <row r="1927" customFormat="false" ht="15" hidden="false" customHeight="false" outlineLevel="0" collapsed="false">
      <c r="A1927" s="1" t="s">
        <v>1934</v>
      </c>
      <c r="B1927" s="5" t="n">
        <v>34.1697</v>
      </c>
      <c r="C1927" s="5" t="n">
        <v>12.3125</v>
      </c>
      <c r="D1927" s="1" t="n">
        <f aca="false">LN(B1927/B1926)</f>
        <v>-0.000880509640840054</v>
      </c>
      <c r="E1927" s="1" t="n">
        <f aca="false">LN(C1927/C1926)</f>
        <v>8.12186039344793E-006</v>
      </c>
      <c r="F1927" s="1" t="n">
        <f aca="false">B1927/B1926-1</f>
        <v>-0.000880122105977321</v>
      </c>
      <c r="G1927" s="1" t="n">
        <f aca="false">C1927/C1926-1</f>
        <v>8.12189337584535E-006</v>
      </c>
    </row>
    <row r="1928" customFormat="false" ht="15" hidden="false" customHeight="false" outlineLevel="0" collapsed="false">
      <c r="A1928" s="1" t="s">
        <v>1935</v>
      </c>
      <c r="B1928" s="5" t="n">
        <v>33.9695</v>
      </c>
      <c r="C1928" s="5" t="n">
        <v>12.3123</v>
      </c>
      <c r="D1928" s="1" t="n">
        <f aca="false">LN(B1928/B1927)</f>
        <v>-0.0058762232628257</v>
      </c>
      <c r="E1928" s="1" t="n">
        <f aca="false">LN(C1928/C1927)</f>
        <v>-1.6243786751924E-005</v>
      </c>
      <c r="F1928" s="1" t="n">
        <f aca="false">B1928/B1927-1</f>
        <v>-0.00585899203095142</v>
      </c>
      <c r="G1928" s="1" t="n">
        <f aca="false">C1928/C1927-1</f>
        <v>-1.62436548223344E-005</v>
      </c>
    </row>
    <row r="1929" customFormat="false" ht="15" hidden="false" customHeight="false" outlineLevel="0" collapsed="false">
      <c r="A1929" s="1" t="s">
        <v>1936</v>
      </c>
      <c r="B1929" s="5" t="n">
        <v>33.9681</v>
      </c>
      <c r="C1929" s="5" t="n">
        <v>12.3123</v>
      </c>
      <c r="D1929" s="1" t="n">
        <f aca="false">LN(B1929/B1928)</f>
        <v>-4.12142907666704E-005</v>
      </c>
      <c r="E1929" s="1" t="n">
        <f aca="false">LN(C1929/C1928)</f>
        <v>0</v>
      </c>
      <c r="F1929" s="1" t="n">
        <f aca="false">B1929/B1928-1</f>
        <v>-4.12134414694565E-005</v>
      </c>
      <c r="G1929" s="1" t="n">
        <f aca="false">C1929/C1928-1</f>
        <v>0</v>
      </c>
    </row>
    <row r="1930" customFormat="false" ht="15" hidden="false" customHeight="false" outlineLevel="0" collapsed="false">
      <c r="A1930" s="1" t="s">
        <v>1937</v>
      </c>
      <c r="B1930" s="5" t="n">
        <v>34.1139</v>
      </c>
      <c r="C1930" s="5" t="n">
        <v>12.3125</v>
      </c>
      <c r="D1930" s="1" t="n">
        <f aca="false">LN(B1930/B1929)</f>
        <v>0.00428307696273968</v>
      </c>
      <c r="E1930" s="1" t="n">
        <f aca="false">LN(C1930/C1929)</f>
        <v>1.6243786751805E-005</v>
      </c>
      <c r="F1930" s="1" t="n">
        <f aca="false">B1930/B1929-1</f>
        <v>0.00429226244623626</v>
      </c>
      <c r="G1930" s="1" t="n">
        <f aca="false">C1930/C1929-1</f>
        <v>1.62439186828234E-005</v>
      </c>
    </row>
    <row r="1931" customFormat="false" ht="15" hidden="false" customHeight="false" outlineLevel="0" collapsed="false">
      <c r="A1931" s="1" t="s">
        <v>1938</v>
      </c>
      <c r="B1931" s="5" t="n">
        <v>34.1256</v>
      </c>
      <c r="C1931" s="5" t="n">
        <v>12.3126</v>
      </c>
      <c r="D1931" s="1" t="n">
        <f aca="false">LN(B1931/B1930)</f>
        <v>0.000342909901586238</v>
      </c>
      <c r="E1931" s="1" t="n">
        <f aca="false">LN(C1931/C1930)</f>
        <v>8.12179442919449E-006</v>
      </c>
      <c r="F1931" s="1" t="n">
        <f aca="false">B1931/B1930-1</f>
        <v>0.00034296870190742</v>
      </c>
      <c r="G1931" s="1" t="n">
        <f aca="false">C1931/C1930-1</f>
        <v>8.12182741105616E-006</v>
      </c>
    </row>
    <row r="1932" customFormat="false" ht="15" hidden="false" customHeight="false" outlineLevel="0" collapsed="false">
      <c r="A1932" s="1" t="s">
        <v>1939</v>
      </c>
      <c r="B1932" s="5" t="n">
        <v>34.3069</v>
      </c>
      <c r="C1932" s="5" t="n">
        <v>12.313</v>
      </c>
      <c r="D1932" s="1" t="n">
        <f aca="false">LN(B1932/B1931)</f>
        <v>0.00529866435331204</v>
      </c>
      <c r="E1932" s="1" t="n">
        <f aca="false">LN(C1932/C1931)</f>
        <v>3.24865180979757E-005</v>
      </c>
      <c r="F1932" s="1" t="n">
        <f aca="false">B1932/B1931-1</f>
        <v>0.00531272710223418</v>
      </c>
      <c r="G1932" s="1" t="n">
        <f aca="false">C1932/C1931-1</f>
        <v>3.2487045790619E-005</v>
      </c>
    </row>
    <row r="1933" customFormat="false" ht="15" hidden="false" customHeight="false" outlineLevel="0" collapsed="false">
      <c r="A1933" s="1" t="s">
        <v>1940</v>
      </c>
      <c r="B1933" s="5" t="n">
        <v>34.7418</v>
      </c>
      <c r="C1933" s="5" t="n">
        <v>12.3126</v>
      </c>
      <c r="D1933" s="1" t="n">
        <f aca="false">LN(B1933/B1932)</f>
        <v>0.0125970728207407</v>
      </c>
      <c r="E1933" s="1" t="n">
        <f aca="false">LN(C1933/C1932)</f>
        <v>-3.24865180979345E-005</v>
      </c>
      <c r="F1933" s="1" t="n">
        <f aca="false">B1933/B1932-1</f>
        <v>0.0126767501581315</v>
      </c>
      <c r="G1933" s="1" t="n">
        <f aca="false">C1933/C1932-1</f>
        <v>-3.24859904167196E-005</v>
      </c>
    </row>
    <row r="1934" customFormat="false" ht="15" hidden="false" customHeight="false" outlineLevel="0" collapsed="false">
      <c r="A1934" s="1" t="s">
        <v>1941</v>
      </c>
      <c r="B1934" s="5" t="n">
        <v>34.8961</v>
      </c>
      <c r="C1934" s="5" t="n">
        <v>12.3126</v>
      </c>
      <c r="D1934" s="1" t="n">
        <f aca="false">LN(B1934/B1933)</f>
        <v>0.00443150217093248</v>
      </c>
      <c r="E1934" s="1" t="n">
        <f aca="false">LN(C1934/C1933)</f>
        <v>0</v>
      </c>
      <c r="F1934" s="1" t="n">
        <f aca="false">B1934/B1933-1</f>
        <v>0.00444133579722417</v>
      </c>
      <c r="G1934" s="1" t="n">
        <f aca="false">C1934/C1933-1</f>
        <v>0</v>
      </c>
    </row>
    <row r="1935" customFormat="false" ht="15" hidden="false" customHeight="false" outlineLevel="0" collapsed="false">
      <c r="A1935" s="1" t="s">
        <v>1942</v>
      </c>
      <c r="B1935" s="5" t="n">
        <v>35.2294</v>
      </c>
      <c r="C1935" s="5" t="n">
        <v>12.3136</v>
      </c>
      <c r="D1935" s="1" t="n">
        <f aca="false">LN(B1935/B1934)</f>
        <v>0.00950588615545581</v>
      </c>
      <c r="E1935" s="1" t="n">
        <f aca="false">LN(C1935/C1934)</f>
        <v>8.12143165043316E-005</v>
      </c>
      <c r="F1935" s="1" t="n">
        <f aca="false">B1935/B1934-1</f>
        <v>0.00955121059373409</v>
      </c>
      <c r="G1935" s="1" t="n">
        <f aca="false">C1935/C1934-1</f>
        <v>8.12176144762145E-005</v>
      </c>
    </row>
    <row r="1936" customFormat="false" ht="15" hidden="false" customHeight="false" outlineLevel="0" collapsed="false">
      <c r="A1936" s="1" t="s">
        <v>1943</v>
      </c>
      <c r="B1936" s="5" t="n">
        <v>35.1163</v>
      </c>
      <c r="C1936" s="5" t="n">
        <v>12.3137</v>
      </c>
      <c r="D1936" s="1" t="n">
        <f aca="false">LN(B1936/B1935)</f>
        <v>-0.00321555112685783</v>
      </c>
      <c r="E1936" s="1" t="n">
        <f aca="false">LN(C1936/C1935)</f>
        <v>8.12106889523647E-006</v>
      </c>
      <c r="F1936" s="1" t="n">
        <f aca="false">B1936/B1935-1</f>
        <v>-0.00321038677922403</v>
      </c>
      <c r="G1936" s="1" t="n">
        <f aca="false">C1936/C1935-1</f>
        <v>8.12110187120574E-006</v>
      </c>
    </row>
    <row r="1937" customFormat="false" ht="15" hidden="false" customHeight="false" outlineLevel="0" collapsed="false">
      <c r="A1937" s="1" t="s">
        <v>1944</v>
      </c>
      <c r="B1937" s="5" t="n">
        <v>35.3397</v>
      </c>
      <c r="C1937" s="5" t="n">
        <v>12.3143</v>
      </c>
      <c r="D1937" s="1" t="n">
        <f aca="false">LN(B1937/B1936)</f>
        <v>0.00634156774945249</v>
      </c>
      <c r="E1937" s="1" t="n">
        <f aca="false">LN(C1937/C1936)</f>
        <v>4.87250284325149E-005</v>
      </c>
      <c r="F1937" s="1" t="n">
        <f aca="false">B1937/B1936-1</f>
        <v>0.00636171806255215</v>
      </c>
      <c r="G1937" s="1" t="n">
        <f aca="false">C1937/C1936-1</f>
        <v>4.87262155159929E-005</v>
      </c>
    </row>
    <row r="1938" customFormat="false" ht="15" hidden="false" customHeight="false" outlineLevel="0" collapsed="false">
      <c r="A1938" s="1" t="s">
        <v>1945</v>
      </c>
      <c r="B1938" s="5" t="n">
        <v>35.218</v>
      </c>
      <c r="C1938" s="5" t="n">
        <v>12.3146</v>
      </c>
      <c r="D1938" s="1" t="n">
        <f aca="false">LN(B1938/B1937)</f>
        <v>-0.0034496623525861</v>
      </c>
      <c r="E1938" s="1" t="n">
        <f aca="false">LN(C1938/C1937)</f>
        <v>2.43616239471124E-005</v>
      </c>
      <c r="F1938" s="1" t="n">
        <f aca="false">B1938/B1937-1</f>
        <v>-0.00344371910344443</v>
      </c>
      <c r="G1938" s="1" t="n">
        <f aca="false">C1938/C1937-1</f>
        <v>2.43619206938828E-005</v>
      </c>
    </row>
    <row r="1939" customFormat="false" ht="15" hidden="false" customHeight="false" outlineLevel="0" collapsed="false">
      <c r="A1939" s="1" t="s">
        <v>1946</v>
      </c>
      <c r="B1939" s="5" t="n">
        <v>34.9593</v>
      </c>
      <c r="C1939" s="5" t="n">
        <v>12.3151</v>
      </c>
      <c r="D1939" s="1" t="n">
        <f aca="false">LN(B1939/B1938)</f>
        <v>-0.00737278783500746</v>
      </c>
      <c r="E1939" s="1" t="n">
        <f aca="false">LN(C1939/C1938)</f>
        <v>4.06013877610233E-005</v>
      </c>
      <c r="F1939" s="1" t="n">
        <f aca="false">B1939/B1938-1</f>
        <v>-0.00734567550684317</v>
      </c>
      <c r="G1939" s="1" t="n">
        <f aca="false">C1939/C1938-1</f>
        <v>4.06022120085225E-005</v>
      </c>
    </row>
    <row r="1940" customFormat="false" ht="15" hidden="false" customHeight="false" outlineLevel="0" collapsed="false">
      <c r="A1940" s="1" t="s">
        <v>1947</v>
      </c>
      <c r="B1940" s="5" t="n">
        <v>35.1372</v>
      </c>
      <c r="C1940" s="5" t="n">
        <v>12.3151</v>
      </c>
      <c r="D1940" s="1" t="n">
        <f aca="false">LN(B1940/B1939)</f>
        <v>0.00507587060575044</v>
      </c>
      <c r="E1940" s="1" t="n">
        <f aca="false">LN(C1940/C1939)</f>
        <v>0</v>
      </c>
      <c r="F1940" s="1" t="n">
        <f aca="false">B1940/B1939-1</f>
        <v>0.00508877466081992</v>
      </c>
      <c r="G1940" s="1" t="n">
        <f aca="false">C1940/C1939-1</f>
        <v>0</v>
      </c>
    </row>
    <row r="1941" customFormat="false" ht="15" hidden="false" customHeight="false" outlineLevel="0" collapsed="false">
      <c r="A1941" s="1" t="s">
        <v>1948</v>
      </c>
      <c r="B1941" s="5" t="n">
        <v>35.4938</v>
      </c>
      <c r="C1941" s="5" t="n">
        <v>12.3156</v>
      </c>
      <c r="D1941" s="1" t="n">
        <f aca="false">LN(B1941/B1940)</f>
        <v>0.0100976350319987</v>
      </c>
      <c r="E1941" s="1" t="n">
        <f aca="false">LN(C1941/C1940)</f>
        <v>4.05997393552592E-005</v>
      </c>
      <c r="F1941" s="1" t="n">
        <f aca="false">B1941/B1940-1</f>
        <v>0.0101487881789102</v>
      </c>
      <c r="G1941" s="1" t="n">
        <f aca="false">C1941/C1940-1</f>
        <v>4.06005635358309E-005</v>
      </c>
    </row>
    <row r="1942" customFormat="false" ht="15" hidden="false" customHeight="false" outlineLevel="0" collapsed="false">
      <c r="A1942" s="1" t="s">
        <v>1949</v>
      </c>
      <c r="B1942" s="5" t="n">
        <v>35.472</v>
      </c>
      <c r="C1942" s="5" t="n">
        <v>12.3155</v>
      </c>
      <c r="D1942" s="1" t="n">
        <f aca="false">LN(B1942/B1941)</f>
        <v>-0.00061438046737223</v>
      </c>
      <c r="E1942" s="1" t="n">
        <f aca="false">LN(C1942/C1941)</f>
        <v>-8.11981600500096E-006</v>
      </c>
      <c r="F1942" s="1" t="n">
        <f aca="false">B1942/B1941-1</f>
        <v>-0.000614191774337969</v>
      </c>
      <c r="G1942" s="1" t="n">
        <f aca="false">C1942/C1941-1</f>
        <v>-8.11978303938421E-006</v>
      </c>
    </row>
    <row r="1943" customFormat="false" ht="15" hidden="false" customHeight="false" outlineLevel="0" collapsed="false">
      <c r="A1943" s="1" t="s">
        <v>1950</v>
      </c>
      <c r="B1943" s="5" t="n">
        <v>35.2838</v>
      </c>
      <c r="C1943" s="5" t="n">
        <v>12.3158</v>
      </c>
      <c r="D1943" s="1" t="n">
        <f aca="false">LN(B1943/B1942)</f>
        <v>-0.00531971778507699</v>
      </c>
      <c r="E1943" s="1" t="n">
        <f aca="false">LN(C1943/C1942)</f>
        <v>2.43592502233223E-005</v>
      </c>
      <c r="F1943" s="1" t="n">
        <f aca="false">B1943/B1942-1</f>
        <v>-0.00530559314388823</v>
      </c>
      <c r="G1943" s="1" t="n">
        <f aca="false">C1943/C1942-1</f>
        <v>2.43595469122671E-005</v>
      </c>
    </row>
    <row r="1944" customFormat="false" ht="15" hidden="false" customHeight="false" outlineLevel="0" collapsed="false">
      <c r="A1944" s="1" t="s">
        <v>1951</v>
      </c>
      <c r="B1944" s="5" t="n">
        <v>35.2897</v>
      </c>
      <c r="C1944" s="5" t="n">
        <v>12.3162</v>
      </c>
      <c r="D1944" s="1" t="n">
        <f aca="false">LN(B1944/B1943)</f>
        <v>0.000167201570384074</v>
      </c>
      <c r="E1944" s="1" t="n">
        <f aca="false">LN(C1944/C1943)</f>
        <v>3.24780773007592E-005</v>
      </c>
      <c r="F1944" s="1" t="n">
        <f aca="false">B1944/B1943-1</f>
        <v>0.000167215549345734</v>
      </c>
      <c r="G1944" s="1" t="n">
        <f aca="false">C1944/C1943-1</f>
        <v>3.24786047192216E-005</v>
      </c>
    </row>
    <row r="1945" customFormat="false" ht="15" hidden="false" customHeight="false" outlineLevel="0" collapsed="false">
      <c r="A1945" s="1" t="s">
        <v>1952</v>
      </c>
      <c r="B1945" s="5" t="n">
        <v>35.1053</v>
      </c>
      <c r="C1945" s="5" t="n">
        <v>12.3166</v>
      </c>
      <c r="D1945" s="1" t="n">
        <f aca="false">LN(B1945/B1944)</f>
        <v>-0.00523902043536785</v>
      </c>
      <c r="E1945" s="1" t="n">
        <f aca="false">LN(C1945/C1944)</f>
        <v>3.24770225094565E-005</v>
      </c>
      <c r="F1945" s="1" t="n">
        <f aca="false">B1945/B1944-1</f>
        <v>-0.00522532070264137</v>
      </c>
      <c r="G1945" s="1" t="n">
        <f aca="false">C1945/C1944-1</f>
        <v>3.24775498936614E-005</v>
      </c>
    </row>
    <row r="1946" customFormat="false" ht="15" hidden="false" customHeight="false" outlineLevel="0" collapsed="false">
      <c r="A1946" s="1" t="s">
        <v>1953</v>
      </c>
      <c r="B1946" s="5" t="n">
        <v>35.1369</v>
      </c>
      <c r="C1946" s="5" t="n">
        <v>12.3169</v>
      </c>
      <c r="D1946" s="1" t="n">
        <f aca="false">LN(B1946/B1945)</f>
        <v>0.000899744089216551</v>
      </c>
      <c r="E1946" s="1" t="n">
        <f aca="false">LN(C1946/C1945)</f>
        <v>2.43570747165819E-005</v>
      </c>
      <c r="F1946" s="1" t="n">
        <f aca="false">B1946/B1945-1</f>
        <v>0.000900148980353288</v>
      </c>
      <c r="G1946" s="1" t="n">
        <f aca="false">C1946/C1945-1</f>
        <v>2.43573713525347E-005</v>
      </c>
    </row>
    <row r="1947" customFormat="false" ht="15" hidden="false" customHeight="false" outlineLevel="0" collapsed="false">
      <c r="A1947" s="1" t="s">
        <v>1954</v>
      </c>
      <c r="B1947" s="5" t="n">
        <v>35.0285</v>
      </c>
      <c r="C1947" s="5" t="n">
        <v>12.3168</v>
      </c>
      <c r="D1947" s="1" t="n">
        <f aca="false">LN(B1947/B1946)</f>
        <v>-0.00308984446016042</v>
      </c>
      <c r="E1947" s="1" t="n">
        <f aca="false">LN(C1947/C1946)</f>
        <v>-8.11895898713585E-006</v>
      </c>
      <c r="F1947" s="1" t="n">
        <f aca="false">B1947/B1946-1</f>
        <v>-0.00308507580349993</v>
      </c>
      <c r="G1947" s="1" t="n">
        <f aca="false">C1947/C1946-1</f>
        <v>-8.11892602847752E-006</v>
      </c>
    </row>
    <row r="1948" customFormat="false" ht="15" hidden="false" customHeight="false" outlineLevel="0" collapsed="false">
      <c r="A1948" s="1" t="s">
        <v>1955</v>
      </c>
      <c r="B1948" s="5" t="n">
        <v>35.1623</v>
      </c>
      <c r="C1948" s="5" t="n">
        <v>12.3176</v>
      </c>
      <c r="D1948" s="1" t="n">
        <f aca="false">LN(B1948/B1947)</f>
        <v>0.00381247006913754</v>
      </c>
      <c r="E1948" s="1" t="n">
        <f aca="false">LN(C1948/C1947)</f>
        <v>6.4949826282137E-005</v>
      </c>
      <c r="F1948" s="1" t="n">
        <f aca="false">B1948/B1947-1</f>
        <v>0.00381974677762398</v>
      </c>
      <c r="G1948" s="1" t="n">
        <f aca="false">C1948/C1947-1</f>
        <v>6.49519355677697E-005</v>
      </c>
    </row>
    <row r="1949" customFormat="false" ht="15" hidden="false" customHeight="false" outlineLevel="0" collapsed="false">
      <c r="A1949" s="1" t="s">
        <v>1956</v>
      </c>
      <c r="B1949" s="5" t="n">
        <v>35.2345</v>
      </c>
      <c r="C1949" s="5" t="n">
        <v>12.3174</v>
      </c>
      <c r="D1949" s="1" t="n">
        <f aca="false">LN(B1949/B1948)</f>
        <v>0.00205123032056553</v>
      </c>
      <c r="E1949" s="1" t="n">
        <f aca="false">LN(C1949/C1948)</f>
        <v>-1.62370610923585E-005</v>
      </c>
      <c r="F1949" s="1" t="n">
        <f aca="false">B1949/B1948-1</f>
        <v>0.00205333553265841</v>
      </c>
      <c r="G1949" s="1" t="n">
        <f aca="false">C1949/C1948-1</f>
        <v>-1.62369292719955E-005</v>
      </c>
    </row>
    <row r="1950" customFormat="false" ht="15" hidden="false" customHeight="false" outlineLevel="0" collapsed="false">
      <c r="A1950" s="1" t="s">
        <v>1957</v>
      </c>
      <c r="B1950" s="5" t="n">
        <v>34.9445</v>
      </c>
      <c r="C1950" s="5" t="n">
        <v>12.3177</v>
      </c>
      <c r="D1950" s="1" t="n">
        <f aca="false">LN(B1950/B1949)</f>
        <v>-0.00826462761452289</v>
      </c>
      <c r="E1950" s="1" t="n">
        <f aca="false">LN(C1950/C1949)</f>
        <v>2.43554927738999E-005</v>
      </c>
      <c r="F1950" s="1" t="n">
        <f aca="false">B1950/B1949-1</f>
        <v>-0.00823056947026346</v>
      </c>
      <c r="G1950" s="1" t="n">
        <f aca="false">C1950/C1949-1</f>
        <v>2.4355789371322E-005</v>
      </c>
    </row>
    <row r="1951" customFormat="false" ht="15" hidden="false" customHeight="false" outlineLevel="0" collapsed="false">
      <c r="A1951" s="1" t="s">
        <v>1958</v>
      </c>
      <c r="B1951" s="5" t="n">
        <v>35.0853</v>
      </c>
      <c r="C1951" s="5" t="n">
        <v>12.3183</v>
      </c>
      <c r="D1951" s="1" t="n">
        <f aca="false">LN(B1951/B1950)</f>
        <v>0.00402115070224043</v>
      </c>
      <c r="E1951" s="1" t="n">
        <f aca="false">LN(C1951/C1950)</f>
        <v>4.87092060496783E-005</v>
      </c>
      <c r="F1951" s="1" t="n">
        <f aca="false">B1951/B1950-1</f>
        <v>0.0040292463763969</v>
      </c>
      <c r="G1951" s="1" t="n">
        <f aca="false">C1951/C1950-1</f>
        <v>4.87103923623167E-005</v>
      </c>
    </row>
    <row r="1952" customFormat="false" ht="15" hidden="false" customHeight="false" outlineLevel="0" collapsed="false">
      <c r="A1952" s="1" t="s">
        <v>1959</v>
      </c>
      <c r="B1952" s="5" t="n">
        <v>35.0517</v>
      </c>
      <c r="C1952" s="5" t="n">
        <v>12.318</v>
      </c>
      <c r="D1952" s="1" t="n">
        <f aca="false">LN(B1952/B1951)</f>
        <v>-0.00095812488616305</v>
      </c>
      <c r="E1952" s="1" t="n">
        <f aca="false">LN(C1952/C1951)</f>
        <v>-2.43543064514753E-005</v>
      </c>
      <c r="F1952" s="1" t="n">
        <f aca="false">B1952/B1951-1</f>
        <v>-0.000957666031072835</v>
      </c>
      <c r="G1952" s="1" t="n">
        <f aca="false">C1952/C1951-1</f>
        <v>-2.43540098877615E-005</v>
      </c>
    </row>
    <row r="1953" customFormat="false" ht="15" hidden="false" customHeight="false" outlineLevel="0" collapsed="false">
      <c r="A1953" s="1" t="s">
        <v>1960</v>
      </c>
      <c r="B1953" s="5" t="n">
        <v>35.0482</v>
      </c>
      <c r="C1953" s="5" t="n">
        <v>12.3175</v>
      </c>
      <c r="D1953" s="1" t="n">
        <f aca="false">LN(B1953/B1952)</f>
        <v>-9.98574891805826E-005</v>
      </c>
      <c r="E1953" s="1" t="n">
        <f aca="false">LN(C1953/C1952)</f>
        <v>-4.05918288703133E-005</v>
      </c>
      <c r="F1953" s="1" t="n">
        <f aca="false">B1953/B1952-1</f>
        <v>-9.98525035874609E-005</v>
      </c>
      <c r="G1953" s="1" t="n">
        <f aca="false">C1953/C1952-1</f>
        <v>-4.05910050331748E-005</v>
      </c>
    </row>
    <row r="1954" customFormat="false" ht="15" hidden="false" customHeight="false" outlineLevel="0" collapsed="false">
      <c r="A1954" s="1" t="s">
        <v>1961</v>
      </c>
      <c r="B1954" s="5" t="n">
        <v>34.7929</v>
      </c>
      <c r="C1954" s="5" t="n">
        <v>12.318</v>
      </c>
      <c r="D1954" s="1" t="n">
        <f aca="false">LN(B1954/B1953)</f>
        <v>-0.0073109139786262</v>
      </c>
      <c r="E1954" s="1" t="n">
        <f aca="false">LN(C1954/C1953)</f>
        <v>4.05918288703878E-005</v>
      </c>
      <c r="F1954" s="1" t="n">
        <f aca="false">B1954/B1953-1</f>
        <v>-0.007284254255568</v>
      </c>
      <c r="G1954" s="1" t="n">
        <f aca="false">C1954/C1953-1</f>
        <v>4.05926527298206E-005</v>
      </c>
    </row>
    <row r="1955" customFormat="false" ht="15" hidden="false" customHeight="false" outlineLevel="0" collapsed="false">
      <c r="A1955" s="1" t="s">
        <v>1962</v>
      </c>
      <c r="B1955" s="5" t="n">
        <v>34.9806</v>
      </c>
      <c r="C1955" s="5" t="n">
        <v>12.3184</v>
      </c>
      <c r="D1955" s="1" t="n">
        <f aca="false">LN(B1955/B1954)</f>
        <v>0.0053802791256113</v>
      </c>
      <c r="E1955" s="1" t="n">
        <f aca="false">LN(C1955/C1954)</f>
        <v>3.24722767965417E-005</v>
      </c>
      <c r="F1955" s="1" t="n">
        <f aca="false">B1955/B1954-1</f>
        <v>0.00539477881981676</v>
      </c>
      <c r="G1955" s="1" t="n">
        <f aca="false">C1955/C1954-1</f>
        <v>3.24728040266287E-005</v>
      </c>
    </row>
    <row r="1956" customFormat="false" ht="15" hidden="false" customHeight="false" outlineLevel="0" collapsed="false">
      <c r="A1956" s="1" t="s">
        <v>1963</v>
      </c>
      <c r="B1956" s="5" t="n">
        <v>34.9698</v>
      </c>
      <c r="C1956" s="5" t="n">
        <v>12.3188</v>
      </c>
      <c r="D1956" s="1" t="n">
        <f aca="false">LN(B1956/B1955)</f>
        <v>-0.000308790230958484</v>
      </c>
      <c r="E1956" s="1" t="n">
        <f aca="false">LN(C1956/C1955)</f>
        <v>3.24712223820304E-005</v>
      </c>
      <c r="F1956" s="1" t="n">
        <f aca="false">B1956/B1955-1</f>
        <v>-0.000308742560162001</v>
      </c>
      <c r="G1956" s="1" t="n">
        <f aca="false">C1956/C1955-1</f>
        <v>3.24717495778781E-005</v>
      </c>
    </row>
    <row r="1957" customFormat="false" ht="15" hidden="false" customHeight="false" outlineLevel="0" collapsed="false">
      <c r="A1957" s="1" t="s">
        <v>1964</v>
      </c>
      <c r="B1957" s="5" t="n">
        <v>34.63</v>
      </c>
      <c r="C1957" s="5" t="n">
        <v>12.319</v>
      </c>
      <c r="D1957" s="1" t="n">
        <f aca="false">LN(B1957/B1956)</f>
        <v>-0.00976447345672387</v>
      </c>
      <c r="E1957" s="1" t="n">
        <f aca="false">LN(C1957/C1956)</f>
        <v>1.62352158071513E-005</v>
      </c>
      <c r="F1957" s="1" t="n">
        <f aca="false">B1957/B1956-1</f>
        <v>-0.00971695577326714</v>
      </c>
      <c r="G1957" s="1" t="n">
        <f aca="false">C1957/C1956-1</f>
        <v>1.62353475989807E-005</v>
      </c>
    </row>
    <row r="1958" customFormat="false" ht="15" hidden="false" customHeight="false" outlineLevel="0" collapsed="false">
      <c r="A1958" s="1" t="s">
        <v>1965</v>
      </c>
      <c r="B1958" s="5" t="n">
        <v>34.9568</v>
      </c>
      <c r="C1958" s="5" t="n">
        <v>12.3191</v>
      </c>
      <c r="D1958" s="1" t="n">
        <f aca="false">LN(B1958/B1957)</f>
        <v>0.00939265500280889</v>
      </c>
      <c r="E1958" s="1" t="n">
        <f aca="false">LN(C1958/C1957)</f>
        <v>8.11750906129096E-006</v>
      </c>
      <c r="F1958" s="1" t="n">
        <f aca="false">B1958/B1957-1</f>
        <v>0.00943690441813461</v>
      </c>
      <c r="G1958" s="1" t="n">
        <f aca="false">C1958/C1957-1</f>
        <v>8.11754200835679E-006</v>
      </c>
    </row>
    <row r="1959" customFormat="false" ht="15" hidden="false" customHeight="false" outlineLevel="0" collapsed="false">
      <c r="A1959" s="1" t="s">
        <v>1966</v>
      </c>
      <c r="B1959" s="5" t="n">
        <v>34.8426</v>
      </c>
      <c r="C1959" s="5" t="n">
        <v>12.3193</v>
      </c>
      <c r="D1959" s="1" t="n">
        <f aca="false">LN(B1959/B1958)</f>
        <v>-0.00327223735161182</v>
      </c>
      <c r="E1959" s="1" t="n">
        <f aca="false">LN(C1959/C1958)</f>
        <v>1.6234820443167E-005</v>
      </c>
      <c r="F1959" s="1" t="n">
        <f aca="false">B1959/B1958-1</f>
        <v>-0.00326688941779574</v>
      </c>
      <c r="G1959" s="1" t="n">
        <f aca="false">C1959/C1958-1</f>
        <v>1.62349522285776E-005</v>
      </c>
    </row>
    <row r="1960" customFormat="false" ht="15" hidden="false" customHeight="false" outlineLevel="0" collapsed="false">
      <c r="A1960" s="1" t="s">
        <v>1967</v>
      </c>
      <c r="B1960" s="5" t="n">
        <v>35.0191</v>
      </c>
      <c r="C1960" s="5" t="n">
        <v>12.3196</v>
      </c>
      <c r="D1960" s="1" t="n">
        <f aca="false">LN(B1960/B1959)</f>
        <v>0.00505285086170933</v>
      </c>
      <c r="E1960" s="1" t="n">
        <f aca="false">LN(C1960/C1959)</f>
        <v>2.4351736482842E-005</v>
      </c>
      <c r="F1960" s="1" t="n">
        <f aca="false">B1960/B1959-1</f>
        <v>0.00506563804078919</v>
      </c>
      <c r="G1960" s="1" t="n">
        <f aca="false">C1960/C1959-1</f>
        <v>2.43520329887836E-005</v>
      </c>
    </row>
    <row r="1961" customFormat="false" ht="15" hidden="false" customHeight="false" outlineLevel="0" collapsed="false">
      <c r="A1961" s="1" t="s">
        <v>1968</v>
      </c>
      <c r="B1961" s="5" t="n">
        <v>34.8235</v>
      </c>
      <c r="C1961" s="5" t="n">
        <v>12.3204</v>
      </c>
      <c r="D1961" s="1" t="n">
        <f aca="false">LN(B1961/B1960)</f>
        <v>-0.00560118069439864</v>
      </c>
      <c r="E1961" s="1" t="n">
        <f aca="false">LN(C1961/C1960)</f>
        <v>6.4935064957853E-005</v>
      </c>
      <c r="F1961" s="1" t="n">
        <f aca="false">B1961/B1960-1</f>
        <v>-0.00558552332869777</v>
      </c>
      <c r="G1961" s="1" t="n">
        <f aca="false">C1961/C1960-1</f>
        <v>6.49371732848181E-005</v>
      </c>
    </row>
    <row r="1962" customFormat="false" ht="15" hidden="false" customHeight="false" outlineLevel="0" collapsed="false">
      <c r="A1962" s="1" t="s">
        <v>1969</v>
      </c>
      <c r="B1962" s="5" t="n">
        <v>34.8094</v>
      </c>
      <c r="C1962" s="5" t="n">
        <v>12.3206</v>
      </c>
      <c r="D1962" s="1" t="n">
        <f aca="false">LN(B1962/B1961)</f>
        <v>-0.000404980984354184</v>
      </c>
      <c r="E1962" s="1" t="n">
        <f aca="false">LN(C1962/C1961)</f>
        <v>1.62331074230506E-005</v>
      </c>
      <c r="F1962" s="1" t="n">
        <f aca="false">B1962/B1961-1</f>
        <v>-0.000404898990624347</v>
      </c>
      <c r="G1962" s="1" t="n">
        <f aca="false">C1962/C1961-1</f>
        <v>1.62332391806519E-005</v>
      </c>
    </row>
    <row r="1963" customFormat="false" ht="15" hidden="false" customHeight="false" outlineLevel="0" collapsed="false">
      <c r="A1963" s="1" t="s">
        <v>1970</v>
      </c>
      <c r="B1963" s="5" t="n">
        <v>34.6034</v>
      </c>
      <c r="C1963" s="5" t="n">
        <v>12.3206</v>
      </c>
      <c r="D1963" s="1" t="n">
        <f aca="false">LN(B1963/B1962)</f>
        <v>-0.00593552211662877</v>
      </c>
      <c r="E1963" s="1" t="n">
        <f aca="false">LN(C1963/C1962)</f>
        <v>0</v>
      </c>
      <c r="F1963" s="1" t="n">
        <f aca="false">B1963/B1962-1</f>
        <v>-0.00591794170540128</v>
      </c>
      <c r="G1963" s="1" t="n">
        <f aca="false">C1963/C1962-1</f>
        <v>0</v>
      </c>
    </row>
    <row r="1964" customFormat="false" ht="15" hidden="false" customHeight="false" outlineLevel="0" collapsed="false">
      <c r="A1964" s="1" t="s">
        <v>1971</v>
      </c>
      <c r="B1964" s="5" t="n">
        <v>34.5747</v>
      </c>
      <c r="C1964" s="5" t="n">
        <v>12.3211</v>
      </c>
      <c r="D1964" s="1" t="n">
        <f aca="false">LN(B1964/B1963)</f>
        <v>-0.000829742408264931</v>
      </c>
      <c r="E1964" s="1" t="n">
        <f aca="false">LN(C1964/C1963)</f>
        <v>4.05816157220301E-005</v>
      </c>
      <c r="F1964" s="1" t="n">
        <f aca="false">B1964/B1963-1</f>
        <v>-0.000829398267222281</v>
      </c>
      <c r="G1964" s="1" t="n">
        <f aca="false">C1964/C1963-1</f>
        <v>4.05824391669363E-005</v>
      </c>
    </row>
    <row r="1965" customFormat="false" ht="15" hidden="false" customHeight="false" outlineLevel="0" collapsed="false">
      <c r="A1965" s="1" t="s">
        <v>1972</v>
      </c>
      <c r="B1965" s="5" t="n">
        <v>34.4903</v>
      </c>
      <c r="C1965" s="5" t="n">
        <v>12.3212</v>
      </c>
      <c r="D1965" s="1" t="n">
        <f aca="false">LN(B1965/B1964)</f>
        <v>-0.00244407563928637</v>
      </c>
      <c r="E1965" s="1" t="n">
        <f aca="false">LN(C1965/C1964)</f>
        <v>8.11612552413396E-006</v>
      </c>
      <c r="F1965" s="1" t="n">
        <f aca="false">B1965/B1964-1</f>
        <v>-0.00244109131821835</v>
      </c>
      <c r="G1965" s="1" t="n">
        <f aca="false">C1965/C1964-1</f>
        <v>8.11615845996982E-006</v>
      </c>
    </row>
    <row r="1966" customFormat="false" ht="15" hidden="false" customHeight="false" outlineLevel="0" collapsed="false">
      <c r="A1966" s="1" t="s">
        <v>1973</v>
      </c>
      <c r="B1966" s="5" t="n">
        <v>34.561</v>
      </c>
      <c r="C1966" s="5" t="n">
        <v>12.3216</v>
      </c>
      <c r="D1966" s="1" t="n">
        <f aca="false">LN(B1966/B1965)</f>
        <v>0.00204775361812153</v>
      </c>
      <c r="E1966" s="1" t="n">
        <f aca="false">LN(C1966/C1965)</f>
        <v>3.24638433972691E-005</v>
      </c>
      <c r="F1966" s="1" t="n">
        <f aca="false">B1966/B1965-1</f>
        <v>0.00204985169743388</v>
      </c>
      <c r="G1966" s="1" t="n">
        <f aca="false">C1966/C1965-1</f>
        <v>3.24643703535354E-005</v>
      </c>
    </row>
    <row r="1967" customFormat="false" ht="15" hidden="false" customHeight="false" outlineLevel="0" collapsed="false">
      <c r="A1967" s="1" t="s">
        <v>1974</v>
      </c>
      <c r="B1967" s="5" t="n">
        <v>34.4424</v>
      </c>
      <c r="C1967" s="5" t="n">
        <v>12.3216</v>
      </c>
      <c r="D1967" s="1" t="n">
        <f aca="false">LN(B1967/B1966)</f>
        <v>-0.00343751515973098</v>
      </c>
      <c r="E1967" s="1" t="n">
        <f aca="false">LN(C1967/C1966)</f>
        <v>0</v>
      </c>
      <c r="F1967" s="1" t="n">
        <f aca="false">B1967/B1966-1</f>
        <v>-0.00343161366858602</v>
      </c>
      <c r="G1967" s="1" t="n">
        <f aca="false">C1967/C1966-1</f>
        <v>0</v>
      </c>
    </row>
    <row r="1968" customFormat="false" ht="15" hidden="false" customHeight="false" outlineLevel="0" collapsed="false">
      <c r="A1968" s="1" t="s">
        <v>1975</v>
      </c>
      <c r="B1968" s="5" t="n">
        <v>34.4454</v>
      </c>
      <c r="C1968" s="5" t="n">
        <v>12.3217</v>
      </c>
      <c r="D1968" s="1" t="n">
        <f aca="false">LN(B1968/B1967)</f>
        <v>8.70981509612446E-005</v>
      </c>
      <c r="E1968" s="1" t="n">
        <f aca="false">LN(C1968/C1967)</f>
        <v>8.11579617981279E-006</v>
      </c>
      <c r="F1968" s="1" t="n">
        <f aca="false">B1968/B1967-1</f>
        <v>8.71019441153198E-005</v>
      </c>
      <c r="G1968" s="1" t="n">
        <f aca="false">C1968/C1967-1</f>
        <v>8.1158291129757E-006</v>
      </c>
    </row>
    <row r="1969" customFormat="false" ht="15" hidden="false" customHeight="false" outlineLevel="0" collapsed="false">
      <c r="A1969" s="1" t="s">
        <v>1976</v>
      </c>
      <c r="B1969" s="5" t="n">
        <v>34.744</v>
      </c>
      <c r="C1969" s="5" t="n">
        <v>12.3222</v>
      </c>
      <c r="D1969" s="1" t="n">
        <f aca="false">LN(B1969/B1968)</f>
        <v>0.00863143353886465</v>
      </c>
      <c r="E1969" s="1" t="n">
        <f aca="false">LN(C1969/C1968)</f>
        <v>4.05779929368685E-005</v>
      </c>
      <c r="F1969" s="1" t="n">
        <f aca="false">B1969/B1968-1</f>
        <v>0.00866879176900248</v>
      </c>
      <c r="G1969" s="1" t="n">
        <f aca="false">C1969/C1968-1</f>
        <v>4.05788162347598E-005</v>
      </c>
    </row>
    <row r="1970" customFormat="false" ht="15" hidden="false" customHeight="false" outlineLevel="0" collapsed="false">
      <c r="A1970" s="1" t="s">
        <v>1977</v>
      </c>
      <c r="B1970" s="5" t="n">
        <v>34.5916</v>
      </c>
      <c r="C1970" s="5" t="n">
        <v>12.3222</v>
      </c>
      <c r="D1970" s="1" t="n">
        <f aca="false">LN(B1970/B1969)</f>
        <v>-0.00439601720983179</v>
      </c>
      <c r="E1970" s="1" t="n">
        <f aca="false">LN(C1970/C1969)</f>
        <v>0</v>
      </c>
      <c r="F1970" s="1" t="n">
        <f aca="false">B1970/B1969-1</f>
        <v>-0.0043863688694451</v>
      </c>
      <c r="G1970" s="1" t="n">
        <f aca="false">C1970/C1969-1</f>
        <v>0</v>
      </c>
    </row>
    <row r="1971" customFormat="false" ht="15" hidden="false" customHeight="false" outlineLevel="0" collapsed="false">
      <c r="A1971" s="1" t="s">
        <v>1978</v>
      </c>
      <c r="B1971" s="5" t="n">
        <v>34.6302</v>
      </c>
      <c r="C1971" s="5" t="n">
        <v>12.323</v>
      </c>
      <c r="D1971" s="1" t="n">
        <f aca="false">LN(B1971/B1970)</f>
        <v>0.00111525571426569</v>
      </c>
      <c r="E1971" s="1" t="n">
        <f aca="false">LN(C1971/C1970)</f>
        <v>6.4921364020675E-005</v>
      </c>
      <c r="F1971" s="1" t="n">
        <f aca="false">B1971/B1970-1</f>
        <v>0.00111587784317591</v>
      </c>
      <c r="G1971" s="1" t="n">
        <f aca="false">C1971/C1970-1</f>
        <v>6.49234714580338E-005</v>
      </c>
    </row>
    <row r="1972" customFormat="false" ht="15" hidden="false" customHeight="false" outlineLevel="0" collapsed="false">
      <c r="A1972" s="1" t="s">
        <v>1979</v>
      </c>
      <c r="B1972" s="5" t="n">
        <v>34.8434</v>
      </c>
      <c r="C1972" s="5" t="n">
        <v>12.3233</v>
      </c>
      <c r="D1972" s="1" t="n">
        <f aca="false">LN(B1972/B1971)</f>
        <v>0.00613760246403901</v>
      </c>
      <c r="E1972" s="1" t="n">
        <f aca="false">LN(C1972/C1971)</f>
        <v>2.43444249249831E-005</v>
      </c>
      <c r="F1972" s="1" t="n">
        <f aca="false">B1972/B1971-1</f>
        <v>0.00615647613932357</v>
      </c>
      <c r="G1972" s="1" t="n">
        <f aca="false">C1972/C1971-1</f>
        <v>2.43447212529002E-005</v>
      </c>
    </row>
    <row r="1973" customFormat="false" ht="15" hidden="false" customHeight="false" outlineLevel="0" collapsed="false">
      <c r="A1973" s="1" t="s">
        <v>1980</v>
      </c>
      <c r="B1973" s="5" t="n">
        <v>34.6501</v>
      </c>
      <c r="C1973" s="5" t="n">
        <v>12.3236</v>
      </c>
      <c r="D1973" s="1" t="n">
        <f aca="false">LN(B1973/B1972)</f>
        <v>-0.00556312456635973</v>
      </c>
      <c r="E1973" s="1" t="n">
        <f aca="false">LN(C1973/C1972)</f>
        <v>2.43438322885932E-005</v>
      </c>
      <c r="F1973" s="1" t="n">
        <f aca="false">B1973/B1972-1</f>
        <v>-0.00554767904395093</v>
      </c>
      <c r="G1973" s="1" t="n">
        <f aca="false">C1973/C1972-1</f>
        <v>2.43441286020829E-005</v>
      </c>
    </row>
    <row r="1974" customFormat="false" ht="15" hidden="false" customHeight="false" outlineLevel="0" collapsed="false">
      <c r="A1974" s="1" t="s">
        <v>1981</v>
      </c>
      <c r="B1974" s="5" t="n">
        <v>34.4984</v>
      </c>
      <c r="C1974" s="5" t="n">
        <v>12.3239</v>
      </c>
      <c r="D1974" s="1" t="n">
        <f aca="false">LN(B1974/B1973)</f>
        <v>-0.00438766548435164</v>
      </c>
      <c r="E1974" s="1" t="n">
        <f aca="false">LN(C1974/C1973)</f>
        <v>2.43432396806239E-005</v>
      </c>
      <c r="F1974" s="1" t="n">
        <f aca="false">B1974/B1973-1</f>
        <v>-0.00437805374299083</v>
      </c>
      <c r="G1974" s="1" t="n">
        <f aca="false">C1974/C1973-1</f>
        <v>2.43435359796873E-005</v>
      </c>
    </row>
    <row r="1975" customFormat="false" ht="15" hidden="false" customHeight="false" outlineLevel="0" collapsed="false">
      <c r="A1975" s="1" t="s">
        <v>1982</v>
      </c>
      <c r="B1975" s="5" t="n">
        <v>34.0691</v>
      </c>
      <c r="C1975" s="5" t="n">
        <v>12.3243</v>
      </c>
      <c r="D1975" s="1" t="n">
        <f aca="false">LN(B1975/B1974)</f>
        <v>-0.0125221310282583</v>
      </c>
      <c r="E1975" s="1" t="n">
        <f aca="false">LN(C1975/C1974)</f>
        <v>3.24567311231099E-005</v>
      </c>
      <c r="F1975" s="1" t="n">
        <f aca="false">B1975/B1974-1</f>
        <v>-0.0124440553764812</v>
      </c>
      <c r="G1975" s="1" t="n">
        <f aca="false">C1975/C1974-1</f>
        <v>3.24572578485061E-005</v>
      </c>
    </row>
    <row r="1976" customFormat="false" ht="15" hidden="false" customHeight="false" outlineLevel="0" collapsed="false">
      <c r="A1976" s="1" t="s">
        <v>1983</v>
      </c>
      <c r="B1976" s="5" t="n">
        <v>33.9172</v>
      </c>
      <c r="C1976" s="5" t="n">
        <v>12.3249</v>
      </c>
      <c r="D1976" s="1" t="n">
        <f aca="false">LN(B1976/B1975)</f>
        <v>-0.0044685547753381</v>
      </c>
      <c r="E1976" s="1" t="n">
        <f aca="false">LN(C1976/C1975)</f>
        <v>4.86831215714731E-005</v>
      </c>
      <c r="F1976" s="1" t="n">
        <f aca="false">B1976/B1975-1</f>
        <v>-0.00445858563918622</v>
      </c>
      <c r="G1976" s="1" t="n">
        <f aca="false">C1976/C1975-1</f>
        <v>4.86843066138665E-005</v>
      </c>
    </row>
    <row r="1977" customFormat="false" ht="15" hidden="false" customHeight="false" outlineLevel="0" collapsed="false">
      <c r="A1977" s="1" t="s">
        <v>1984</v>
      </c>
      <c r="B1977" s="5" t="n">
        <v>33.8033</v>
      </c>
      <c r="C1977" s="5" t="n">
        <v>12.3255</v>
      </c>
      <c r="D1977" s="1" t="n">
        <f aca="false">LN(B1977/B1976)</f>
        <v>-0.0033638294874226</v>
      </c>
      <c r="E1977" s="1" t="n">
        <f aca="false">LN(C1977/C1976)</f>
        <v>4.86807516404673E-005</v>
      </c>
      <c r="F1977" s="1" t="n">
        <f aca="false">B1977/B1976-1</f>
        <v>-0.00335817815149841</v>
      </c>
      <c r="G1977" s="1" t="n">
        <f aca="false">C1977/C1976-1</f>
        <v>4.86819365674851E-005</v>
      </c>
    </row>
    <row r="1978" customFormat="false" ht="15" hidden="false" customHeight="false" outlineLevel="0" collapsed="false">
      <c r="A1978" s="1" t="s">
        <v>1985</v>
      </c>
      <c r="B1978" s="5" t="n">
        <v>33.8689</v>
      </c>
      <c r="C1978" s="5" t="n">
        <v>12.3257</v>
      </c>
      <c r="D1978" s="1" t="n">
        <f aca="false">LN(B1978/B1977)</f>
        <v>0.00193875832463</v>
      </c>
      <c r="E1978" s="1" t="n">
        <f aca="false">LN(C1978/C1977)</f>
        <v>1.62263906019406E-005</v>
      </c>
      <c r="F1978" s="1" t="n">
        <f aca="false">B1978/B1977-1</f>
        <v>0.00194063893170182</v>
      </c>
      <c r="G1978" s="1" t="n">
        <f aca="false">C1978/C1977-1</f>
        <v>1.62265222505287E-005</v>
      </c>
    </row>
    <row r="1979" customFormat="false" ht="15" hidden="false" customHeight="false" outlineLevel="0" collapsed="false">
      <c r="A1979" s="1" t="s">
        <v>1986</v>
      </c>
      <c r="B1979" s="5" t="n">
        <v>33.8716</v>
      </c>
      <c r="C1979" s="5" t="n">
        <v>12.3262</v>
      </c>
      <c r="D1979" s="1" t="n">
        <f aca="false">LN(B1979/B1978)</f>
        <v>7.97159749761584E-005</v>
      </c>
      <c r="E1979" s="1" t="n">
        <f aca="false">LN(C1979/C1978)</f>
        <v>4.05648246235684E-005</v>
      </c>
      <c r="F1979" s="1" t="n">
        <f aca="false">B1979/B1978-1</f>
        <v>7.97191523789209E-005</v>
      </c>
      <c r="G1979" s="1" t="n">
        <f aca="false">C1979/C1978-1</f>
        <v>4.05656473871918E-005</v>
      </c>
    </row>
    <row r="1980" customFormat="false" ht="15" hidden="false" customHeight="false" outlineLevel="0" collapsed="false">
      <c r="A1980" s="1" t="s">
        <v>1987</v>
      </c>
      <c r="B1980" s="5" t="n">
        <v>33.735</v>
      </c>
      <c r="C1980" s="5" t="n">
        <v>12.3265</v>
      </c>
      <c r="D1980" s="1" t="n">
        <f aca="false">LN(B1980/B1979)</f>
        <v>-0.00404103107948076</v>
      </c>
      <c r="E1980" s="1" t="n">
        <f aca="false">LN(C1980/C1979)</f>
        <v>2.43381049550634E-005</v>
      </c>
      <c r="F1980" s="1" t="n">
        <f aca="false">B1980/B1979-1</f>
        <v>-0.00403287710057987</v>
      </c>
      <c r="G1980" s="1" t="n">
        <f aca="false">C1980/C1979-1</f>
        <v>2.43384011291425E-005</v>
      </c>
    </row>
    <row r="1981" customFormat="false" ht="15" hidden="false" customHeight="false" outlineLevel="0" collapsed="false">
      <c r="A1981" s="1" t="s">
        <v>1988</v>
      </c>
      <c r="B1981" s="5" t="n">
        <v>33.9452</v>
      </c>
      <c r="C1981" s="5" t="n">
        <v>12.3273</v>
      </c>
      <c r="D1981" s="1" t="n">
        <f aca="false">LN(B1981/B1980)</f>
        <v>0.00621158554079454</v>
      </c>
      <c r="E1981" s="1" t="n">
        <f aca="false">LN(C1981/C1980)</f>
        <v>6.4898717461926E-005</v>
      </c>
      <c r="F1981" s="1" t="n">
        <f aca="false">B1981/B1980-1</f>
        <v>0.00623091744479032</v>
      </c>
      <c r="G1981" s="1" t="n">
        <f aca="false">C1981/C1980-1</f>
        <v>6.49008234292481E-005</v>
      </c>
    </row>
    <row r="1982" customFormat="false" ht="15" hidden="false" customHeight="false" outlineLevel="0" collapsed="false">
      <c r="A1982" s="1" t="s">
        <v>1989</v>
      </c>
      <c r="B1982" s="5" t="n">
        <v>33.7974</v>
      </c>
      <c r="C1982" s="5" t="n">
        <v>12.3277</v>
      </c>
      <c r="D1982" s="1" t="n">
        <f aca="false">LN(B1982/B1981)</f>
        <v>-0.00436358316686464</v>
      </c>
      <c r="E1982" s="1" t="n">
        <f aca="false">LN(C1982/C1981)</f>
        <v>3.24477793580783E-005</v>
      </c>
      <c r="F1982" s="1" t="n">
        <f aca="false">B1982/B1981-1</f>
        <v>-0.00435407657047227</v>
      </c>
      <c r="G1982" s="1" t="n">
        <f aca="false">C1982/C1981-1</f>
        <v>3.24483057929648E-005</v>
      </c>
    </row>
    <row r="1983" customFormat="false" ht="15" hidden="false" customHeight="false" outlineLevel="0" collapsed="false">
      <c r="A1983" s="1" t="s">
        <v>1990</v>
      </c>
      <c r="B1983" s="5" t="n">
        <v>33.8166</v>
      </c>
      <c r="C1983" s="5" t="n">
        <v>12.328</v>
      </c>
      <c r="D1983" s="1" t="n">
        <f aca="false">LN(B1983/B1982)</f>
        <v>0.000567929733962514</v>
      </c>
      <c r="E1983" s="1" t="n">
        <f aca="false">LN(C1983/C1982)</f>
        <v>2.43351435986979E-005</v>
      </c>
      <c r="F1983" s="1" t="n">
        <f aca="false">B1983/B1982-1</f>
        <v>0.000568091036588614</v>
      </c>
      <c r="G1983" s="1" t="n">
        <f aca="false">C1983/C1982-1</f>
        <v>2.43354397007067E-005</v>
      </c>
    </row>
    <row r="1984" customFormat="false" ht="15" hidden="false" customHeight="false" outlineLevel="0" collapsed="false">
      <c r="A1984" s="1" t="s">
        <v>1991</v>
      </c>
      <c r="B1984" s="5" t="n">
        <v>33.5387</v>
      </c>
      <c r="C1984" s="5" t="n">
        <v>12.3282</v>
      </c>
      <c r="D1984" s="1" t="n">
        <f aca="false">LN(B1984/B1983)</f>
        <v>-0.00825181023331693</v>
      </c>
      <c r="E1984" s="1" t="n">
        <f aca="false">LN(C1984/C1983)</f>
        <v>1.62231000726339E-005</v>
      </c>
      <c r="F1984" s="1" t="n">
        <f aca="false">B1984/B1983-1</f>
        <v>-0.00821785750193704</v>
      </c>
      <c r="G1984" s="1" t="n">
        <f aca="false">C1984/C1983-1</f>
        <v>1.62232316678335E-005</v>
      </c>
    </row>
    <row r="1985" customFormat="false" ht="15" hidden="false" customHeight="false" outlineLevel="0" collapsed="false">
      <c r="A1985" s="1" t="s">
        <v>1992</v>
      </c>
      <c r="B1985" s="5" t="n">
        <v>33.0249</v>
      </c>
      <c r="C1985" s="5" t="n">
        <v>12.3292</v>
      </c>
      <c r="D1985" s="1" t="n">
        <f aca="false">LN(B1985/B1984)</f>
        <v>-0.0154381735592435</v>
      </c>
      <c r="E1985" s="1" t="n">
        <f aca="false">LN(C1985/C1984)</f>
        <v>8.11115527628771E-005</v>
      </c>
      <c r="F1985" s="1" t="n">
        <f aca="false">B1985/B1984-1</f>
        <v>-0.015319615846768</v>
      </c>
      <c r="G1985" s="1" t="n">
        <f aca="false">C1985/C1984-1</f>
        <v>8.11148423938146E-005</v>
      </c>
    </row>
    <row r="1986" customFormat="false" ht="15" hidden="false" customHeight="false" outlineLevel="0" collapsed="false">
      <c r="A1986" s="1" t="s">
        <v>1993</v>
      </c>
      <c r="B1986" s="5" t="n">
        <v>32.0334</v>
      </c>
      <c r="C1986" s="5" t="n">
        <v>12.3291</v>
      </c>
      <c r="D1986" s="1" t="n">
        <f aca="false">LN(B1986/B1985)</f>
        <v>-0.0304827139232965</v>
      </c>
      <c r="E1986" s="1" t="n">
        <f aca="false">LN(C1986/C1985)</f>
        <v>-8.11085922393898E-006</v>
      </c>
      <c r="F1986" s="1" t="n">
        <f aca="false">B1986/B1985-1</f>
        <v>-0.0300228009774444</v>
      </c>
      <c r="G1986" s="1" t="n">
        <f aca="false">C1986/C1985-1</f>
        <v>-8.11082633100924E-006</v>
      </c>
    </row>
    <row r="1987" customFormat="false" ht="15" hidden="false" customHeight="false" outlineLevel="0" collapsed="false">
      <c r="A1987" s="1" t="s">
        <v>1994</v>
      </c>
      <c r="B1987" s="5" t="n">
        <v>32.9792</v>
      </c>
      <c r="C1987" s="5" t="n">
        <v>12.3294</v>
      </c>
      <c r="D1987" s="1" t="n">
        <f aca="false">LN(B1987/B1986)</f>
        <v>0.0290979512402893</v>
      </c>
      <c r="E1987" s="1" t="n">
        <f aca="false">LN(C1987/C1986)</f>
        <v>2.43323803161685E-005</v>
      </c>
      <c r="F1987" s="1" t="n">
        <f aca="false">B1987/B1986-1</f>
        <v>0.0295254328294843</v>
      </c>
      <c r="G1987" s="1" t="n">
        <f aca="false">C1987/C1986-1</f>
        <v>2.43326763509355E-005</v>
      </c>
    </row>
    <row r="1988" customFormat="false" ht="15" hidden="false" customHeight="false" outlineLevel="0" collapsed="false">
      <c r="A1988" s="1" t="s">
        <v>1995</v>
      </c>
      <c r="B1988" s="5" t="n">
        <v>32.7988</v>
      </c>
      <c r="C1988" s="5" t="n">
        <v>12.3298</v>
      </c>
      <c r="D1988" s="1" t="n">
        <f aca="false">LN(B1988/B1987)</f>
        <v>-0.00548513035672974</v>
      </c>
      <c r="E1988" s="1" t="n">
        <f aca="false">LN(C1988/C1987)</f>
        <v>3.24422527929952E-005</v>
      </c>
      <c r="F1988" s="1" t="n">
        <f aca="false">B1988/B1987-1</f>
        <v>-0.00547011449640977</v>
      </c>
      <c r="G1988" s="1" t="n">
        <f aca="false">C1988/C1987-1</f>
        <v>3.24427790485693E-005</v>
      </c>
    </row>
    <row r="1989" customFormat="false" ht="15" hidden="false" customHeight="false" outlineLevel="0" collapsed="false">
      <c r="A1989" s="1" t="s">
        <v>1996</v>
      </c>
      <c r="B1989" s="5" t="n">
        <v>33.0669</v>
      </c>
      <c r="C1989" s="5" t="n">
        <v>12.3303</v>
      </c>
      <c r="D1989" s="1" t="n">
        <f aca="false">LN(B1989/B1988)</f>
        <v>0.00814085269445011</v>
      </c>
      <c r="E1989" s="1" t="n">
        <f aca="false">LN(C1989/C1988)</f>
        <v>4.05513359691199E-005</v>
      </c>
      <c r="F1989" s="1" t="n">
        <f aca="false">B1989/B1988-1</f>
        <v>0.00817407953949534</v>
      </c>
      <c r="G1989" s="1" t="n">
        <f aca="false">C1989/C1988-1</f>
        <v>4.05521581856583E-005</v>
      </c>
    </row>
    <row r="1990" customFormat="false" ht="15" hidden="false" customHeight="false" outlineLevel="0" collapsed="false">
      <c r="A1990" s="1" t="s">
        <v>1997</v>
      </c>
      <c r="B1990" s="5" t="n">
        <v>32.8408</v>
      </c>
      <c r="C1990" s="5" t="n">
        <v>12.3308</v>
      </c>
      <c r="D1990" s="1" t="n">
        <f aca="false">LN(B1990/B1989)</f>
        <v>-0.00686113722598731</v>
      </c>
      <c r="E1990" s="1" t="n">
        <f aca="false">LN(C1990/C1989)</f>
        <v>4.05496916251925E-005</v>
      </c>
      <c r="F1990" s="1" t="n">
        <f aca="false">B1990/B1989-1</f>
        <v>-0.00683765336333297</v>
      </c>
      <c r="G1990" s="1" t="n">
        <f aca="false">C1990/C1989-1</f>
        <v>4.05505137750506E-005</v>
      </c>
    </row>
    <row r="1991" customFormat="false" ht="15" hidden="false" customHeight="false" outlineLevel="0" collapsed="false">
      <c r="A1991" s="1" t="s">
        <v>1998</v>
      </c>
      <c r="B1991" s="5" t="n">
        <v>33.3801</v>
      </c>
      <c r="C1991" s="5" t="n">
        <v>12.3311</v>
      </c>
      <c r="D1991" s="1" t="n">
        <f aca="false">LN(B1991/B1990)</f>
        <v>0.016288269211627</v>
      </c>
      <c r="E1991" s="1" t="n">
        <f aca="false">LN(C1991/C1990)</f>
        <v>2.43290257452328E-005</v>
      </c>
      <c r="F1991" s="1" t="n">
        <f aca="false">B1991/B1990-1</f>
        <v>0.0164216462449147</v>
      </c>
      <c r="G1991" s="1" t="n">
        <f aca="false">C1991/C1990-1</f>
        <v>2.43293216983798E-005</v>
      </c>
    </row>
    <row r="1992" customFormat="false" ht="15" hidden="false" customHeight="false" outlineLevel="0" collapsed="false">
      <c r="A1992" s="1" t="s">
        <v>1999</v>
      </c>
      <c r="B1992" s="5" t="n">
        <v>33.6292</v>
      </c>
      <c r="C1992" s="5" t="n">
        <v>12.3312</v>
      </c>
      <c r="D1992" s="1" t="n">
        <f aca="false">LN(B1992/B1991)</f>
        <v>0.00743482314988906</v>
      </c>
      <c r="E1992" s="1" t="n">
        <f aca="false">LN(C1992/C1991)</f>
        <v>8.10954371669716E-006</v>
      </c>
      <c r="F1992" s="1" t="n">
        <f aca="false">B1992/B1991-1</f>
        <v>0.00746253007031128</v>
      </c>
      <c r="G1992" s="1" t="n">
        <f aca="false">C1992/C1991-1</f>
        <v>8.10957659913569E-006</v>
      </c>
    </row>
    <row r="1993" customFormat="false" ht="15" hidden="false" customHeight="false" outlineLevel="0" collapsed="false">
      <c r="A1993" s="1" t="s">
        <v>2000</v>
      </c>
      <c r="B1993" s="5" t="n">
        <v>33.7888</v>
      </c>
      <c r="C1993" s="5" t="n">
        <v>12.3314</v>
      </c>
      <c r="D1993" s="1" t="n">
        <f aca="false">LN(B1993/B1992)</f>
        <v>0.00473464944509588</v>
      </c>
      <c r="E1993" s="1" t="n">
        <f aca="false">LN(C1993/C1992)</f>
        <v>1.62188901416856E-005</v>
      </c>
      <c r="F1993" s="1" t="n">
        <f aca="false">B1993/B1992-1</f>
        <v>0.00474587560810269</v>
      </c>
      <c r="G1993" s="1" t="n">
        <f aca="false">C1993/C1992-1</f>
        <v>1.62190216685953E-005</v>
      </c>
    </row>
    <row r="1994" customFormat="false" ht="15" hidden="false" customHeight="false" outlineLevel="0" collapsed="false">
      <c r="A1994" s="1" t="s">
        <v>2001</v>
      </c>
      <c r="B1994" s="5" t="n">
        <v>33.7578</v>
      </c>
      <c r="C1994" s="5" t="n">
        <v>12.3314</v>
      </c>
      <c r="D1994" s="1" t="n">
        <f aca="false">LN(B1994/B1993)</f>
        <v>-0.000917884902467079</v>
      </c>
      <c r="E1994" s="1" t="n">
        <f aca="false">LN(C1994/C1993)</f>
        <v>0</v>
      </c>
      <c r="F1994" s="1" t="n">
        <f aca="false">B1994/B1993-1</f>
        <v>-0.0009174637749787</v>
      </c>
      <c r="G1994" s="1" t="n">
        <f aca="false">C1994/C1993-1</f>
        <v>0</v>
      </c>
    </row>
    <row r="1995" customFormat="false" ht="15" hidden="false" customHeight="false" outlineLevel="0" collapsed="false">
      <c r="A1995" s="1" t="s">
        <v>2002</v>
      </c>
      <c r="B1995" s="5" t="n">
        <v>33.7418</v>
      </c>
      <c r="C1995" s="5" t="n">
        <v>12.3321</v>
      </c>
      <c r="D1995" s="1" t="n">
        <f aca="false">LN(B1995/B1994)</f>
        <v>-0.000474076892297743</v>
      </c>
      <c r="E1995" s="1" t="n">
        <f aca="false">LN(C1995/C1994)</f>
        <v>5.67640440478328E-005</v>
      </c>
      <c r="F1995" s="1" t="n">
        <f aca="false">B1995/B1994-1</f>
        <v>-0.000473964535603777</v>
      </c>
      <c r="G1995" s="1" t="n">
        <f aca="false">C1995/C1994-1</f>
        <v>5.67656551566653E-005</v>
      </c>
    </row>
    <row r="1996" customFormat="false" ht="15" hidden="false" customHeight="false" outlineLevel="0" collapsed="false">
      <c r="A1996" s="1" t="s">
        <v>2003</v>
      </c>
      <c r="B1996" s="5" t="n">
        <v>34.0108</v>
      </c>
      <c r="C1996" s="5" t="n">
        <v>12.3325</v>
      </c>
      <c r="D1996" s="1" t="n">
        <f aca="false">LN(B1996/B1995)</f>
        <v>0.00794069640054551</v>
      </c>
      <c r="E1996" s="1" t="n">
        <f aca="false">LN(C1996/C1995)</f>
        <v>3.24351499748114E-005</v>
      </c>
      <c r="F1996" s="1" t="n">
        <f aca="false">B1996/B1995-1</f>
        <v>0.00797230734578491</v>
      </c>
      <c r="G1996" s="1" t="n">
        <f aca="false">C1996/C1995-1</f>
        <v>3.24356759999755E-005</v>
      </c>
    </row>
    <row r="1997" customFormat="false" ht="15" hidden="false" customHeight="false" outlineLevel="0" collapsed="false">
      <c r="A1997" s="1" t="s">
        <v>2004</v>
      </c>
      <c r="B1997" s="5" t="n">
        <v>34.138</v>
      </c>
      <c r="C1997" s="5" t="n">
        <v>12.3327</v>
      </c>
      <c r="D1997" s="1" t="n">
        <f aca="false">LN(B1997/B1996)</f>
        <v>0.00373301210630223</v>
      </c>
      <c r="E1997" s="1" t="n">
        <f aca="false">LN(C1997/C1996)</f>
        <v>1.62171804814663E-005</v>
      </c>
      <c r="F1997" s="1" t="n">
        <f aca="false">B1997/B1996-1</f>
        <v>0.00373998847424928</v>
      </c>
      <c r="G1997" s="1" t="n">
        <f aca="false">C1997/C1996-1</f>
        <v>1.62173119806486E-005</v>
      </c>
    </row>
    <row r="1998" customFormat="false" ht="15" hidden="false" customHeight="false" outlineLevel="0" collapsed="false">
      <c r="A1998" s="1" t="s">
        <v>2005</v>
      </c>
      <c r="B1998" s="5" t="n">
        <v>34.0716</v>
      </c>
      <c r="C1998" s="5" t="n">
        <v>12.333</v>
      </c>
      <c r="D1998" s="1" t="n">
        <f aca="false">LN(B1998/B1997)</f>
        <v>-0.00194694063517542</v>
      </c>
      <c r="E1998" s="1" t="n">
        <f aca="false">LN(C1998/C1997)</f>
        <v>2.432527761335E-005</v>
      </c>
      <c r="F1998" s="1" t="n">
        <f aca="false">B1998/B1997-1</f>
        <v>-0.00194504657566352</v>
      </c>
      <c r="G1998" s="1" t="n">
        <f aca="false">C1998/C1997-1</f>
        <v>2.43255734753145E-005</v>
      </c>
    </row>
    <row r="1999" customFormat="false" ht="15" hidden="false" customHeight="false" outlineLevel="0" collapsed="false">
      <c r="A1999" s="1" t="s">
        <v>2006</v>
      </c>
      <c r="B1999" s="5" t="n">
        <v>34.2342</v>
      </c>
      <c r="C1999" s="5" t="n">
        <v>12.3332</v>
      </c>
      <c r="D1999" s="1" t="n">
        <f aca="false">LN(B1999/B1998)</f>
        <v>0.00476095169467744</v>
      </c>
      <c r="E1999" s="1" t="n">
        <f aca="false">LN(C1999/C1998)</f>
        <v>1.62165230156108E-005</v>
      </c>
      <c r="F1999" s="1" t="n">
        <f aca="false">B1999/B1998-1</f>
        <v>0.00477230303243781</v>
      </c>
      <c r="G1999" s="1" t="n">
        <f aca="false">C1999/C1998-1</f>
        <v>1.62166545041309E-005</v>
      </c>
    </row>
    <row r="2000" customFormat="false" ht="15" hidden="false" customHeight="false" outlineLevel="0" collapsed="false">
      <c r="A2000" s="1" t="s">
        <v>2007</v>
      </c>
      <c r="B2000" s="5" t="n">
        <v>33.9048</v>
      </c>
      <c r="C2000" s="5" t="n">
        <v>12.3339</v>
      </c>
      <c r="D2000" s="1" t="n">
        <f aca="false">LN(B2000/B1999)</f>
        <v>-0.00966854711821585</v>
      </c>
      <c r="E2000" s="1" t="n">
        <f aca="false">LN(C2000/C1999)</f>
        <v>5.67557597114457E-005</v>
      </c>
      <c r="F2000" s="1" t="n">
        <f aca="false">B2000/B1999-1</f>
        <v>-0.00962195699037804</v>
      </c>
      <c r="G2000" s="1" t="n">
        <f aca="false">C2000/C1999-1</f>
        <v>5.67573703500468E-005</v>
      </c>
    </row>
    <row r="2001" customFormat="false" ht="15" hidden="false" customHeight="false" outlineLevel="0" collapsed="false">
      <c r="A2001" s="1" t="s">
        <v>2008</v>
      </c>
      <c r="B2001" s="5" t="n">
        <v>33.7845</v>
      </c>
      <c r="C2001" s="5" t="n">
        <v>12.3341</v>
      </c>
      <c r="D2001" s="1" t="n">
        <f aca="false">LN(B2001/B2000)</f>
        <v>-0.00355447985602158</v>
      </c>
      <c r="E2001" s="1" t="n">
        <f aca="false">LN(C2001/C2000)</f>
        <v>1.62153397115821E-005</v>
      </c>
      <c r="F2001" s="1" t="n">
        <f aca="false">B2001/B2000-1</f>
        <v>-0.00354817017059528</v>
      </c>
      <c r="G2001" s="1" t="n">
        <f aca="false">C2001/C2000-1</f>
        <v>1.62154711809137E-005</v>
      </c>
    </row>
    <row r="2002" customFormat="false" ht="15" hidden="false" customHeight="false" outlineLevel="0" collapsed="false">
      <c r="A2002" s="1" t="s">
        <v>2009</v>
      </c>
      <c r="B2002" s="5" t="n">
        <v>33.2583</v>
      </c>
      <c r="C2002" s="5" t="n">
        <v>12.3343</v>
      </c>
      <c r="D2002" s="1" t="n">
        <f aca="false">LN(B2002/B2001)</f>
        <v>-0.0156977574162939</v>
      </c>
      <c r="E2002" s="1" t="n">
        <f aca="false">LN(C2002/C2001)</f>
        <v>1.62150767788402E-005</v>
      </c>
      <c r="F2002" s="1" t="n">
        <f aca="false">B2002/B2001-1</f>
        <v>-0.0155751898059762</v>
      </c>
      <c r="G2002" s="1" t="n">
        <f aca="false">C2002/C2001-1</f>
        <v>1.62152082439082E-005</v>
      </c>
    </row>
    <row r="2003" customFormat="false" ht="15" hidden="false" customHeight="false" outlineLevel="0" collapsed="false">
      <c r="A2003" s="1" t="s">
        <v>2010</v>
      </c>
      <c r="B2003" s="5" t="n">
        <v>33.4304</v>
      </c>
      <c r="C2003" s="5" t="n">
        <v>12.3348</v>
      </c>
      <c r="D2003" s="1" t="n">
        <f aca="false">LN(B2003/B2002)</f>
        <v>0.00516130564994012</v>
      </c>
      <c r="E2003" s="1" t="n">
        <f aca="false">LN(C2003/C2002)</f>
        <v>4.05365416709778E-005</v>
      </c>
      <c r="F2003" s="1" t="n">
        <f aca="false">B2003/B2002-1</f>
        <v>0.00517464813294732</v>
      </c>
      <c r="G2003" s="1" t="n">
        <f aca="false">C2003/C2002-1</f>
        <v>4.05373632876849E-005</v>
      </c>
    </row>
    <row r="2004" customFormat="false" ht="15" hidden="false" customHeight="false" outlineLevel="0" collapsed="false">
      <c r="A2004" s="1" t="s">
        <v>2011</v>
      </c>
      <c r="B2004" s="5" t="n">
        <v>33.8817</v>
      </c>
      <c r="C2004" s="5" t="n">
        <v>12.3354</v>
      </c>
      <c r="D2004" s="1" t="n">
        <f aca="false">LN(B2004/B2003)</f>
        <v>0.0134093799596052</v>
      </c>
      <c r="E2004" s="1" t="n">
        <f aca="false">LN(C2004/C2003)</f>
        <v>4.86416810660359E-005</v>
      </c>
      <c r="F2004" s="1" t="n">
        <f aca="false">B2004/B2003-1</f>
        <v>0.013499688905906</v>
      </c>
      <c r="G2004" s="1" t="n">
        <f aca="false">C2004/C2003-1</f>
        <v>4.86428640917858E-005</v>
      </c>
    </row>
    <row r="2005" customFormat="false" ht="15" hidden="false" customHeight="false" outlineLevel="0" collapsed="false">
      <c r="A2005" s="1" t="s">
        <v>2012</v>
      </c>
      <c r="B2005" s="5" t="n">
        <v>33.955</v>
      </c>
      <c r="C2005" s="5" t="n">
        <v>12.3358</v>
      </c>
      <c r="D2005" s="1" t="n">
        <f aca="false">LN(B2005/B2004)</f>
        <v>0.00216107294509775</v>
      </c>
      <c r="E2005" s="1" t="n">
        <f aca="false">LN(C2005/C2004)</f>
        <v>3.24264729755463E-005</v>
      </c>
      <c r="F2005" s="1" t="n">
        <f aca="false">B2005/B2004-1</f>
        <v>0.00216340974626417</v>
      </c>
      <c r="G2005" s="1" t="n">
        <f aca="false">C2005/C2004-1</f>
        <v>3.24269987193038E-005</v>
      </c>
    </row>
    <row r="2006" customFormat="false" ht="15" hidden="false" customHeight="false" outlineLevel="0" collapsed="false">
      <c r="A2006" s="1" t="s">
        <v>2013</v>
      </c>
      <c r="B2006" s="5" t="n">
        <v>33.8375</v>
      </c>
      <c r="C2006" s="5" t="n">
        <v>12.3362</v>
      </c>
      <c r="D2006" s="1" t="n">
        <f aca="false">LN(B2006/B2005)</f>
        <v>-0.00346646362533511</v>
      </c>
      <c r="E2006" s="1" t="n">
        <f aca="false">LN(C2006/C2005)</f>
        <v>3.24254215331794E-005</v>
      </c>
      <c r="F2006" s="1" t="n">
        <f aca="false">B2006/B2005-1</f>
        <v>-0.00346046237667497</v>
      </c>
      <c r="G2006" s="1" t="n">
        <f aca="false">C2006/C2005-1</f>
        <v>3.24259472428423E-005</v>
      </c>
    </row>
    <row r="2007" customFormat="false" ht="15" hidden="false" customHeight="false" outlineLevel="0" collapsed="false">
      <c r="A2007" s="1" t="s">
        <v>2014</v>
      </c>
      <c r="B2007" s="5" t="n">
        <v>34.0513</v>
      </c>
      <c r="C2007" s="5" t="n">
        <v>12.3373</v>
      </c>
      <c r="D2007" s="1" t="n">
        <f aca="false">LN(B2007/B2006)</f>
        <v>0.00629855607460804</v>
      </c>
      <c r="E2007" s="1" t="n">
        <f aca="false">LN(C2007/C2006)</f>
        <v>8.9164488275317E-005</v>
      </c>
      <c r="F2007" s="1" t="n">
        <f aca="false">B2007/B2006-1</f>
        <v>0.00631843369043228</v>
      </c>
      <c r="G2007" s="1" t="n">
        <f aca="false">C2007/C2006-1</f>
        <v>8.91684635464518E-005</v>
      </c>
    </row>
    <row r="2008" customFormat="false" ht="15" hidden="false" customHeight="false" outlineLevel="0" collapsed="false">
      <c r="A2008" s="1" t="s">
        <v>2015</v>
      </c>
      <c r="B2008" s="5" t="n">
        <v>33.9061</v>
      </c>
      <c r="C2008" s="5" t="n">
        <v>12.3377</v>
      </c>
      <c r="D2008" s="1" t="n">
        <f aca="false">LN(B2008/B2007)</f>
        <v>-0.00427327181311348</v>
      </c>
      <c r="E2008" s="1" t="n">
        <f aca="false">LN(C2008/C2007)</f>
        <v>3.24214792328428E-005</v>
      </c>
      <c r="F2008" s="1" t="n">
        <f aca="false">B2008/B2007-1</f>
        <v>-0.00426415437883421</v>
      </c>
      <c r="G2008" s="1" t="n">
        <f aca="false">C2008/C2007-1</f>
        <v>3.24220048146806E-005</v>
      </c>
    </row>
    <row r="2009" customFormat="false" ht="15" hidden="false" customHeight="false" outlineLevel="0" collapsed="false">
      <c r="A2009" s="1" t="s">
        <v>2016</v>
      </c>
      <c r="B2009" s="5" t="n">
        <v>33.6648</v>
      </c>
      <c r="C2009" s="5" t="n">
        <v>12.3378</v>
      </c>
      <c r="D2009" s="1" t="n">
        <f aca="false">LN(B2009/B2008)</f>
        <v>-0.00714215811047977</v>
      </c>
      <c r="E2009" s="1" t="n">
        <f aca="false">LN(C2009/C2008)</f>
        <v>8.10520556827816E-006</v>
      </c>
      <c r="F2009" s="1" t="n">
        <f aca="false">B2009/B2008-1</f>
        <v>-0.00711671351172805</v>
      </c>
      <c r="G2009" s="1" t="n">
        <f aca="false">C2009/C2008-1</f>
        <v>8.10523841554556E-006</v>
      </c>
    </row>
    <row r="2010" customFormat="false" ht="15" hidden="false" customHeight="false" outlineLevel="0" collapsed="false">
      <c r="A2010" s="1" t="s">
        <v>2017</v>
      </c>
      <c r="B2010" s="5" t="n">
        <v>33.3073</v>
      </c>
      <c r="C2010" s="5" t="n">
        <v>12.3381</v>
      </c>
      <c r="D2010" s="1" t="n">
        <f aca="false">LN(B2010/B2009)</f>
        <v>-0.0106761889108389</v>
      </c>
      <c r="E2010" s="1" t="n">
        <f aca="false">LN(C2010/C2009)</f>
        <v>2.43152225464224E-005</v>
      </c>
      <c r="F2010" s="1" t="n">
        <f aca="false">B2010/B2009-1</f>
        <v>-0.0106194006796417</v>
      </c>
      <c r="G2010" s="1" t="n">
        <f aca="false">C2010/C2009-1</f>
        <v>2.43155181638421E-005</v>
      </c>
    </row>
    <row r="2011" customFormat="false" ht="15" hidden="false" customHeight="false" outlineLevel="0" collapsed="false">
      <c r="A2011" s="1" t="s">
        <v>2018</v>
      </c>
      <c r="B2011" s="5" t="n">
        <v>33.164</v>
      </c>
      <c r="C2011" s="5" t="n">
        <v>12.3386</v>
      </c>
      <c r="D2011" s="1" t="n">
        <f aca="false">LN(B2011/B2010)</f>
        <v>-0.00431164192662305</v>
      </c>
      <c r="E2011" s="1" t="n">
        <f aca="false">LN(C2011/C2010)</f>
        <v>4.05240571120091E-005</v>
      </c>
      <c r="F2011" s="1" t="n">
        <f aca="false">B2011/B2010-1</f>
        <v>-0.00430236014327179</v>
      </c>
      <c r="G2011" s="1" t="n">
        <f aca="false">C2011/C2010-1</f>
        <v>4.0524878222703E-005</v>
      </c>
    </row>
    <row r="2012" customFormat="false" ht="15" hidden="false" customHeight="false" outlineLevel="0" collapsed="false">
      <c r="A2012" s="1" t="s">
        <v>2019</v>
      </c>
      <c r="B2012" s="5" t="n">
        <v>33.1927</v>
      </c>
      <c r="C2012" s="5" t="n">
        <v>12.3395</v>
      </c>
      <c r="D2012" s="1" t="n">
        <f aca="false">LN(B2012/B2011)</f>
        <v>0.000865021973353088</v>
      </c>
      <c r="E2012" s="1" t="n">
        <f aca="false">LN(C2012/C2011)</f>
        <v>7.29391647168594E-005</v>
      </c>
      <c r="F2012" s="1" t="n">
        <f aca="false">B2012/B2011-1</f>
        <v>0.000865396212760938</v>
      </c>
      <c r="G2012" s="1" t="n">
        <f aca="false">C2012/C2011-1</f>
        <v>7.29418248424096E-005</v>
      </c>
    </row>
    <row r="2013" customFormat="false" ht="15" hidden="false" customHeight="false" outlineLevel="0" collapsed="false">
      <c r="A2013" s="1" t="s">
        <v>2020</v>
      </c>
      <c r="B2013" s="5" t="n">
        <v>32.9225</v>
      </c>
      <c r="C2013" s="5" t="n">
        <v>12.3401</v>
      </c>
      <c r="D2013" s="1" t="n">
        <f aca="false">LN(B2013/B2012)</f>
        <v>-0.00817365762508715</v>
      </c>
      <c r="E2013" s="1" t="n">
        <f aca="false">LN(C2013/C2012)</f>
        <v>4.86231543556115E-005</v>
      </c>
      <c r="F2013" s="1" t="n">
        <f aca="false">B2013/B2012-1</f>
        <v>-0.00814034411180775</v>
      </c>
      <c r="G2013" s="1" t="n">
        <f aca="false">C2013/C2012-1</f>
        <v>4.86243364803407E-005</v>
      </c>
    </row>
    <row r="2014" customFormat="false" ht="15" hidden="false" customHeight="false" outlineLevel="0" collapsed="false">
      <c r="A2014" s="1" t="s">
        <v>2021</v>
      </c>
      <c r="B2014" s="5" t="n">
        <v>33.0235</v>
      </c>
      <c r="C2014" s="5" t="n">
        <v>12.3404</v>
      </c>
      <c r="D2014" s="1" t="n">
        <f aca="false">LN(B2014/B2013)</f>
        <v>0.00306311463836481</v>
      </c>
      <c r="E2014" s="1" t="n">
        <f aca="false">LN(C2014/C2013)</f>
        <v>2.43106906274117E-005</v>
      </c>
      <c r="F2014" s="1" t="n">
        <f aca="false">B2014/B2013-1</f>
        <v>0.00306781076771201</v>
      </c>
      <c r="G2014" s="1" t="n">
        <f aca="false">C2014/C2013-1</f>
        <v>2.43109861346458E-005</v>
      </c>
    </row>
    <row r="2015" customFormat="false" ht="15" hidden="false" customHeight="false" outlineLevel="0" collapsed="false">
      <c r="A2015" s="1" t="s">
        <v>2022</v>
      </c>
      <c r="B2015" s="5" t="n">
        <v>32.6987</v>
      </c>
      <c r="C2015" s="5" t="n">
        <v>12.3409</v>
      </c>
      <c r="D2015" s="1" t="n">
        <f aca="false">LN(B2015/B2014)</f>
        <v>-0.00988410747934203</v>
      </c>
      <c r="E2015" s="1" t="n">
        <f aca="false">LN(C2015/C2014)</f>
        <v>4.0516504403617E-005</v>
      </c>
      <c r="F2015" s="1" t="n">
        <f aca="false">B2015/B2014-1</f>
        <v>-0.00983542023104744</v>
      </c>
      <c r="G2015" s="1" t="n">
        <f aca="false">C2015/C2014-1</f>
        <v>4.05173252082669E-005</v>
      </c>
    </row>
    <row r="2016" customFormat="false" ht="15" hidden="false" customHeight="false" outlineLevel="0" collapsed="false">
      <c r="A2016" s="1" t="s">
        <v>2023</v>
      </c>
      <c r="B2016" s="5" t="n">
        <v>32.6194</v>
      </c>
      <c r="C2016" s="5" t="n">
        <v>12.3411</v>
      </c>
      <c r="D2016" s="1" t="n">
        <f aca="false">LN(B2016/B2015)</f>
        <v>-0.00242811836110173</v>
      </c>
      <c r="E2016" s="1" t="n">
        <f aca="false">LN(C2016/C2015)</f>
        <v>1.62061421283294E-005</v>
      </c>
      <c r="F2016" s="1" t="n">
        <f aca="false">B2016/B2015-1</f>
        <v>-0.0024251728661997</v>
      </c>
      <c r="G2016" s="1" t="n">
        <f aca="false">C2016/C2015-1</f>
        <v>1.62062734485602E-005</v>
      </c>
    </row>
    <row r="2017" customFormat="false" ht="15" hidden="false" customHeight="false" outlineLevel="0" collapsed="false">
      <c r="A2017" s="1" t="s">
        <v>2024</v>
      </c>
      <c r="B2017" s="5" t="n">
        <v>32.791</v>
      </c>
      <c r="C2017" s="5" t="n">
        <v>12.3427</v>
      </c>
      <c r="D2017" s="1" t="n">
        <f aca="false">LN(B2017/B2016)</f>
        <v>0.00524688409414573</v>
      </c>
      <c r="E2017" s="1" t="n">
        <f aca="false">LN(C2017/C2016)</f>
        <v>0.000129639682888366</v>
      </c>
      <c r="F2017" s="1" t="n">
        <f aca="false">B2017/B2016-1</f>
        <v>0.00526067309637823</v>
      </c>
      <c r="G2017" s="1" t="n">
        <f aca="false">C2017/C2016-1</f>
        <v>0.000129648086475198</v>
      </c>
    </row>
    <row r="2018" customFormat="false" ht="15" hidden="false" customHeight="false" outlineLevel="0" collapsed="false">
      <c r="A2018" s="1" t="s">
        <v>2025</v>
      </c>
      <c r="B2018" s="5" t="n">
        <v>32.8858</v>
      </c>
      <c r="C2018" s="5" t="n">
        <v>12.3432</v>
      </c>
      <c r="D2018" s="1" t="n">
        <f aca="false">LN(B2018/B2017)</f>
        <v>0.00288686616395949</v>
      </c>
      <c r="E2018" s="1" t="n">
        <f aca="false">LN(C2018/C2017)</f>
        <v>4.05089545099134E-005</v>
      </c>
      <c r="F2018" s="1" t="n">
        <f aca="false">B2018/B2017-1</f>
        <v>0.00289103717483474</v>
      </c>
      <c r="G2018" s="1" t="n">
        <f aca="false">C2018/C2017-1</f>
        <v>4.05097750086902E-005</v>
      </c>
    </row>
    <row r="2019" customFormat="false" ht="15" hidden="false" customHeight="false" outlineLevel="0" collapsed="false">
      <c r="A2019" s="1" t="s">
        <v>2026</v>
      </c>
      <c r="B2019" s="5" t="n">
        <v>33.6136</v>
      </c>
      <c r="C2019" s="5" t="n">
        <v>12.3448</v>
      </c>
      <c r="D2019" s="1" t="n">
        <f aca="false">LN(B2019/B2018)</f>
        <v>0.021889793321654</v>
      </c>
      <c r="E2019" s="1" t="n">
        <f aca="false">LN(C2019/C2018)</f>
        <v>0.000129617628178813</v>
      </c>
      <c r="F2019" s="1" t="n">
        <f aca="false">B2019/B2018-1</f>
        <v>0.0221311325861009</v>
      </c>
      <c r="G2019" s="1" t="n">
        <f aca="false">C2019/C2018-1</f>
        <v>0.000129626028906538</v>
      </c>
    </row>
    <row r="2020" customFormat="false" ht="15" hidden="false" customHeight="false" outlineLevel="0" collapsed="false">
      <c r="A2020" s="1" t="s">
        <v>2027</v>
      </c>
      <c r="B2020" s="5" t="n">
        <v>33.5993</v>
      </c>
      <c r="C2020" s="5" t="n">
        <v>12.3453</v>
      </c>
      <c r="D2020" s="1" t="n">
        <f aca="false">LN(B2020/B2019)</f>
        <v>-0.000425513561109932</v>
      </c>
      <c r="E2020" s="1" t="n">
        <f aca="false">LN(C2020/C2019)</f>
        <v>4.05020635856537E-005</v>
      </c>
      <c r="F2020" s="1" t="n">
        <f aca="false">B2020/B2019-1</f>
        <v>-0.00042542304305393</v>
      </c>
      <c r="G2020" s="1" t="n">
        <f aca="false">C2020/C2019-1</f>
        <v>4.05028838053045E-005</v>
      </c>
    </row>
    <row r="2021" customFormat="false" ht="15" hidden="false" customHeight="false" outlineLevel="0" collapsed="false">
      <c r="A2021" s="1" t="s">
        <v>2028</v>
      </c>
      <c r="B2021" s="5" t="n">
        <v>33.6837</v>
      </c>
      <c r="C2021" s="5" t="n">
        <v>12.3453</v>
      </c>
      <c r="D2021" s="1" t="n">
        <f aca="false">LN(B2021/B2020)</f>
        <v>0.0025088074036118</v>
      </c>
      <c r="E2021" s="1" t="n">
        <f aca="false">LN(C2021/C2020)</f>
        <v>0</v>
      </c>
      <c r="F2021" s="1" t="n">
        <f aca="false">B2021/B2020-1</f>
        <v>0.00251195709434437</v>
      </c>
      <c r="G2021" s="1" t="n">
        <f aca="false">C2021/C2020-1</f>
        <v>0</v>
      </c>
    </row>
    <row r="2022" customFormat="false" ht="15" hidden="false" customHeight="false" outlineLevel="0" collapsed="false">
      <c r="A2022" s="1" t="s">
        <v>2029</v>
      </c>
      <c r="B2022" s="5" t="n">
        <v>33.6435</v>
      </c>
      <c r="C2022" s="5" t="n">
        <v>12.3457</v>
      </c>
      <c r="D2022" s="1" t="n">
        <f aca="false">LN(B2022/B2021)</f>
        <v>-0.00119416832356684</v>
      </c>
      <c r="E2022" s="1" t="n">
        <f aca="false">LN(C2022/C2021)</f>
        <v>3.24004698096887E-005</v>
      </c>
      <c r="F2022" s="1" t="n">
        <f aca="false">B2022/B2021-1</f>
        <v>-0.00119345558831119</v>
      </c>
      <c r="G2022" s="1" t="n">
        <f aca="false">C2022/C2021-1</f>
        <v>3.24009947105797E-005</v>
      </c>
    </row>
    <row r="2023" customFormat="false" ht="15" hidden="false" customHeight="false" outlineLevel="0" collapsed="false">
      <c r="A2023" s="1" t="s">
        <v>2030</v>
      </c>
      <c r="B2023" s="5" t="n">
        <v>33.5428</v>
      </c>
      <c r="C2023" s="5" t="n">
        <v>12.3459</v>
      </c>
      <c r="D2023" s="1" t="n">
        <f aca="false">LN(B2023/B2022)</f>
        <v>-0.00299763717918891</v>
      </c>
      <c r="E2023" s="1" t="n">
        <f aca="false">LN(C2023/C2022)</f>
        <v>1.61998412418037E-005</v>
      </c>
      <c r="F2023" s="1" t="n">
        <f aca="false">B2023/B2022-1</f>
        <v>-0.0029931487508732</v>
      </c>
      <c r="G2023" s="1" t="n">
        <f aca="false">C2023/C2022-1</f>
        <v>1.61999724599404E-005</v>
      </c>
    </row>
    <row r="2024" customFormat="false" ht="15" hidden="false" customHeight="false" outlineLevel="0" collapsed="false">
      <c r="A2024" s="1" t="s">
        <v>2031</v>
      </c>
      <c r="B2024" s="5" t="n">
        <v>33.125</v>
      </c>
      <c r="C2024" s="5" t="n">
        <v>12.3471</v>
      </c>
      <c r="D2024" s="1" t="n">
        <f aca="false">LN(B2024/B2023)</f>
        <v>-0.0125339510132779</v>
      </c>
      <c r="E2024" s="1" t="n">
        <f aca="false">LN(C2024/C2023)</f>
        <v>9.719353670616E-005</v>
      </c>
      <c r="F2024" s="1" t="n">
        <f aca="false">B2024/B2023-1</f>
        <v>-0.0124557282039662</v>
      </c>
      <c r="G2024" s="1" t="n">
        <f aca="false">C2024/C2023-1</f>
        <v>9.71982601509769E-005</v>
      </c>
    </row>
    <row r="2025" customFormat="false" ht="15" hidden="false" customHeight="false" outlineLevel="0" collapsed="false">
      <c r="A2025" s="1" t="s">
        <v>2032</v>
      </c>
      <c r="B2025" s="5" t="n">
        <v>33.0706</v>
      </c>
      <c r="C2025" s="5" t="n">
        <v>12.3528</v>
      </c>
      <c r="D2025" s="1" t="n">
        <f aca="false">LN(B2025/B2024)</f>
        <v>-0.00164361414494785</v>
      </c>
      <c r="E2025" s="1" t="n">
        <f aca="false">LN(C2025/C2024)</f>
        <v>0.000461540338316034</v>
      </c>
      <c r="F2025" s="1" t="n">
        <f aca="false">B2025/B2024-1</f>
        <v>-0.00164226415094348</v>
      </c>
      <c r="G2025" s="1" t="n">
        <f aca="false">C2025/C2024-1</f>
        <v>0.000461646864446053</v>
      </c>
    </row>
    <row r="2026" customFormat="false" ht="15" hidden="false" customHeight="false" outlineLevel="0" collapsed="false">
      <c r="A2026" s="1" t="s">
        <v>2033</v>
      </c>
      <c r="B2026" s="5" t="n">
        <v>32.6695</v>
      </c>
      <c r="C2026" s="5" t="n">
        <v>12.3473</v>
      </c>
      <c r="D2026" s="1" t="n">
        <f aca="false">LN(B2026/B2025)</f>
        <v>-0.0122027492263348</v>
      </c>
      <c r="E2026" s="1" t="n">
        <f aca="false">LN(C2026/C2025)</f>
        <v>-0.000445342333909674</v>
      </c>
      <c r="F2026" s="1" t="n">
        <f aca="false">B2026/B2025-1</f>
        <v>-0.0121285976063331</v>
      </c>
      <c r="G2026" s="1" t="n">
        <f aca="false">C2026/C2025-1</f>
        <v>-0.000445243183731625</v>
      </c>
    </row>
    <row r="2027" customFormat="false" ht="15" hidden="false" customHeight="false" outlineLevel="0" collapsed="false">
      <c r="A2027" s="1" t="s">
        <v>2034</v>
      </c>
      <c r="B2027" s="5" t="n">
        <v>32.7728</v>
      </c>
      <c r="C2027" s="5" t="n">
        <v>12.3478</v>
      </c>
      <c r="D2027" s="1" t="n">
        <f aca="false">LN(B2027/B2026)</f>
        <v>0.00315698212915038</v>
      </c>
      <c r="E2027" s="1" t="n">
        <f aca="false">LN(C2027/C2026)</f>
        <v>4.04938631605765E-005</v>
      </c>
      <c r="F2027" s="1" t="n">
        <f aca="false">B2027/B2026-1</f>
        <v>0.00316197064540313</v>
      </c>
      <c r="G2027" s="1" t="n">
        <f aca="false">C2027/C2026-1</f>
        <v>4.04946830481201E-005</v>
      </c>
    </row>
    <row r="2028" customFormat="false" ht="15" hidden="false" customHeight="false" outlineLevel="0" collapsed="false">
      <c r="A2028" s="1" t="s">
        <v>2035</v>
      </c>
      <c r="B2028" s="5" t="n">
        <v>32.5446</v>
      </c>
      <c r="C2028" s="5" t="n">
        <v>12.3484</v>
      </c>
      <c r="D2028" s="1" t="n">
        <f aca="false">LN(B2028/B2027)</f>
        <v>-0.00698744678988499</v>
      </c>
      <c r="E2028" s="1" t="n">
        <f aca="false">LN(C2028/C2027)</f>
        <v>4.85904714180669E-005</v>
      </c>
      <c r="F2028" s="1" t="n">
        <f aca="false">B2028/B2027-1</f>
        <v>-0.00696309134404116</v>
      </c>
      <c r="G2028" s="1" t="n">
        <f aca="false">C2028/C2027-1</f>
        <v>4.85916519541441E-005</v>
      </c>
    </row>
    <row r="2029" customFormat="false" ht="15" hidden="false" customHeight="false" outlineLevel="0" collapsed="false">
      <c r="A2029" s="1" t="s">
        <v>2036</v>
      </c>
      <c r="B2029" s="5" t="n">
        <v>32.8992</v>
      </c>
      <c r="C2029" s="5" t="n">
        <v>12.3496</v>
      </c>
      <c r="D2029" s="1" t="n">
        <f aca="false">LN(B2029/B2028)</f>
        <v>0.0108368850918932</v>
      </c>
      <c r="E2029" s="1" t="n">
        <f aca="false">LN(C2029/C2028)</f>
        <v>9.71738603081634E-005</v>
      </c>
      <c r="F2029" s="1" t="n">
        <f aca="false">B2029/B2028-1</f>
        <v>0.0108958168175364</v>
      </c>
      <c r="G2029" s="1" t="n">
        <f aca="false">C2029/C2028-1</f>
        <v>9.71785818406623E-005</v>
      </c>
    </row>
    <row r="2030" customFormat="false" ht="15" hidden="false" customHeight="false" outlineLevel="0" collapsed="false">
      <c r="A2030" s="1" t="s">
        <v>2037</v>
      </c>
      <c r="B2030" s="5" t="n">
        <v>32.8939</v>
      </c>
      <c r="C2030" s="5" t="n">
        <v>12.35</v>
      </c>
      <c r="D2030" s="1" t="n">
        <f aca="false">LN(B2030/B2029)</f>
        <v>-0.000161111119903515</v>
      </c>
      <c r="E2030" s="1" t="n">
        <f aca="false">LN(C2030/C2029)</f>
        <v>3.23891884915637E-005</v>
      </c>
      <c r="F2030" s="1" t="n">
        <f aca="false">B2030/B2029-1</f>
        <v>-0.000161098142203997</v>
      </c>
      <c r="G2030" s="1" t="n">
        <f aca="false">C2030/C2029-1</f>
        <v>3.23897130269923E-005</v>
      </c>
    </row>
    <row r="2031" customFormat="false" ht="15" hidden="false" customHeight="false" outlineLevel="0" collapsed="false">
      <c r="A2031" s="1" t="s">
        <v>2038</v>
      </c>
      <c r="B2031" s="5" t="n">
        <v>32.8851</v>
      </c>
      <c r="C2031" s="5" t="n">
        <v>12.3503</v>
      </c>
      <c r="D2031" s="1" t="n">
        <f aca="false">LN(B2031/B2030)</f>
        <v>-0.000267562597561499</v>
      </c>
      <c r="E2031" s="1" t="n">
        <f aca="false">LN(C2031/C2030)</f>
        <v>2.42912029421223E-005</v>
      </c>
      <c r="F2031" s="1" t="n">
        <f aca="false">B2031/B2030-1</f>
        <v>-0.000267526805881935</v>
      </c>
      <c r="G2031" s="1" t="n">
        <f aca="false">C2031/C2030-1</f>
        <v>2.42914979757813E-005</v>
      </c>
    </row>
    <row r="2032" customFormat="false" ht="15" hidden="false" customHeight="false" outlineLevel="0" collapsed="false">
      <c r="A2032" s="1" t="s">
        <v>2039</v>
      </c>
      <c r="B2032" s="5" t="n">
        <v>32.872</v>
      </c>
      <c r="C2032" s="5" t="n">
        <v>12.3507</v>
      </c>
      <c r="D2032" s="1" t="n">
        <f aca="false">LN(B2032/B2031)</f>
        <v>-0.000398436067688621</v>
      </c>
      <c r="E2032" s="1" t="n">
        <f aca="false">LN(C2032/C2031)</f>
        <v>3.2387352741517E-005</v>
      </c>
      <c r="F2032" s="1" t="n">
        <f aca="false">B2032/B2031-1</f>
        <v>-0.000398356702579594</v>
      </c>
      <c r="G2032" s="1" t="n">
        <f aca="false">C2032/C2031-1</f>
        <v>3.23878772174879E-005</v>
      </c>
    </row>
    <row r="2033" customFormat="false" ht="15" hidden="false" customHeight="false" outlineLevel="0" collapsed="false">
      <c r="A2033" s="1" t="s">
        <v>2040</v>
      </c>
      <c r="B2033" s="5" t="n">
        <v>32.7285</v>
      </c>
      <c r="C2033" s="5" t="n">
        <v>12.351</v>
      </c>
      <c r="D2033" s="1" t="n">
        <f aca="false">LN(B2033/B2032)</f>
        <v>-0.00437497363243105</v>
      </c>
      <c r="E2033" s="1" t="n">
        <f aca="false">LN(C2033/C2032)</f>
        <v>2.42898262075313E-005</v>
      </c>
      <c r="F2033" s="1" t="n">
        <f aca="false">B2033/B2032-1</f>
        <v>-0.00436541737649077</v>
      </c>
      <c r="G2033" s="1" t="n">
        <f aca="false">C2033/C2032-1</f>
        <v>2.42901212077484E-005</v>
      </c>
    </row>
    <row r="2034" customFormat="false" ht="15" hidden="false" customHeight="false" outlineLevel="0" collapsed="false">
      <c r="A2034" s="1" t="s">
        <v>2041</v>
      </c>
      <c r="B2034" s="5" t="n">
        <v>32.9747</v>
      </c>
      <c r="C2034" s="5" t="n">
        <v>12.3517</v>
      </c>
      <c r="D2034" s="1" t="n">
        <f aca="false">LN(B2034/B2033)</f>
        <v>0.00749434281195076</v>
      </c>
      <c r="E2034" s="1" t="n">
        <f aca="false">LN(C2034/C2033)</f>
        <v>5.66739668283604E-005</v>
      </c>
      <c r="F2034" s="1" t="n">
        <f aca="false">B2034/B2033-1</f>
        <v>0.00752249568418972</v>
      </c>
      <c r="G2034" s="1" t="n">
        <f aca="false">C2034/C2033-1</f>
        <v>5.66755728279578E-005</v>
      </c>
    </row>
    <row r="2035" customFormat="false" ht="15" hidden="false" customHeight="false" outlineLevel="0" collapsed="false">
      <c r="A2035" s="1" t="s">
        <v>2042</v>
      </c>
      <c r="B2035" s="5" t="n">
        <v>32.8036</v>
      </c>
      <c r="C2035" s="5" t="n">
        <v>12.3516</v>
      </c>
      <c r="D2035" s="1" t="n">
        <f aca="false">LN(B2035/B2034)</f>
        <v>-0.00520233529572899</v>
      </c>
      <c r="E2035" s="1" t="n">
        <f aca="false">LN(C2035/C2034)</f>
        <v>-8.0960843288084E-006</v>
      </c>
      <c r="F2035" s="1" t="n">
        <f aca="false">B2035/B2034-1</f>
        <v>-0.00518882658523034</v>
      </c>
      <c r="G2035" s="1" t="n">
        <f aca="false">C2035/C2034-1</f>
        <v>-8.09605155560611E-006</v>
      </c>
    </row>
    <row r="2036" customFormat="false" ht="15" hidden="false" customHeight="false" outlineLevel="0" collapsed="false">
      <c r="A2036" s="1" t="s">
        <v>2043</v>
      </c>
      <c r="B2036" s="5" t="n">
        <v>32.7233</v>
      </c>
      <c r="C2036" s="5" t="n">
        <v>12.352</v>
      </c>
      <c r="D2036" s="1" t="n">
        <f aca="false">LN(B2036/B2035)</f>
        <v>-0.00245090307023044</v>
      </c>
      <c r="E2036" s="1" t="n">
        <f aca="false">LN(C2036/C2035)</f>
        <v>3.2383944043343E-005</v>
      </c>
      <c r="F2036" s="1" t="n">
        <f aca="false">B2036/B2035-1</f>
        <v>-0.00244790205953005</v>
      </c>
      <c r="G2036" s="1" t="n">
        <f aca="false">C2036/C2035-1</f>
        <v>3.23844684089192E-005</v>
      </c>
    </row>
    <row r="2037" customFormat="false" ht="15" hidden="false" customHeight="false" outlineLevel="0" collapsed="false">
      <c r="A2037" s="1" t="s">
        <v>2044</v>
      </c>
      <c r="B2037" s="5" t="n">
        <v>32.4631</v>
      </c>
      <c r="C2037" s="5" t="n">
        <v>12.3526</v>
      </c>
      <c r="D2037" s="1" t="n">
        <f aca="false">LN(B2037/B2036)</f>
        <v>-0.00798330271176409</v>
      </c>
      <c r="E2037" s="1" t="n">
        <f aca="false">LN(C2037/C2036)</f>
        <v>4.85739498002003E-005</v>
      </c>
      <c r="F2037" s="1" t="n">
        <f aca="false">B2037/B2036-1</f>
        <v>-0.00795152078182837</v>
      </c>
      <c r="G2037" s="1" t="n">
        <f aca="false">C2037/C2036-1</f>
        <v>4.85751295336012E-005</v>
      </c>
    </row>
    <row r="2038" customFormat="false" ht="15" hidden="false" customHeight="false" outlineLevel="0" collapsed="false">
      <c r="A2038" s="1" t="s">
        <v>2045</v>
      </c>
      <c r="B2038" s="5" t="n">
        <v>32.7306</v>
      </c>
      <c r="C2038" s="5" t="n">
        <v>12.3533</v>
      </c>
      <c r="D2038" s="1" t="n">
        <f aca="false">LN(B2038/B2037)</f>
        <v>0.00820636046784193</v>
      </c>
      <c r="E2038" s="1" t="n">
        <f aca="false">LN(C2038/C2037)</f>
        <v>5.66666262057016E-005</v>
      </c>
      <c r="F2038" s="1" t="n">
        <f aca="false">B2038/B2037-1</f>
        <v>0.00824012494185733</v>
      </c>
      <c r="G2038" s="1" t="n">
        <f aca="false">C2038/C2037-1</f>
        <v>5.66682317892919E-005</v>
      </c>
    </row>
    <row r="2039" customFormat="false" ht="15" hidden="false" customHeight="false" outlineLevel="0" collapsed="false">
      <c r="A2039" s="1" t="s">
        <v>2046</v>
      </c>
      <c r="B2039" s="5" t="n">
        <v>32.6808</v>
      </c>
      <c r="C2039" s="5" t="n">
        <v>12.3546</v>
      </c>
      <c r="D2039" s="1" t="n">
        <f aca="false">LN(B2039/B2038)</f>
        <v>-0.0015226706544085</v>
      </c>
      <c r="E2039" s="1" t="n">
        <f aca="false">LN(C2039/C2038)</f>
        <v>0.000105229501592543</v>
      </c>
      <c r="F2039" s="1" t="n">
        <f aca="false">B2039/B2038-1</f>
        <v>-0.00152151197961559</v>
      </c>
      <c r="G2039" s="1" t="n">
        <f aca="false">C2039/C2038-1</f>
        <v>0.000105235038410756</v>
      </c>
    </row>
    <row r="2040" customFormat="false" ht="15" hidden="false" customHeight="false" outlineLevel="0" collapsed="false">
      <c r="A2040" s="1" t="s">
        <v>2047</v>
      </c>
      <c r="B2040" s="5" t="n">
        <v>32.8018</v>
      </c>
      <c r="C2040" s="5" t="n">
        <v>12.355</v>
      </c>
      <c r="D2040" s="1" t="n">
        <f aca="false">LN(B2040/B2039)</f>
        <v>0.00369564243679533</v>
      </c>
      <c r="E2040" s="1" t="n">
        <f aca="false">LN(C2040/C2039)</f>
        <v>3.23760805545327E-005</v>
      </c>
      <c r="F2040" s="1" t="n">
        <f aca="false">B2040/B2039-1</f>
        <v>0.00370247974345794</v>
      </c>
      <c r="G2040" s="1" t="n">
        <f aca="false">C2040/C2039-1</f>
        <v>3.2376604665485E-005</v>
      </c>
    </row>
    <row r="2041" customFormat="false" ht="15" hidden="false" customHeight="false" outlineLevel="0" collapsed="false">
      <c r="A2041" s="1" t="s">
        <v>2048</v>
      </c>
      <c r="B2041" s="5" t="n">
        <v>33.4683</v>
      </c>
      <c r="C2041" s="5" t="n">
        <v>12.3557</v>
      </c>
      <c r="D2041" s="1" t="n">
        <f aca="false">LN(B2041/B2040)</f>
        <v>0.0201153302463476</v>
      </c>
      <c r="E2041" s="1" t="n">
        <f aca="false">LN(C2041/C2040)</f>
        <v>5.66556188362256E-005</v>
      </c>
      <c r="F2041" s="1" t="n">
        <f aca="false">B2041/B2040-1</f>
        <v>0.0203190068837686</v>
      </c>
      <c r="G2041" s="1" t="n">
        <f aca="false">C2041/C2040-1</f>
        <v>5.66572237961083E-005</v>
      </c>
    </row>
    <row r="2042" customFormat="false" ht="15" hidden="false" customHeight="false" outlineLevel="0" collapsed="false">
      <c r="A2042" s="1" t="s">
        <v>2049</v>
      </c>
      <c r="B2042" s="5" t="n">
        <v>33.314</v>
      </c>
      <c r="C2042" s="5" t="n">
        <v>12.3559</v>
      </c>
      <c r="D2042" s="1" t="n">
        <f aca="false">LN(B2042/B2041)</f>
        <v>-0.00462099312456496</v>
      </c>
      <c r="E2042" s="1" t="n">
        <f aca="false">LN(C2042/C2041)</f>
        <v>1.61867301189889E-005</v>
      </c>
      <c r="F2042" s="1" t="n">
        <f aca="false">B2042/B2041-1</f>
        <v>-0.004610332762644</v>
      </c>
      <c r="G2042" s="1" t="n">
        <f aca="false">C2042/C2041-1</f>
        <v>1.61868611248117E-005</v>
      </c>
    </row>
    <row r="2043" customFormat="false" ht="15" hidden="false" customHeight="false" outlineLevel="0" collapsed="false">
      <c r="A2043" s="1" t="s">
        <v>2050</v>
      </c>
      <c r="B2043" s="5" t="n">
        <v>33.2495</v>
      </c>
      <c r="C2043" s="5" t="n">
        <v>12.357</v>
      </c>
      <c r="D2043" s="1" t="n">
        <f aca="false">LN(B2043/B2042)</f>
        <v>-0.00193799966010369</v>
      </c>
      <c r="E2043" s="1" t="n">
        <f aca="false">LN(C2043/C2042)</f>
        <v>8.90223325248711E-005</v>
      </c>
      <c r="F2043" s="1" t="n">
        <f aca="false">B2043/B2042-1</f>
        <v>-0.00193612295131185</v>
      </c>
      <c r="G2043" s="1" t="n">
        <f aca="false">C2043/C2042-1</f>
        <v>8.90262951303011E-005</v>
      </c>
    </row>
    <row r="2044" customFormat="false" ht="15" hidden="false" customHeight="false" outlineLevel="0" collapsed="false">
      <c r="A2044" s="1" t="s">
        <v>2051</v>
      </c>
      <c r="B2044" s="5" t="n">
        <v>33.5119</v>
      </c>
      <c r="C2044" s="5" t="n">
        <v>12.3572</v>
      </c>
      <c r="D2044" s="1" t="n">
        <f aca="false">LN(B2044/B2043)</f>
        <v>0.00786087023973976</v>
      </c>
      <c r="E2044" s="1" t="n">
        <f aca="false">LN(C2044/C2043)</f>
        <v>1.61850272318537E-005</v>
      </c>
      <c r="F2044" s="1" t="n">
        <f aca="false">B2044/B2043-1</f>
        <v>0.00789184799771414</v>
      </c>
      <c r="G2044" s="1" t="n">
        <f aca="false">C2044/C2043-1</f>
        <v>1.61851582101136E-005</v>
      </c>
    </row>
    <row r="2045" customFormat="false" ht="15" hidden="false" customHeight="false" outlineLevel="0" collapsed="false">
      <c r="A2045" s="1" t="s">
        <v>2052</v>
      </c>
      <c r="B2045" s="5" t="n">
        <v>33.4687</v>
      </c>
      <c r="C2045" s="5" t="n">
        <v>12.3572</v>
      </c>
      <c r="D2045" s="1" t="n">
        <f aca="false">LN(B2045/B2044)</f>
        <v>-0.00128992591855167</v>
      </c>
      <c r="E2045" s="1" t="n">
        <f aca="false">LN(C2045/C2044)</f>
        <v>0</v>
      </c>
      <c r="F2045" s="1" t="n">
        <f aca="false">B2045/B2044-1</f>
        <v>-0.00128909432171853</v>
      </c>
      <c r="G2045" s="1" t="n">
        <f aca="false">C2045/C2044-1</f>
        <v>0</v>
      </c>
    </row>
    <row r="2046" customFormat="false" ht="15" hidden="false" customHeight="false" outlineLevel="0" collapsed="false">
      <c r="A2046" s="1" t="s">
        <v>2053</v>
      </c>
      <c r="B2046" s="5" t="n">
        <v>33.5225</v>
      </c>
      <c r="C2046" s="5" t="n">
        <v>12.3581</v>
      </c>
      <c r="D2046" s="1" t="n">
        <f aca="false">LN(B2046/B2045)</f>
        <v>0.00160618145565947</v>
      </c>
      <c r="E2046" s="1" t="n">
        <f aca="false">LN(C2046/C2045)</f>
        <v>7.28293810229209E-005</v>
      </c>
      <c r="F2046" s="1" t="n">
        <f aca="false">B2046/B2045-1</f>
        <v>0.00160747205598066</v>
      </c>
      <c r="G2046" s="1" t="n">
        <f aca="false">C2046/C2045-1</f>
        <v>7.28320331466748E-005</v>
      </c>
    </row>
    <row r="2047" customFormat="false" ht="15" hidden="false" customHeight="false" outlineLevel="0" collapsed="false">
      <c r="A2047" s="1" t="s">
        <v>2054</v>
      </c>
      <c r="B2047" s="5" t="n">
        <v>33.5642</v>
      </c>
      <c r="C2047" s="5" t="n">
        <v>12.3587</v>
      </c>
      <c r="D2047" s="1" t="n">
        <f aca="false">LN(B2047/B2046)</f>
        <v>0.00124316758375328</v>
      </c>
      <c r="E2047" s="1" t="n">
        <f aca="false">LN(C2047/C2046)</f>
        <v>4.85499741162502E-005</v>
      </c>
      <c r="F2047" s="1" t="n">
        <f aca="false">B2047/B2046-1</f>
        <v>0.0012439406368856</v>
      </c>
      <c r="G2047" s="1" t="n">
        <f aca="false">C2047/C2046-1</f>
        <v>4.85511526853166E-005</v>
      </c>
    </row>
    <row r="2048" customFormat="false" ht="15" hidden="false" customHeight="false" outlineLevel="0" collapsed="false">
      <c r="A2048" s="1" t="s">
        <v>2055</v>
      </c>
      <c r="B2048" s="5" t="n">
        <v>33.593</v>
      </c>
      <c r="C2048" s="5" t="n">
        <v>12.3613</v>
      </c>
      <c r="D2048" s="1" t="n">
        <f aca="false">LN(B2048/B2047)</f>
        <v>0.000857689176008556</v>
      </c>
      <c r="E2048" s="1" t="n">
        <f aca="false">LN(C2048/C2047)</f>
        <v>0.000210355987830628</v>
      </c>
      <c r="F2048" s="1" t="n">
        <f aca="false">B2048/B2047-1</f>
        <v>0.000858057096549514</v>
      </c>
      <c r="G2048" s="1" t="n">
        <f aca="false">C2048/C2047-1</f>
        <v>0.00021037811420288</v>
      </c>
    </row>
    <row r="2049" customFormat="false" ht="15" hidden="false" customHeight="false" outlineLevel="0" collapsed="false">
      <c r="A2049" s="1" t="s">
        <v>2056</v>
      </c>
      <c r="B2049" s="5" t="n">
        <v>33.0616</v>
      </c>
      <c r="C2049" s="5" t="n">
        <v>12.3597</v>
      </c>
      <c r="D2049" s="1" t="n">
        <f aca="false">LN(B2049/B2048)</f>
        <v>-0.0159452238554293</v>
      </c>
      <c r="E2049" s="1" t="n">
        <f aca="false">LN(C2049/C2048)</f>
        <v>-0.000129444601936362</v>
      </c>
      <c r="F2049" s="1" t="n">
        <f aca="false">B2049/B2048-1</f>
        <v>-0.015818771767928</v>
      </c>
      <c r="G2049" s="1" t="n">
        <f aca="false">C2049/C2048-1</f>
        <v>-0.000129436224345358</v>
      </c>
    </row>
    <row r="2050" customFormat="false" ht="15" hidden="false" customHeight="false" outlineLevel="0" collapsed="false">
      <c r="A2050" s="1" t="s">
        <v>2057</v>
      </c>
      <c r="B2050" s="5" t="n">
        <v>32.7556</v>
      </c>
      <c r="C2050" s="5" t="n">
        <v>12.36</v>
      </c>
      <c r="D2050" s="1" t="n">
        <f aca="false">LN(B2050/B2049)</f>
        <v>-0.00929854824584774</v>
      </c>
      <c r="E2050" s="1" t="n">
        <f aca="false">LN(C2050/C2049)</f>
        <v>2.42721392261246E-005</v>
      </c>
      <c r="F2050" s="1" t="n">
        <f aca="false">B2050/B2049-1</f>
        <v>-0.00925545043192089</v>
      </c>
      <c r="G2050" s="1" t="n">
        <f aca="false">C2050/C2049-1</f>
        <v>2.42724337968792E-005</v>
      </c>
    </row>
    <row r="2051" customFormat="false" ht="15" hidden="false" customHeight="false" outlineLevel="0" collapsed="false">
      <c r="A2051" s="1" t="s">
        <v>2058</v>
      </c>
      <c r="B2051" s="5" t="n">
        <v>32.5004</v>
      </c>
      <c r="C2051" s="5" t="n">
        <v>12.3607</v>
      </c>
      <c r="D2051" s="1" t="n">
        <f aca="false">LN(B2051/B2050)</f>
        <v>-0.00782154287788432</v>
      </c>
      <c r="E2051" s="1" t="n">
        <f aca="false">LN(C2051/C2050)</f>
        <v>5.66327005455562E-005</v>
      </c>
      <c r="F2051" s="1" t="n">
        <f aca="false">B2051/B2050-1</f>
        <v>-0.00779103420483829</v>
      </c>
      <c r="G2051" s="1" t="n">
        <f aca="false">C2051/C2050-1</f>
        <v>5.66343042072148E-005</v>
      </c>
    </row>
    <row r="2052" customFormat="false" ht="15" hidden="false" customHeight="false" outlineLevel="0" collapsed="false">
      <c r="A2052" s="1" t="s">
        <v>2059</v>
      </c>
      <c r="B2052" s="5" t="n">
        <v>32.461</v>
      </c>
      <c r="C2052" s="5" t="n">
        <v>12.3613</v>
      </c>
      <c r="D2052" s="1" t="n">
        <f aca="false">LN(B2052/B2051)</f>
        <v>-0.00121302819308755</v>
      </c>
      <c r="E2052" s="1" t="n">
        <f aca="false">LN(C2052/C2051)</f>
        <v>4.85397621646678E-005</v>
      </c>
      <c r="F2052" s="1" t="n">
        <f aca="false">B2052/B2051-1</f>
        <v>-0.00121229277178125</v>
      </c>
      <c r="G2052" s="1" t="n">
        <f aca="false">C2052/C2051-1</f>
        <v>4.85409402379844E-005</v>
      </c>
    </row>
    <row r="2053" customFormat="false" ht="15" hidden="false" customHeight="false" outlineLevel="0" collapsed="false">
      <c r="A2053" s="1" t="s">
        <v>2060</v>
      </c>
      <c r="B2053" s="5" t="n">
        <v>32.1327</v>
      </c>
      <c r="C2053" s="5" t="n">
        <v>12.3623</v>
      </c>
      <c r="D2053" s="1" t="n">
        <f aca="false">LN(B2053/B2052)</f>
        <v>-0.0101651655485866</v>
      </c>
      <c r="E2053" s="1" t="n">
        <f aca="false">LN(C2053/C2052)</f>
        <v>8.08943681781628E-005</v>
      </c>
      <c r="F2053" s="1" t="n">
        <f aca="false">B2053/B2052-1</f>
        <v>-0.010113674871384</v>
      </c>
      <c r="G2053" s="1" t="n">
        <f aca="false">C2053/C2052-1</f>
        <v>8.08976402157935E-005</v>
      </c>
    </row>
    <row r="2054" customFormat="false" ht="15" hidden="false" customHeight="false" outlineLevel="0" collapsed="false">
      <c r="A2054" s="1" t="s">
        <v>2061</v>
      </c>
      <c r="B2054" s="5" t="n">
        <v>31.9364</v>
      </c>
      <c r="C2054" s="5" t="n">
        <v>12.3625</v>
      </c>
      <c r="D2054" s="1" t="n">
        <f aca="false">LN(B2054/B2053)</f>
        <v>-0.00612777810987026</v>
      </c>
      <c r="E2054" s="1" t="n">
        <f aca="false">LN(C2054/C2053)</f>
        <v>1.61780883976073E-005</v>
      </c>
      <c r="F2054" s="1" t="n">
        <f aca="false">B2054/B2053-1</f>
        <v>-0.00610904156824665</v>
      </c>
      <c r="G2054" s="1" t="n">
        <f aca="false">C2054/C2053-1</f>
        <v>1.61782192635851E-005</v>
      </c>
    </row>
    <row r="2055" customFormat="false" ht="15" hidden="false" customHeight="false" outlineLevel="0" collapsed="false">
      <c r="A2055" s="1" t="s">
        <v>2062</v>
      </c>
      <c r="B2055" s="5" t="n">
        <v>31.7137</v>
      </c>
      <c r="C2055" s="5" t="n">
        <v>12.3627</v>
      </c>
      <c r="D2055" s="1" t="n">
        <f aca="false">LN(B2055/B2054)</f>
        <v>-0.00699766092276245</v>
      </c>
      <c r="E2055" s="1" t="n">
        <f aca="false">LN(C2055/C2054)</f>
        <v>1.61778266709823E-005</v>
      </c>
      <c r="F2055" s="1" t="n">
        <f aca="false">B2055/B2054-1</f>
        <v>-0.00697323430317753</v>
      </c>
      <c r="G2055" s="1" t="n">
        <f aca="false">C2055/C2054-1</f>
        <v>1.61779575327259E-005</v>
      </c>
    </row>
    <row r="2056" customFormat="false" ht="15" hidden="false" customHeight="false" outlineLevel="0" collapsed="false">
      <c r="A2056" s="1" t="s">
        <v>2063</v>
      </c>
      <c r="B2056" s="5" t="n">
        <v>31.9324</v>
      </c>
      <c r="C2056" s="5" t="n">
        <v>12.3633</v>
      </c>
      <c r="D2056" s="1" t="n">
        <f aca="false">LN(B2056/B2055)</f>
        <v>0.00687240414620726</v>
      </c>
      <c r="E2056" s="1" t="n">
        <f aca="false">LN(C2056/C2055)</f>
        <v>4.85319097402841E-005</v>
      </c>
      <c r="F2056" s="1" t="n">
        <f aca="false">B2056/B2055-1</f>
        <v>0.00689607330585851</v>
      </c>
      <c r="G2056" s="1" t="n">
        <f aca="false">C2056/C2055-1</f>
        <v>4.85330874324674E-005</v>
      </c>
    </row>
    <row r="2057" customFormat="false" ht="15" hidden="false" customHeight="false" outlineLevel="0" collapsed="false">
      <c r="A2057" s="1" t="s">
        <v>2064</v>
      </c>
      <c r="B2057" s="5" t="n">
        <v>32.5075</v>
      </c>
      <c r="C2057" s="5" t="n">
        <v>12.3641</v>
      </c>
      <c r="D2057" s="1" t="n">
        <f aca="false">LN(B2057/B2056)</f>
        <v>0.0178496636191773</v>
      </c>
      <c r="E2057" s="1" t="n">
        <f aca="false">LN(C2057/C2056)</f>
        <v>6.47055493323378E-005</v>
      </c>
      <c r="F2057" s="1" t="n">
        <f aca="false">B2057/B2056-1</f>
        <v>0.0180099209580238</v>
      </c>
      <c r="G2057" s="1" t="n">
        <f aca="false">C2057/C2056-1</f>
        <v>6.47076427815474E-005</v>
      </c>
    </row>
    <row r="2058" customFormat="false" ht="15" hidden="false" customHeight="false" outlineLevel="0" collapsed="false">
      <c r="A2058" s="1" t="s">
        <v>2065</v>
      </c>
      <c r="B2058" s="5" t="n">
        <v>32.6155</v>
      </c>
      <c r="C2058" s="5" t="n">
        <v>12.365</v>
      </c>
      <c r="D2058" s="1" t="n">
        <f aca="false">LN(B2058/B2057)</f>
        <v>0.00331680355667437</v>
      </c>
      <c r="E2058" s="1" t="n">
        <f aca="false">LN(C2058/C2057)</f>
        <v>7.27887388053704E-005</v>
      </c>
      <c r="F2058" s="1" t="n">
        <f aca="false">B2058/B2057-1</f>
        <v>0.0033223102360993</v>
      </c>
      <c r="G2058" s="1" t="n">
        <f aca="false">C2058/C2057-1</f>
        <v>7.27913879698949E-005</v>
      </c>
    </row>
    <row r="2059" customFormat="false" ht="15" hidden="false" customHeight="false" outlineLevel="0" collapsed="false">
      <c r="A2059" s="1" t="s">
        <v>2066</v>
      </c>
      <c r="B2059" s="5" t="n">
        <v>32.8201</v>
      </c>
      <c r="C2059" s="5" t="n">
        <v>12.3657</v>
      </c>
      <c r="D2059" s="1" t="n">
        <f aca="false">LN(B2059/B2058)</f>
        <v>0.0062534970798988</v>
      </c>
      <c r="E2059" s="1" t="n">
        <f aca="false">LN(C2059/C2058)</f>
        <v>5.66098007891518E-005</v>
      </c>
      <c r="F2059" s="1" t="n">
        <f aca="false">B2059/B2058-1</f>
        <v>0.00627309101500817</v>
      </c>
      <c r="G2059" s="1" t="n">
        <f aca="false">C2059/C2058-1</f>
        <v>5.66114031541609E-005</v>
      </c>
    </row>
    <row r="2060" customFormat="false" ht="15" hidden="false" customHeight="false" outlineLevel="0" collapsed="false">
      <c r="A2060" s="1" t="s">
        <v>2067</v>
      </c>
      <c r="B2060" s="5" t="n">
        <v>32.7568</v>
      </c>
      <c r="C2060" s="5" t="n">
        <v>12.3661</v>
      </c>
      <c r="D2060" s="1" t="n">
        <f aca="false">LN(B2060/B2059)</f>
        <v>-0.00193055846373389</v>
      </c>
      <c r="E2060" s="1" t="n">
        <f aca="false">LN(C2060/C2059)</f>
        <v>3.23470188205415E-005</v>
      </c>
      <c r="F2060" s="1" t="n">
        <f aca="false">B2060/B2059-1</f>
        <v>-0.00192869613438096</v>
      </c>
      <c r="G2060" s="1" t="n">
        <f aca="false">C2060/C2059-1</f>
        <v>3.23475419909958E-005</v>
      </c>
    </row>
    <row r="2061" customFormat="false" ht="15" hidden="false" customHeight="false" outlineLevel="0" collapsed="false">
      <c r="A2061" s="1" t="s">
        <v>2068</v>
      </c>
      <c r="B2061" s="5" t="n">
        <v>32.3417</v>
      </c>
      <c r="C2061" s="5" t="n">
        <v>12.3663</v>
      </c>
      <c r="D2061" s="1" t="n">
        <f aca="false">LN(B2061/B2060)</f>
        <v>-0.0127531548676474</v>
      </c>
      <c r="E2061" s="1" t="n">
        <f aca="false">LN(C2061/C2060)</f>
        <v>1.61731170452016E-005</v>
      </c>
      <c r="F2061" s="1" t="n">
        <f aca="false">B2061/B2060-1</f>
        <v>-0.012672177990524</v>
      </c>
      <c r="G2061" s="1" t="n">
        <f aca="false">C2061/C2060-1</f>
        <v>1.61732478307641E-005</v>
      </c>
    </row>
    <row r="2062" customFormat="false" ht="15" hidden="false" customHeight="false" outlineLevel="0" collapsed="false">
      <c r="A2062" s="1" t="s">
        <v>2069</v>
      </c>
      <c r="B2062" s="5" t="n">
        <v>32.3368</v>
      </c>
      <c r="C2062" s="5" t="n">
        <v>12.3667</v>
      </c>
      <c r="D2062" s="1" t="n">
        <f aca="false">LN(B2062/B2061)</f>
        <v>-0.000151518665688892</v>
      </c>
      <c r="E2062" s="1" t="n">
        <f aca="false">LN(C2062/C2061)</f>
        <v>3.23454494023079E-005</v>
      </c>
      <c r="F2062" s="1" t="n">
        <f aca="false">B2062/B2061-1</f>
        <v>-0.000151507187315603</v>
      </c>
      <c r="G2062" s="1" t="n">
        <f aca="false">C2062/C2061-1</f>
        <v>3.23459725219966E-005</v>
      </c>
    </row>
    <row r="2063" customFormat="false" ht="15" hidden="false" customHeight="false" outlineLevel="0" collapsed="false">
      <c r="A2063" s="1" t="s">
        <v>2070</v>
      </c>
      <c r="B2063" s="5" t="n">
        <v>32.5263</v>
      </c>
      <c r="C2063" s="5" t="n">
        <v>12.3675</v>
      </c>
      <c r="D2063" s="1" t="n">
        <f aca="false">LN(B2063/B2062)</f>
        <v>0.00584309227139848</v>
      </c>
      <c r="E2063" s="1" t="n">
        <f aca="false">LN(C2063/C2062)</f>
        <v>6.46877602897261E-005</v>
      </c>
      <c r="F2063" s="1" t="n">
        <f aca="false">B2063/B2062-1</f>
        <v>0.00586019643254754</v>
      </c>
      <c r="G2063" s="1" t="n">
        <f aca="false">C2063/C2062-1</f>
        <v>6.46898525880069E-005</v>
      </c>
    </row>
    <row r="2064" customFormat="false" ht="15" hidden="false" customHeight="false" outlineLevel="0" collapsed="false">
      <c r="A2064" s="1" t="s">
        <v>2071</v>
      </c>
      <c r="B2064" s="5" t="n">
        <v>32.5789</v>
      </c>
      <c r="C2064" s="5" t="n">
        <v>12.3678</v>
      </c>
      <c r="D2064" s="1" t="n">
        <f aca="false">LN(B2064/B2063)</f>
        <v>0.0016158467048626</v>
      </c>
      <c r="E2064" s="1" t="n">
        <f aca="false">LN(C2064/C2063)</f>
        <v>2.42568313313571E-005</v>
      </c>
      <c r="F2064" s="1" t="n">
        <f aca="false">B2064/B2063-1</f>
        <v>0.00161715288858555</v>
      </c>
      <c r="G2064" s="1" t="n">
        <f aca="false">C2064/C2063-1</f>
        <v>2.42571255306689E-005</v>
      </c>
    </row>
    <row r="2065" customFormat="false" ht="15" hidden="false" customHeight="false" outlineLevel="0" collapsed="false">
      <c r="A2065" s="1" t="s">
        <v>2072</v>
      </c>
      <c r="B2065" s="5" t="n">
        <v>32.555</v>
      </c>
      <c r="C2065" s="5" t="n">
        <v>12.3682</v>
      </c>
      <c r="D2065" s="1" t="n">
        <f aca="false">LN(B2065/B2064)</f>
        <v>-0.000733872870276408</v>
      </c>
      <c r="E2065" s="1" t="n">
        <f aca="false">LN(C2065/C2064)</f>
        <v>3.23415265228253E-005</v>
      </c>
      <c r="F2065" s="1" t="n">
        <f aca="false">B2065/B2064-1</f>
        <v>-0.000733603651443038</v>
      </c>
      <c r="G2065" s="1" t="n">
        <f aca="false">C2065/C2064-1</f>
        <v>3.23420495156324E-005</v>
      </c>
    </row>
    <row r="2066" customFormat="false" ht="15" hidden="false" customHeight="false" outlineLevel="0" collapsed="false">
      <c r="A2066" s="1" t="s">
        <v>2073</v>
      </c>
      <c r="B2066" s="5" t="n">
        <v>32.5959</v>
      </c>
      <c r="C2066" s="5" t="n">
        <v>12.3687</v>
      </c>
      <c r="D2066" s="1" t="n">
        <f aca="false">LN(B2066/B2065)</f>
        <v>0.00125554690335494</v>
      </c>
      <c r="E2066" s="1" t="n">
        <f aca="false">LN(C2066/C2065)</f>
        <v>4.04254373076827E-005</v>
      </c>
      <c r="F2066" s="1" t="n">
        <f aca="false">B2066/B2065-1</f>
        <v>0.00125633543234538</v>
      </c>
      <c r="G2066" s="1" t="n">
        <f aca="false">C2066/C2065-1</f>
        <v>4.04262544266842E-005</v>
      </c>
    </row>
    <row r="2067" customFormat="false" ht="15" hidden="false" customHeight="false" outlineLevel="0" collapsed="false">
      <c r="A2067" s="1" t="s">
        <v>2074</v>
      </c>
      <c r="B2067" s="5" t="n">
        <v>33.157</v>
      </c>
      <c r="C2067" s="5" t="n">
        <v>12.3691</v>
      </c>
      <c r="D2067" s="1" t="n">
        <f aca="false">LN(B2067/B2066)</f>
        <v>0.0170673421358954</v>
      </c>
      <c r="E2067" s="1" t="n">
        <f aca="false">LN(C2067/C2066)</f>
        <v>3.23391732518594E-005</v>
      </c>
      <c r="F2067" s="1" t="n">
        <f aca="false">B2067/B2066-1</f>
        <v>0.0172138213701722</v>
      </c>
      <c r="G2067" s="1" t="n">
        <f aca="false">C2067/C2066-1</f>
        <v>3.23396961685596E-005</v>
      </c>
    </row>
    <row r="2068" customFormat="false" ht="15" hidden="false" customHeight="false" outlineLevel="0" collapsed="false">
      <c r="A2068" s="1" t="s">
        <v>2075</v>
      </c>
      <c r="B2068" s="5" t="n">
        <v>33.3205</v>
      </c>
      <c r="C2068" s="5" t="n">
        <v>12.37</v>
      </c>
      <c r="D2068" s="1" t="n">
        <f aca="false">LN(B2068/B2067)</f>
        <v>0.00491896746037857</v>
      </c>
      <c r="E2068" s="1" t="n">
        <f aca="false">LN(C2068/C2067)</f>
        <v>7.27593162561838E-005</v>
      </c>
      <c r="F2068" s="1" t="n">
        <f aca="false">B2068/B2067-1</f>
        <v>0.00493108544198839</v>
      </c>
      <c r="G2068" s="1" t="n">
        <f aca="false">C2068/C2067-1</f>
        <v>7.2761963279433E-005</v>
      </c>
    </row>
    <row r="2069" customFormat="false" ht="15" hidden="false" customHeight="false" outlineLevel="0" collapsed="false">
      <c r="A2069" s="1" t="s">
        <v>2076</v>
      </c>
      <c r="B2069" s="5" t="n">
        <v>33.5401</v>
      </c>
      <c r="C2069" s="5" t="n">
        <v>12.3709</v>
      </c>
      <c r="D2069" s="1" t="n">
        <f aca="false">LN(B2069/B2068)</f>
        <v>0.00656891471677355</v>
      </c>
      <c r="E2069" s="1" t="n">
        <f aca="false">LN(C2069/C2068)</f>
        <v>7.2754022723367E-005</v>
      </c>
      <c r="F2069" s="1" t="n">
        <f aca="false">B2069/B2068-1</f>
        <v>0.00659053735688242</v>
      </c>
      <c r="G2069" s="1" t="n">
        <f aca="false">C2069/C2068-1</f>
        <v>7.27566693614623E-005</v>
      </c>
    </row>
    <row r="2070" customFormat="false" ht="15" hidden="false" customHeight="false" outlineLevel="0" collapsed="false">
      <c r="A2070" s="1" t="s">
        <v>2077</v>
      </c>
      <c r="B2070" s="5" t="n">
        <v>33.5127</v>
      </c>
      <c r="C2070" s="5" t="n">
        <v>12.3713</v>
      </c>
      <c r="D2070" s="1" t="n">
        <f aca="false">LN(B2070/B2069)</f>
        <v>-0.000817266438540765</v>
      </c>
      <c r="E2070" s="1" t="n">
        <f aca="false">LN(C2070/C2069)</f>
        <v>3.23334222529667E-005</v>
      </c>
      <c r="F2070" s="1" t="n">
        <f aca="false">B2070/B2069-1</f>
        <v>-0.0008169325672851</v>
      </c>
      <c r="G2070" s="1" t="n">
        <f aca="false">C2070/C2069-1</f>
        <v>3.23339449836979E-005</v>
      </c>
    </row>
    <row r="2071" customFormat="false" ht="15" hidden="false" customHeight="false" outlineLevel="0" collapsed="false">
      <c r="A2071" s="1" t="s">
        <v>2078</v>
      </c>
      <c r="B2071" s="5" t="n">
        <v>33.186</v>
      </c>
      <c r="C2071" s="5" t="n">
        <v>12.3717</v>
      </c>
      <c r="D2071" s="1" t="n">
        <f aca="false">LN(B2071/B2070)</f>
        <v>-0.00979637122609087</v>
      </c>
      <c r="E2071" s="1" t="n">
        <f aca="false">LN(C2071/C2070)</f>
        <v>3.23323768368198E-005</v>
      </c>
      <c r="F2071" s="1" t="n">
        <f aca="false">B2071/B2070-1</f>
        <v>-0.0097485430896348</v>
      </c>
      <c r="G2071" s="1" t="n">
        <f aca="false">C2071/C2070-1</f>
        <v>3.23328995337491E-005</v>
      </c>
    </row>
    <row r="2072" customFormat="false" ht="15" hidden="false" customHeight="false" outlineLevel="0" collapsed="false">
      <c r="A2072" s="1" t="s">
        <v>2079</v>
      </c>
      <c r="B2072" s="5" t="n">
        <v>33.414</v>
      </c>
      <c r="C2072" s="5" t="n">
        <v>12.372</v>
      </c>
      <c r="D2072" s="1" t="n">
        <f aca="false">LN(B2072/B2071)</f>
        <v>0.0068468735949906</v>
      </c>
      <c r="E2072" s="1" t="n">
        <f aca="false">LN(C2072/C2071)</f>
        <v>2.42485966136591E-005</v>
      </c>
      <c r="F2072" s="1" t="n">
        <f aca="false">B2072/B2071-1</f>
        <v>0.00687036702223831</v>
      </c>
      <c r="G2072" s="1" t="n">
        <f aca="false">C2072/C2071-1</f>
        <v>2.42488906132543E-005</v>
      </c>
    </row>
    <row r="2073" customFormat="false" ht="15" hidden="false" customHeight="false" outlineLevel="0" collapsed="false">
      <c r="A2073" s="1" t="s">
        <v>2080</v>
      </c>
      <c r="B2073" s="5" t="n">
        <v>33.3699</v>
      </c>
      <c r="C2073" s="5" t="n">
        <v>12.3732</v>
      </c>
      <c r="D2073" s="1" t="n">
        <f aca="false">LN(B2073/B2072)</f>
        <v>-0.00132067778042004</v>
      </c>
      <c r="E2073" s="1" t="n">
        <f aca="false">LN(C2073/C2072)</f>
        <v>9.69885069379927E-005</v>
      </c>
      <c r="F2073" s="1" t="n">
        <f aca="false">B2073/B2072-1</f>
        <v>-0.00131980606931226</v>
      </c>
      <c r="G2073" s="1" t="n">
        <f aca="false">C2073/C2072-1</f>
        <v>9.69932104752935E-005</v>
      </c>
    </row>
    <row r="2074" customFormat="false" ht="15" hidden="false" customHeight="false" outlineLevel="0" collapsed="false">
      <c r="A2074" s="1" t="s">
        <v>2081</v>
      </c>
      <c r="B2074" s="5" t="n">
        <v>33.4428</v>
      </c>
      <c r="C2074" s="5" t="n">
        <v>12.3736</v>
      </c>
      <c r="D2074" s="1" t="n">
        <f aca="false">LN(B2074/B2073)</f>
        <v>0.0021822207134176</v>
      </c>
      <c r="E2074" s="1" t="n">
        <f aca="false">LN(C2074/C2073)</f>
        <v>3.23274120317842E-005</v>
      </c>
      <c r="F2074" s="1" t="n">
        <f aca="false">B2074/B2073-1</f>
        <v>0.00218460348997152</v>
      </c>
      <c r="G2074" s="1" t="n">
        <f aca="false">C2074/C2073-1</f>
        <v>3.23279345681993E-005</v>
      </c>
    </row>
    <row r="2075" customFormat="false" ht="15" hidden="false" customHeight="false" outlineLevel="0" collapsed="false">
      <c r="A2075" s="1" t="s">
        <v>2082</v>
      </c>
      <c r="B2075" s="5" t="n">
        <v>33.4227</v>
      </c>
      <c r="C2075" s="5" t="n">
        <v>12.3743</v>
      </c>
      <c r="D2075" s="1" t="n">
        <f aca="false">LN(B2075/B2074)</f>
        <v>-0.000601206918528338</v>
      </c>
      <c r="E2075" s="1" t="n">
        <f aca="false">LN(C2075/C2074)</f>
        <v>5.65704564983357E-005</v>
      </c>
      <c r="F2075" s="1" t="n">
        <f aca="false">B2075/B2074-1</f>
        <v>-0.000601026229861135</v>
      </c>
      <c r="G2075" s="1" t="n">
        <f aca="false">C2075/C2074-1</f>
        <v>5.65720566367833E-005</v>
      </c>
    </row>
    <row r="2076" customFormat="false" ht="15" hidden="false" customHeight="false" outlineLevel="0" collapsed="false">
      <c r="A2076" s="1" t="s">
        <v>2083</v>
      </c>
      <c r="B2076" s="5" t="n">
        <v>33.8449</v>
      </c>
      <c r="C2076" s="5" t="n">
        <v>12.3749</v>
      </c>
      <c r="D2076" s="1" t="n">
        <f aca="false">LN(B2076/B2075)</f>
        <v>0.0125530134599692</v>
      </c>
      <c r="E2076" s="1" t="n">
        <f aca="false">LN(C2076/C2075)</f>
        <v>4.84864157319742E-005</v>
      </c>
      <c r="F2076" s="1" t="n">
        <f aca="false">B2076/B2075-1</f>
        <v>0.0126321332507549</v>
      </c>
      <c r="G2076" s="1" t="n">
        <f aca="false">C2076/C2075-1</f>
        <v>4.84875912172278E-005</v>
      </c>
    </row>
    <row r="2077" customFormat="false" ht="15" hidden="false" customHeight="false" outlineLevel="0" collapsed="false">
      <c r="A2077" s="1" t="s">
        <v>2084</v>
      </c>
      <c r="B2077" s="5" t="n">
        <v>34.1447</v>
      </c>
      <c r="C2077" s="5" t="n">
        <v>12.3764</v>
      </c>
      <c r="D2077" s="1" t="n">
        <f aca="false">LN(B2077/B2076)</f>
        <v>0.0088190530049777</v>
      </c>
      <c r="E2077" s="1" t="n">
        <f aca="false">LN(C2077/C2076)</f>
        <v>0.000121205754997703</v>
      </c>
      <c r="F2077" s="1" t="n">
        <f aca="false">B2077/B2076-1</f>
        <v>0.00885805542341678</v>
      </c>
      <c r="G2077" s="1" t="n">
        <f aca="false">C2077/C2076-1</f>
        <v>0.000121213100712003</v>
      </c>
    </row>
    <row r="2078" customFormat="false" ht="15" hidden="false" customHeight="false" outlineLevel="0" collapsed="false">
      <c r="A2078" s="1" t="s">
        <v>2085</v>
      </c>
      <c r="B2078" s="5" t="n">
        <v>34.0319</v>
      </c>
      <c r="C2078" s="5" t="n">
        <v>12.377</v>
      </c>
      <c r="D2078" s="1" t="n">
        <f aca="false">LN(B2078/B2077)</f>
        <v>-0.00330905627234578</v>
      </c>
      <c r="E2078" s="1" t="n">
        <f aca="false">LN(C2078/C2077)</f>
        <v>4.84781888644177E-005</v>
      </c>
      <c r="F2078" s="1" t="n">
        <f aca="false">B2078/B2077-1</f>
        <v>-0.00330358737959335</v>
      </c>
      <c r="G2078" s="1" t="n">
        <f aca="false">C2078/C2077-1</f>
        <v>4.84793639508041E-005</v>
      </c>
    </row>
    <row r="2079" customFormat="false" ht="15" hidden="false" customHeight="false" outlineLevel="0" collapsed="false">
      <c r="A2079" s="1" t="s">
        <v>2086</v>
      </c>
      <c r="B2079" s="5" t="n">
        <v>33.4935</v>
      </c>
      <c r="C2079" s="5" t="n">
        <v>12.3772</v>
      </c>
      <c r="D2079" s="1" t="n">
        <f aca="false">LN(B2079/B2078)</f>
        <v>-0.0159469298886093</v>
      </c>
      <c r="E2079" s="1" t="n">
        <f aca="false">LN(C2079/C2078)</f>
        <v>1.61588740499677E-005</v>
      </c>
      <c r="F2079" s="1" t="n">
        <f aca="false">B2079/B2078-1</f>
        <v>-0.0158204508123262</v>
      </c>
      <c r="G2079" s="1" t="n">
        <f aca="false">C2079/C2078-1</f>
        <v>1.61590046052762E-005</v>
      </c>
    </row>
    <row r="2080" customFormat="false" ht="15" hidden="false" customHeight="false" outlineLevel="0" collapsed="false">
      <c r="A2080" s="1" t="s">
        <v>2087</v>
      </c>
      <c r="B2080" s="5" t="n">
        <v>33.527</v>
      </c>
      <c r="C2080" s="5" t="n">
        <v>12.3769</v>
      </c>
      <c r="D2080" s="1" t="n">
        <f aca="false">LN(B2080/B2079)</f>
        <v>0.000999694206696841</v>
      </c>
      <c r="E2080" s="1" t="n">
        <f aca="false">LN(C2080/C2079)</f>
        <v>-2.42384089920747E-005</v>
      </c>
      <c r="F2080" s="1" t="n">
        <f aca="false">B2080/B2079-1</f>
        <v>0.00100019406750573</v>
      </c>
      <c r="G2080" s="1" t="n">
        <f aca="false">C2080/C2079-1</f>
        <v>-2.42381152442128E-005</v>
      </c>
    </row>
    <row r="2081" customFormat="false" ht="15" hidden="false" customHeight="false" outlineLevel="0" collapsed="false">
      <c r="A2081" s="1" t="s">
        <v>2088</v>
      </c>
      <c r="B2081" s="5" t="n">
        <v>33.6493</v>
      </c>
      <c r="C2081" s="5" t="n">
        <v>12.378</v>
      </c>
      <c r="D2081" s="1" t="n">
        <f aca="false">LN(B2081/B2080)</f>
        <v>0.00364116913620529</v>
      </c>
      <c r="E2081" s="1" t="n">
        <f aca="false">LN(C2081/C2080)</f>
        <v>8.88712942265003E-005</v>
      </c>
      <c r="F2081" s="1" t="n">
        <f aca="false">B2081/B2080-1</f>
        <v>0.00364780624571237</v>
      </c>
      <c r="G2081" s="1" t="n">
        <f aca="false">C2081/C2080-1</f>
        <v>8.88752433969575E-005</v>
      </c>
    </row>
    <row r="2082" customFormat="false" ht="15" hidden="false" customHeight="false" outlineLevel="0" collapsed="false">
      <c r="A2082" s="1" t="s">
        <v>2089</v>
      </c>
      <c r="B2082" s="5" t="n">
        <v>33.302</v>
      </c>
      <c r="C2082" s="5" t="n">
        <v>12.3785</v>
      </c>
      <c r="D2082" s="1" t="n">
        <f aca="false">LN(B2082/B2081)</f>
        <v>-0.0103747982540247</v>
      </c>
      <c r="E2082" s="1" t="n">
        <f aca="false">LN(C2082/C2081)</f>
        <v>4.03934320334054E-005</v>
      </c>
      <c r="F2082" s="1" t="n">
        <f aca="false">B2082/B2081-1</f>
        <v>-0.0103211656706083</v>
      </c>
      <c r="G2082" s="1" t="n">
        <f aca="false">C2082/C2081-1</f>
        <v>4.03942478590658E-005</v>
      </c>
    </row>
    <row r="2083" customFormat="false" ht="15" hidden="false" customHeight="false" outlineLevel="0" collapsed="false">
      <c r="A2083" s="1" t="s">
        <v>2090</v>
      </c>
      <c r="B2083" s="5" t="n">
        <v>33.5177</v>
      </c>
      <c r="C2083" s="5" t="n">
        <v>12.3791</v>
      </c>
      <c r="D2083" s="1" t="n">
        <f aca="false">LN(B2083/B2082)</f>
        <v>0.00645620226499887</v>
      </c>
      <c r="E2083" s="1" t="n">
        <f aca="false">LN(C2083/C2082)</f>
        <v>4.84699647877589E-005</v>
      </c>
      <c r="F2083" s="1" t="n">
        <f aca="false">B2083/B2082-1</f>
        <v>0.00647708846315531</v>
      </c>
      <c r="G2083" s="1" t="n">
        <f aca="false">C2083/C2082-1</f>
        <v>4.84711394754811E-005</v>
      </c>
    </row>
    <row r="2084" customFormat="false" ht="15" hidden="false" customHeight="false" outlineLevel="0" collapsed="false">
      <c r="A2084" s="1" t="s">
        <v>2091</v>
      </c>
      <c r="B2084" s="5" t="n">
        <v>33.6248</v>
      </c>
      <c r="C2084" s="5" t="n">
        <v>12.3796</v>
      </c>
      <c r="D2084" s="1" t="n">
        <f aca="false">LN(B2084/B2083)</f>
        <v>0.00319023244099979</v>
      </c>
      <c r="E2084" s="1" t="n">
        <f aca="false">LN(C2084/C2083)</f>
        <v>4.03898427678381E-005</v>
      </c>
      <c r="F2084" s="1" t="n">
        <f aca="false">B2084/B2083-1</f>
        <v>0.00319532664830824</v>
      </c>
      <c r="G2084" s="1" t="n">
        <f aca="false">C2084/C2083-1</f>
        <v>4.03906584485192E-005</v>
      </c>
    </row>
    <row r="2085" customFormat="false" ht="15" hidden="false" customHeight="false" outlineLevel="0" collapsed="false">
      <c r="A2085" s="1" t="s">
        <v>2092</v>
      </c>
      <c r="B2085" s="5" t="n">
        <v>33.6283</v>
      </c>
      <c r="C2085" s="5" t="n">
        <v>12.3804</v>
      </c>
      <c r="D2085" s="1" t="n">
        <f aca="false">LN(B2085/B2084)</f>
        <v>0.000104084421481222</v>
      </c>
      <c r="E2085" s="1" t="n">
        <f aca="false">LN(C2085/C2084)</f>
        <v>6.4620355434542E-005</v>
      </c>
      <c r="F2085" s="1" t="n">
        <f aca="false">B2085/B2084-1</f>
        <v>0.000104089838452559</v>
      </c>
      <c r="G2085" s="1" t="n">
        <f aca="false">C2085/C2084-1</f>
        <v>6.46224433746845E-005</v>
      </c>
    </row>
    <row r="2086" customFormat="false" ht="15" hidden="false" customHeight="false" outlineLevel="0" collapsed="false">
      <c r="A2086" s="1" t="s">
        <v>2093</v>
      </c>
      <c r="B2086" s="5" t="n">
        <v>33.2671</v>
      </c>
      <c r="C2086" s="5" t="n">
        <v>12.3819</v>
      </c>
      <c r="D2086" s="1" t="n">
        <f aca="false">LN(B2086/B2085)</f>
        <v>-0.0107990537538305</v>
      </c>
      <c r="E2086" s="1" t="n">
        <f aca="false">LN(C2086/C2085)</f>
        <v>0.000121151912531178</v>
      </c>
      <c r="F2086" s="1" t="n">
        <f aca="false">B2086/B2085-1</f>
        <v>-0.0107409533042111</v>
      </c>
      <c r="G2086" s="1" t="n">
        <f aca="false">C2086/C2085-1</f>
        <v>0.000121159251720515</v>
      </c>
    </row>
    <row r="2087" customFormat="false" ht="15" hidden="false" customHeight="false" outlineLevel="0" collapsed="false">
      <c r="A2087" s="1" t="s">
        <v>2094</v>
      </c>
      <c r="B2087" s="5" t="n">
        <v>33.235</v>
      </c>
      <c r="C2087" s="5" t="n">
        <v>12.3824</v>
      </c>
      <c r="D2087" s="1" t="n">
        <f aca="false">LN(B2087/B2086)</f>
        <v>-0.000965383123029328</v>
      </c>
      <c r="E2087" s="1" t="n">
        <f aca="false">LN(C2087/C2086)</f>
        <v>4.03807093329885E-005</v>
      </c>
      <c r="F2087" s="1" t="n">
        <f aca="false">B2087/B2086-1</f>
        <v>-0.000964917290656508</v>
      </c>
      <c r="G2087" s="1" t="n">
        <f aca="false">C2087/C2086-1</f>
        <v>4.03815246448058E-005</v>
      </c>
    </row>
    <row r="2088" customFormat="false" ht="15" hidden="false" customHeight="false" outlineLevel="0" collapsed="false">
      <c r="A2088" s="1" t="s">
        <v>2095</v>
      </c>
      <c r="B2088" s="5" t="n">
        <v>33.4243</v>
      </c>
      <c r="C2088" s="5" t="n">
        <v>12.3832</v>
      </c>
      <c r="D2088" s="1" t="n">
        <f aca="false">LN(B2088/B2087)</f>
        <v>0.00567964286678945</v>
      </c>
      <c r="E2088" s="1" t="n">
        <f aca="false">LN(C2088/C2087)</f>
        <v>6.46057434731436E-005</v>
      </c>
      <c r="F2088" s="1" t="n">
        <f aca="false">B2088/B2087-1</f>
        <v>0.00569580261772229</v>
      </c>
      <c r="G2088" s="1" t="n">
        <f aca="false">C2088/C2087-1</f>
        <v>6.46078304691322E-005</v>
      </c>
    </row>
    <row r="2089" customFormat="false" ht="15" hidden="false" customHeight="false" outlineLevel="0" collapsed="false">
      <c r="A2089" s="1" t="s">
        <v>2096</v>
      </c>
      <c r="B2089" s="5" t="n">
        <v>33.1871</v>
      </c>
      <c r="C2089" s="5" t="n">
        <v>12.3835</v>
      </c>
      <c r="D2089" s="1" t="n">
        <f aca="false">LN(B2089/B2088)</f>
        <v>-0.00712193416150863</v>
      </c>
      <c r="E2089" s="1" t="n">
        <f aca="false">LN(C2089/C2088)</f>
        <v>2.42260777586742E-005</v>
      </c>
      <c r="F2089" s="1" t="n">
        <f aca="false">B2089/B2088-1</f>
        <v>-0.00709663328775778</v>
      </c>
      <c r="G2089" s="1" t="n">
        <f aca="false">C2089/C2088-1</f>
        <v>2.42263712124657E-005</v>
      </c>
    </row>
    <row r="2090" customFormat="false" ht="15" hidden="false" customHeight="false" outlineLevel="0" collapsed="false">
      <c r="A2090" s="1" t="s">
        <v>2097</v>
      </c>
      <c r="B2090" s="5" t="n">
        <v>33.3753</v>
      </c>
      <c r="C2090" s="5" t="n">
        <v>12.385</v>
      </c>
      <c r="D2090" s="1" t="n">
        <f aca="false">LN(B2090/B2089)</f>
        <v>0.00565485924523389</v>
      </c>
      <c r="E2090" s="1" t="n">
        <f aca="false">LN(C2090/C2089)</f>
        <v>0.000121121586033346</v>
      </c>
      <c r="F2090" s="1" t="n">
        <f aca="false">B2090/B2089-1</f>
        <v>0.00567087814241085</v>
      </c>
      <c r="G2090" s="1" t="n">
        <f aca="false">C2090/C2089-1</f>
        <v>0.000121128921548808</v>
      </c>
    </row>
    <row r="2091" customFormat="false" ht="15" hidden="false" customHeight="false" outlineLevel="0" collapsed="false">
      <c r="A2091" s="1" t="s">
        <v>2098</v>
      </c>
      <c r="B2091" s="5" t="n">
        <v>33.8169</v>
      </c>
      <c r="C2091" s="5" t="n">
        <v>12.3855</v>
      </c>
      <c r="D2091" s="1" t="n">
        <f aca="false">LN(B2091/B2090)</f>
        <v>0.013144572086564</v>
      </c>
      <c r="E2091" s="1" t="n">
        <f aca="false">LN(C2091/C2090)</f>
        <v>4.03706021329977E-005</v>
      </c>
      <c r="F2091" s="1" t="n">
        <f aca="false">B2091/B2090-1</f>
        <v>0.0132313417407481</v>
      </c>
      <c r="G2091" s="1" t="n">
        <f aca="false">C2091/C2090-1</f>
        <v>4.0371417036722E-005</v>
      </c>
    </row>
    <row r="2092" customFormat="false" ht="15" hidden="false" customHeight="false" outlineLevel="0" collapsed="false">
      <c r="A2092" s="1" t="s">
        <v>2099</v>
      </c>
      <c r="B2092" s="5" t="n">
        <v>33.837</v>
      </c>
      <c r="C2092" s="5" t="n">
        <v>12.3858</v>
      </c>
      <c r="D2092" s="1" t="n">
        <f aca="false">LN(B2092/B2091)</f>
        <v>0.000594200795265489</v>
      </c>
      <c r="E2092" s="1" t="n">
        <f aca="false">LN(C2092/C2091)</f>
        <v>2.4221579005925E-005</v>
      </c>
      <c r="F2092" s="1" t="n">
        <f aca="false">B2092/B2091-1</f>
        <v>0.000594377367529431</v>
      </c>
      <c r="G2092" s="1" t="n">
        <f aca="false">C2092/C2091-1</f>
        <v>2.42218723507381E-005</v>
      </c>
    </row>
    <row r="2093" customFormat="false" ht="15" hidden="false" customHeight="false" outlineLevel="0" collapsed="false">
      <c r="A2093" s="1" t="s">
        <v>2100</v>
      </c>
      <c r="B2093" s="5" t="n">
        <v>34.0445</v>
      </c>
      <c r="C2093" s="5" t="n">
        <v>12.3864</v>
      </c>
      <c r="D2093" s="1" t="n">
        <f aca="false">LN(B2093/B2092)</f>
        <v>0.00611361405678166</v>
      </c>
      <c r="E2093" s="1" t="n">
        <f aca="false">LN(C2093/C2092)</f>
        <v>4.84413980281637E-005</v>
      </c>
      <c r="F2093" s="1" t="n">
        <f aca="false">B2093/B2092-1</f>
        <v>0.00613234033750021</v>
      </c>
      <c r="G2093" s="1" t="n">
        <f aca="false">C2093/C2092-1</f>
        <v>4.84425713316305E-005</v>
      </c>
    </row>
    <row r="2094" customFormat="false" ht="15" hidden="false" customHeight="false" outlineLevel="0" collapsed="false">
      <c r="A2094" s="1" t="s">
        <v>2101</v>
      </c>
      <c r="B2094" s="5" t="n">
        <v>34.0484</v>
      </c>
      <c r="C2094" s="5" t="n">
        <v>12.387</v>
      </c>
      <c r="D2094" s="1" t="n">
        <f aca="false">LN(B2094/B2093)</f>
        <v>0.000114549387800166</v>
      </c>
      <c r="E2094" s="1" t="n">
        <f aca="false">LN(C2094/C2093)</f>
        <v>4.84390515728901E-005</v>
      </c>
      <c r="F2094" s="1" t="n">
        <f aca="false">B2094/B2093-1</f>
        <v>0.000114555948831807</v>
      </c>
      <c r="G2094" s="1" t="n">
        <f aca="false">C2094/C2093-1</f>
        <v>4.84402247626914E-005</v>
      </c>
    </row>
    <row r="2095" customFormat="false" ht="15" hidden="false" customHeight="false" outlineLevel="0" collapsed="false">
      <c r="A2095" s="1" t="s">
        <v>2102</v>
      </c>
      <c r="B2095" s="5" t="n">
        <v>34.0614</v>
      </c>
      <c r="C2095" s="5" t="n">
        <v>12.3886</v>
      </c>
      <c r="D2095" s="1" t="n">
        <f aca="false">LN(B2095/B2094)</f>
        <v>0.000381736553561049</v>
      </c>
      <c r="E2095" s="1" t="n">
        <f aca="false">LN(C2095/C2094)</f>
        <v>0.00012915933436313</v>
      </c>
      <c r="F2095" s="1" t="n">
        <f aca="false">B2095/B2094-1</f>
        <v>0.000381809424231383</v>
      </c>
      <c r="G2095" s="1" t="n">
        <f aca="false">C2095/C2094-1</f>
        <v>0.000129167675789077</v>
      </c>
    </row>
    <row r="2096" customFormat="false" ht="15" hidden="false" customHeight="false" outlineLevel="0" collapsed="false">
      <c r="A2096" s="1" t="s">
        <v>2103</v>
      </c>
      <c r="B2096" s="5" t="n">
        <v>34.1559</v>
      </c>
      <c r="C2096" s="5" t="n">
        <v>12.3892</v>
      </c>
      <c r="D2096" s="1" t="n">
        <f aca="false">LN(B2096/B2095)</f>
        <v>0.00277055997374614</v>
      </c>
      <c r="E2096" s="1" t="n">
        <f aca="false">LN(C2096/C2095)</f>
        <v>4.84304498476349E-005</v>
      </c>
      <c r="F2096" s="1" t="n">
        <f aca="false">B2096/B2095-1</f>
        <v>0.00277440152195751</v>
      </c>
      <c r="G2096" s="1" t="n">
        <f aca="false">C2096/C2095-1</f>
        <v>4.84316226208037E-005</v>
      </c>
    </row>
    <row r="2097" customFormat="false" ht="15" hidden="false" customHeight="false" outlineLevel="0" collapsed="false">
      <c r="A2097" s="1" t="s">
        <v>2104</v>
      </c>
      <c r="B2097" s="5" t="n">
        <v>34.2689</v>
      </c>
      <c r="C2097" s="5" t="n">
        <v>12.3897</v>
      </c>
      <c r="D2097" s="1" t="n">
        <f aca="false">LN(B2097/B2096)</f>
        <v>0.00330289902864858</v>
      </c>
      <c r="E2097" s="1" t="n">
        <f aca="false">LN(C2097/C2096)</f>
        <v>4.03569165756084E-005</v>
      </c>
      <c r="F2097" s="1" t="n">
        <f aca="false">B2097/B2096-1</f>
        <v>0.00330835960990639</v>
      </c>
      <c r="G2097" s="1" t="n">
        <f aca="false">C2097/C2096-1</f>
        <v>4.0357730926921E-005</v>
      </c>
    </row>
    <row r="2098" customFormat="false" ht="15" hidden="false" customHeight="false" outlineLevel="0" collapsed="false">
      <c r="A2098" s="1" t="s">
        <v>2105</v>
      </c>
      <c r="B2098" s="5" t="n">
        <v>33.9382</v>
      </c>
      <c r="C2098" s="5" t="n">
        <v>12.3904</v>
      </c>
      <c r="D2098" s="1" t="n">
        <f aca="false">LN(B2098/B2097)</f>
        <v>-0.00969701369397599</v>
      </c>
      <c r="E2098" s="1" t="n">
        <f aca="false">LN(C2098/C2097)</f>
        <v>5.64969471622476E-005</v>
      </c>
      <c r="F2098" s="1" t="n">
        <f aca="false">B2098/B2097-1</f>
        <v>-0.00965014926069996</v>
      </c>
      <c r="G2098" s="1" t="n">
        <f aca="false">C2098/C2097-1</f>
        <v>5.64985431448228E-005</v>
      </c>
    </row>
    <row r="2099" customFormat="false" ht="15" hidden="false" customHeight="false" outlineLevel="0" collapsed="false">
      <c r="A2099" s="1" t="s">
        <v>2106</v>
      </c>
      <c r="B2099" s="5" t="n">
        <v>33.9349</v>
      </c>
      <c r="C2099" s="5" t="n">
        <v>12.3908</v>
      </c>
      <c r="D2099" s="1" t="n">
        <f aca="false">LN(B2099/B2098)</f>
        <v>-9.7240291149284E-005</v>
      </c>
      <c r="E2099" s="1" t="n">
        <f aca="false">LN(C2099/C2098)</f>
        <v>3.22825367647149E-005</v>
      </c>
      <c r="F2099" s="1" t="n">
        <f aca="false">B2099/B2098-1</f>
        <v>-9.72355634654143E-005</v>
      </c>
      <c r="G2099" s="1" t="n">
        <f aca="false">C2099/C2098-1</f>
        <v>3.22830578514122E-005</v>
      </c>
    </row>
    <row r="2100" customFormat="false" ht="15" hidden="false" customHeight="false" outlineLevel="0" collapsed="false">
      <c r="A2100" s="1" t="s">
        <v>2107</v>
      </c>
      <c r="B2100" s="5" t="n">
        <v>33.6331</v>
      </c>
      <c r="C2100" s="5" t="n">
        <v>12.3918</v>
      </c>
      <c r="D2100" s="1" t="n">
        <f aca="false">LN(B2100/B2099)</f>
        <v>-0.00893328223585572</v>
      </c>
      <c r="E2100" s="1" t="n">
        <f aca="false">LN(C2100/C2099)</f>
        <v>8.07017827461696E-005</v>
      </c>
      <c r="F2100" s="1" t="n">
        <f aca="false">B2100/B2099-1</f>
        <v>-0.00889349902312964</v>
      </c>
      <c r="G2100" s="1" t="n">
        <f aca="false">C2100/C2099-1</f>
        <v>8.07050392226394E-005</v>
      </c>
    </row>
    <row r="2101" customFormat="false" ht="15" hidden="false" customHeight="false" outlineLevel="0" collapsed="false">
      <c r="A2101" s="1" t="s">
        <v>2108</v>
      </c>
      <c r="B2101" s="5" t="n">
        <v>33.5837</v>
      </c>
      <c r="C2101" s="5" t="n">
        <v>12.392</v>
      </c>
      <c r="D2101" s="1" t="n">
        <f aca="false">LN(B2101/B2100)</f>
        <v>-0.00146987089222165</v>
      </c>
      <c r="E2101" s="1" t="n">
        <f aca="false">LN(C2101/C2100)</f>
        <v>1.61395750452669E-005</v>
      </c>
      <c r="F2101" s="1" t="n">
        <f aca="false">B2101/B2100-1</f>
        <v>-0.00146879116108833</v>
      </c>
      <c r="G2101" s="1" t="n">
        <f aca="false">C2101/C2100-1</f>
        <v>1.6139705288909E-005</v>
      </c>
    </row>
    <row r="2102" customFormat="false" ht="15" hidden="false" customHeight="false" outlineLevel="0" collapsed="false">
      <c r="A2102" s="1" t="s">
        <v>2109</v>
      </c>
      <c r="B2102" s="5" t="n">
        <v>33.6666</v>
      </c>
      <c r="C2102" s="5" t="n">
        <v>12.3927</v>
      </c>
      <c r="D2102" s="1" t="n">
        <f aca="false">LN(B2102/B2101)</f>
        <v>0.00246541775994505</v>
      </c>
      <c r="E2102" s="1" t="n">
        <f aca="false">LN(C2102/C2101)</f>
        <v>5.64864614205984E-005</v>
      </c>
      <c r="F2102" s="1" t="n">
        <f aca="false">B2102/B2101-1</f>
        <v>0.00246845940143592</v>
      </c>
      <c r="G2102" s="1" t="n">
        <f aca="false">C2102/C2101-1</f>
        <v>5.64880568107995E-005</v>
      </c>
    </row>
    <row r="2103" customFormat="false" ht="15" hidden="false" customHeight="false" outlineLevel="0" collapsed="false">
      <c r="A2103" s="1" t="s">
        <v>2110</v>
      </c>
      <c r="B2103" s="5" t="n">
        <v>33.6753</v>
      </c>
      <c r="C2103" s="5" t="n">
        <v>12.3932</v>
      </c>
      <c r="D2103" s="1" t="n">
        <f aca="false">LN(B2103/B2102)</f>
        <v>0.000258382969545028</v>
      </c>
      <c r="E2103" s="1" t="n">
        <f aca="false">LN(C2103/C2102)</f>
        <v>4.03455190305382E-005</v>
      </c>
      <c r="F2103" s="1" t="n">
        <f aca="false">B2103/B2102-1</f>
        <v>0.000258416353299706</v>
      </c>
      <c r="G2103" s="1" t="n">
        <f aca="false">C2103/C2102-1</f>
        <v>4.03463329219367E-005</v>
      </c>
    </row>
    <row r="2104" customFormat="false" ht="15" hidden="false" customHeight="false" outlineLevel="0" collapsed="false">
      <c r="A2104" s="1" t="s">
        <v>2111</v>
      </c>
      <c r="B2104" s="5" t="n">
        <v>33.571</v>
      </c>
      <c r="C2104" s="5" t="n">
        <v>12.3937</v>
      </c>
      <c r="D2104" s="1" t="n">
        <f aca="false">LN(B2104/B2103)</f>
        <v>-0.00310203189280116</v>
      </c>
      <c r="E2104" s="1" t="n">
        <f aca="false">LN(C2104/C2103)</f>
        <v>4.03438913351713E-005</v>
      </c>
      <c r="F2104" s="1" t="n">
        <f aca="false">B2104/B2103-1</f>
        <v>-0.00309722556294978</v>
      </c>
      <c r="G2104" s="1" t="n">
        <f aca="false">C2104/C2103-1</f>
        <v>4.03447051608996E-005</v>
      </c>
    </row>
    <row r="2105" customFormat="false" ht="15" hidden="false" customHeight="false" outlineLevel="0" collapsed="false">
      <c r="A2105" s="1" t="s">
        <v>2112</v>
      </c>
      <c r="B2105" s="5" t="n">
        <v>33.4246</v>
      </c>
      <c r="C2105" s="5" t="n">
        <v>12.3951</v>
      </c>
      <c r="D2105" s="1" t="n">
        <f aca="false">LN(B2105/B2104)</f>
        <v>-0.00437044322401375</v>
      </c>
      <c r="E2105" s="1" t="n">
        <f aca="false">LN(C2105/C2104)</f>
        <v>0.000112954237517459</v>
      </c>
      <c r="F2105" s="1" t="n">
        <f aca="false">B2105/B2104-1</f>
        <v>-0.00436090673497958</v>
      </c>
      <c r="G2105" s="1" t="n">
        <f aca="false">C2105/C2104-1</f>
        <v>0.000112960617087543</v>
      </c>
    </row>
    <row r="2106" customFormat="false" ht="15" hidden="false" customHeight="false" outlineLevel="0" collapsed="false">
      <c r="A2106" s="1" t="s">
        <v>2113</v>
      </c>
      <c r="B2106" s="5" t="n">
        <v>33.5819</v>
      </c>
      <c r="C2106" s="5" t="n">
        <v>12.3955</v>
      </c>
      <c r="D2106" s="1" t="n">
        <f aca="false">LN(B2106/B2105)</f>
        <v>0.00469507552122586</v>
      </c>
      <c r="E2106" s="1" t="n">
        <f aca="false">LN(C2106/C2105)</f>
        <v>3.22702960021661E-005</v>
      </c>
      <c r="F2106" s="1" t="n">
        <f aca="false">B2106/B2105-1</f>
        <v>0.00470611465806625</v>
      </c>
      <c r="G2106" s="1" t="n">
        <f aca="false">C2106/C2105-1</f>
        <v>3.22708166937691E-005</v>
      </c>
    </row>
    <row r="2107" customFormat="false" ht="15" hidden="false" customHeight="false" outlineLevel="0" collapsed="false">
      <c r="A2107" s="1" t="s">
        <v>2114</v>
      </c>
      <c r="B2107" s="5" t="n">
        <v>33.4513</v>
      </c>
      <c r="C2107" s="5" t="n">
        <v>12.3957</v>
      </c>
      <c r="D2107" s="1" t="n">
        <f aca="false">LN(B2107/B2106)</f>
        <v>-0.00389658155198884</v>
      </c>
      <c r="E2107" s="1" t="n">
        <f aca="false">LN(C2107/C2106)</f>
        <v>1.61347574949349E-005</v>
      </c>
      <c r="F2107" s="1" t="n">
        <f aca="false">B2107/B2106-1</f>
        <v>-0.00388899972902057</v>
      </c>
      <c r="G2107" s="1" t="n">
        <f aca="false">C2107/C2106-1</f>
        <v>1.61348876608347E-005</v>
      </c>
    </row>
    <row r="2108" customFormat="false" ht="15" hidden="false" customHeight="false" outlineLevel="0" collapsed="false">
      <c r="A2108" s="1" t="s">
        <v>2115</v>
      </c>
      <c r="B2108" s="5" t="n">
        <v>33.6705</v>
      </c>
      <c r="C2108" s="5" t="n">
        <v>12.3966</v>
      </c>
      <c r="D2108" s="1" t="n">
        <f aca="false">LN(B2108/B2107)</f>
        <v>0.00653143328243608</v>
      </c>
      <c r="E2108" s="1" t="n">
        <f aca="false">LN(C2108/C2107)</f>
        <v>7.26031873117701E-005</v>
      </c>
      <c r="F2108" s="1" t="n">
        <f aca="false">B2108/B2107-1</f>
        <v>0.00655280960680127</v>
      </c>
      <c r="G2108" s="1" t="n">
        <f aca="false">C2108/C2107-1</f>
        <v>7.26058229869597E-005</v>
      </c>
    </row>
    <row r="2109" customFormat="false" ht="15" hidden="false" customHeight="false" outlineLevel="0" collapsed="false">
      <c r="A2109" s="1" t="s">
        <v>2116</v>
      </c>
      <c r="B2109" s="5" t="n">
        <v>33.6232</v>
      </c>
      <c r="C2109" s="5" t="n">
        <v>12.3965</v>
      </c>
      <c r="D2109" s="1" t="n">
        <f aca="false">LN(B2109/B2108)</f>
        <v>-0.00140577818694972</v>
      </c>
      <c r="E2109" s="1" t="n">
        <f aca="false">LN(C2109/C2108)</f>
        <v>-8.06676051004621E-006</v>
      </c>
      <c r="F2109" s="1" t="n">
        <f aca="false">B2109/B2108-1</f>
        <v>-0.00140479054365095</v>
      </c>
      <c r="G2109" s="1" t="n">
        <f aca="false">C2109/C2108-1</f>
        <v>-8.06672797382113E-006</v>
      </c>
    </row>
    <row r="2110" customFormat="false" ht="15" hidden="false" customHeight="false" outlineLevel="0" collapsed="false">
      <c r="A2110" s="1" t="s">
        <v>2117</v>
      </c>
      <c r="B2110" s="5" t="n">
        <v>33.3091</v>
      </c>
      <c r="C2110" s="5" t="n">
        <v>12.3982</v>
      </c>
      <c r="D2110" s="1" t="n">
        <f aca="false">LN(B2110/B2109)</f>
        <v>-0.00938567196329128</v>
      </c>
      <c r="E2110" s="1" t="n">
        <f aca="false">LN(C2110/C2109)</f>
        <v>0.000137126079578566</v>
      </c>
      <c r="F2110" s="1" t="n">
        <f aca="false">B2110/B2109-1</f>
        <v>-0.00934176402008125</v>
      </c>
      <c r="G2110" s="1" t="n">
        <f aca="false">C2110/C2109-1</f>
        <v>0.000137135481789175</v>
      </c>
    </row>
    <row r="2111" customFormat="false" ht="15" hidden="false" customHeight="false" outlineLevel="0" collapsed="false">
      <c r="A2111" s="1" t="s">
        <v>2118</v>
      </c>
      <c r="B2111" s="5" t="n">
        <v>33.1803</v>
      </c>
      <c r="C2111" s="5" t="n">
        <v>12.3983</v>
      </c>
      <c r="D2111" s="1" t="n">
        <f aca="false">LN(B2111/B2110)</f>
        <v>-0.00387430661458803</v>
      </c>
      <c r="E2111" s="1" t="n">
        <f aca="false">LN(C2111/C2110)</f>
        <v>8.06565442729427E-006</v>
      </c>
      <c r="F2111" s="1" t="n">
        <f aca="false">B2111/B2110-1</f>
        <v>-0.00386681117172183</v>
      </c>
      <c r="G2111" s="1" t="n">
        <f aca="false">C2111/C2110-1</f>
        <v>8.06568695477239E-006</v>
      </c>
    </row>
    <row r="2112" customFormat="false" ht="15" hidden="false" customHeight="false" outlineLevel="0" collapsed="false">
      <c r="A2112" s="1" t="s">
        <v>2119</v>
      </c>
      <c r="B2112" s="5" t="n">
        <v>32.849</v>
      </c>
      <c r="C2112" s="5" t="n">
        <v>12.3988</v>
      </c>
      <c r="D2112" s="1" t="n">
        <f aca="false">LN(B2112/B2111)</f>
        <v>-0.0100350232457775</v>
      </c>
      <c r="E2112" s="1" t="n">
        <f aca="false">LN(C2112/C2111)</f>
        <v>4.03272963423759E-005</v>
      </c>
      <c r="F2112" s="1" t="n">
        <f aca="false">B2112/B2111-1</f>
        <v>-0.00998484040228709</v>
      </c>
      <c r="G2112" s="1" t="n">
        <f aca="false">C2112/C2111-1</f>
        <v>4.03281094987218E-005</v>
      </c>
    </row>
    <row r="2113" customFormat="false" ht="15" hidden="false" customHeight="false" outlineLevel="0" collapsed="false">
      <c r="A2113" s="1" t="s">
        <v>2120</v>
      </c>
      <c r="B2113" s="5" t="n">
        <v>32.9673</v>
      </c>
      <c r="C2113" s="5" t="n">
        <v>12.3995</v>
      </c>
      <c r="D2113" s="1" t="n">
        <f aca="false">LN(B2113/B2112)</f>
        <v>0.00359485803362572</v>
      </c>
      <c r="E2113" s="1" t="n">
        <f aca="false">LN(C2113/C2112)</f>
        <v>5.64554828506168E-005</v>
      </c>
      <c r="F2113" s="1" t="n">
        <f aca="false">B2113/B2112-1</f>
        <v>0.00360132728545781</v>
      </c>
      <c r="G2113" s="1" t="n">
        <f aca="false">C2113/C2112-1</f>
        <v>5.64570764913785E-005</v>
      </c>
    </row>
    <row r="2114" customFormat="false" ht="15" hidden="false" customHeight="false" outlineLevel="0" collapsed="false">
      <c r="A2114" s="1" t="s">
        <v>2121</v>
      </c>
      <c r="B2114" s="5" t="n">
        <v>33.1844</v>
      </c>
      <c r="C2114" s="5" t="n">
        <v>12.3997</v>
      </c>
      <c r="D2114" s="1" t="n">
        <f aca="false">LN(B2114/B2113)</f>
        <v>0.00656372487580458</v>
      </c>
      <c r="E2114" s="1" t="n">
        <f aca="false">LN(C2114/C2113)</f>
        <v>1.61295525664813E-005</v>
      </c>
      <c r="F2114" s="1" t="n">
        <f aca="false">B2114/B2113-1</f>
        <v>0.00658531332562862</v>
      </c>
      <c r="G2114" s="1" t="n">
        <f aca="false">C2114/C2113-1</f>
        <v>1.61296826484136E-005</v>
      </c>
    </row>
    <row r="2115" customFormat="false" ht="15" hidden="false" customHeight="false" outlineLevel="0" collapsed="false">
      <c r="A2115" s="1" t="s">
        <v>2122</v>
      </c>
      <c r="B2115" s="5" t="n">
        <v>32.8228</v>
      </c>
      <c r="C2115" s="5" t="n">
        <v>12.4008</v>
      </c>
      <c r="D2115" s="1" t="n">
        <f aca="false">LN(B2115/B2114)</f>
        <v>-0.010956490120441</v>
      </c>
      <c r="E2115" s="1" t="n">
        <f aca="false">LN(C2115/C2114)</f>
        <v>8.87078890120735E-005</v>
      </c>
      <c r="F2115" s="1" t="n">
        <f aca="false">B2115/B2114-1</f>
        <v>-0.0108966863948119</v>
      </c>
      <c r="G2115" s="1" t="n">
        <f aca="false">C2115/C2114-1</f>
        <v>8.87118236732043E-005</v>
      </c>
    </row>
    <row r="2116" customFormat="false" ht="15" hidden="false" customHeight="false" outlineLevel="0" collapsed="false">
      <c r="A2116" s="1" t="s">
        <v>2123</v>
      </c>
      <c r="B2116" s="5" t="n">
        <v>32.6068</v>
      </c>
      <c r="C2116" s="5" t="n">
        <v>12.4012</v>
      </c>
      <c r="D2116" s="1" t="n">
        <f aca="false">LN(B2116/B2115)</f>
        <v>-0.00660254027789001</v>
      </c>
      <c r="E2116" s="1" t="n">
        <f aca="false">LN(C2116/C2115)</f>
        <v>3.2255463271837E-005</v>
      </c>
      <c r="F2116" s="1" t="n">
        <f aca="false">B2116/B2115-1</f>
        <v>-0.00658079140109924</v>
      </c>
      <c r="G2116" s="1" t="n">
        <f aca="false">C2116/C2115-1</f>
        <v>3.22559834848857E-005</v>
      </c>
    </row>
    <row r="2117" customFormat="false" ht="15" hidden="false" customHeight="false" outlineLevel="0" collapsed="false">
      <c r="A2117" s="1" t="s">
        <v>2124</v>
      </c>
      <c r="B2117" s="5" t="n">
        <v>32.6895</v>
      </c>
      <c r="C2117" s="5" t="n">
        <v>12.4014</v>
      </c>
      <c r="D2117" s="1" t="n">
        <f aca="false">LN(B2117/B2116)</f>
        <v>0.00253306984377315</v>
      </c>
      <c r="E2117" s="1" t="n">
        <f aca="false">LN(C2117/C2116)</f>
        <v>1.61273414888503E-005</v>
      </c>
      <c r="F2117" s="1" t="n">
        <f aca="false">B2117/B2116-1</f>
        <v>0.00253628077578916</v>
      </c>
      <c r="G2117" s="1" t="n">
        <f aca="false">C2117/C2116-1</f>
        <v>1.61274715351212E-005</v>
      </c>
    </row>
    <row r="2118" customFormat="false" ht="15" hidden="false" customHeight="false" outlineLevel="0" collapsed="false">
      <c r="A2118" s="1" t="s">
        <v>2125</v>
      </c>
      <c r="B2118" s="5" t="n">
        <v>32.3408</v>
      </c>
      <c r="C2118" s="5" t="n">
        <v>12.4019</v>
      </c>
      <c r="D2118" s="1" t="n">
        <f aca="false">LN(B2118/B2117)</f>
        <v>-0.0107243344112421</v>
      </c>
      <c r="E2118" s="1" t="n">
        <f aca="false">LN(C2118/C2117)</f>
        <v>4.03172158596174E-005</v>
      </c>
      <c r="F2118" s="1" t="n">
        <f aca="false">B2118/B2117-1</f>
        <v>-0.0106670337570168</v>
      </c>
      <c r="G2118" s="1" t="n">
        <f aca="false">C2118/C2117-1</f>
        <v>4.03180286094873E-005</v>
      </c>
    </row>
    <row r="2119" customFormat="false" ht="15" hidden="false" customHeight="false" outlineLevel="0" collapsed="false">
      <c r="A2119" s="1" t="s">
        <v>2126</v>
      </c>
      <c r="B2119" s="5" t="n">
        <v>31.9658</v>
      </c>
      <c r="C2119" s="5" t="n">
        <v>12.4035</v>
      </c>
      <c r="D2119" s="1" t="n">
        <f aca="false">LN(B2119/B2118)</f>
        <v>-0.0116630097313957</v>
      </c>
      <c r="E2119" s="1" t="n">
        <f aca="false">LN(C2119/C2118)</f>
        <v>0.00012900416862614</v>
      </c>
      <c r="F2119" s="1" t="n">
        <f aca="false">B2119/B2118-1</f>
        <v>-0.0115952604759313</v>
      </c>
      <c r="G2119" s="1" t="n">
        <f aca="false">C2119/C2118-1</f>
        <v>0.000129012490021729</v>
      </c>
    </row>
    <row r="2120" customFormat="false" ht="15" hidden="false" customHeight="false" outlineLevel="0" collapsed="false">
      <c r="A2120" s="1" t="s">
        <v>2127</v>
      </c>
      <c r="B2120" s="5" t="n">
        <v>32.0273</v>
      </c>
      <c r="C2120" s="5" t="n">
        <v>12.4041</v>
      </c>
      <c r="D2120" s="1" t="n">
        <f aca="false">LN(B2120/B2119)</f>
        <v>0.00192208281623503</v>
      </c>
      <c r="E2120" s="1" t="n">
        <f aca="false">LN(C2120/C2119)</f>
        <v>4.83722730226579E-005</v>
      </c>
      <c r="F2120" s="1" t="n">
        <f aca="false">B2120/B2119-1</f>
        <v>0.00192393120147139</v>
      </c>
      <c r="G2120" s="1" t="n">
        <f aca="false">C2120/C2119-1</f>
        <v>4.8373442979921E-005</v>
      </c>
    </row>
    <row r="2121" customFormat="false" ht="15" hidden="false" customHeight="false" outlineLevel="0" collapsed="false">
      <c r="A2121" s="1" t="s">
        <v>2128</v>
      </c>
      <c r="B2121" s="5" t="n">
        <v>31.482</v>
      </c>
      <c r="C2121" s="5" t="n">
        <v>12.4043</v>
      </c>
      <c r="D2121" s="1" t="n">
        <f aca="false">LN(B2121/B2120)</f>
        <v>-0.0171727101628061</v>
      </c>
      <c r="E2121" s="1" t="n">
        <f aca="false">LN(C2121/C2120)</f>
        <v>1.61235710488504E-005</v>
      </c>
      <c r="F2121" s="1" t="n">
        <f aca="false">B2121/B2120-1</f>
        <v>-0.0170260996087712</v>
      </c>
      <c r="G2121" s="1" t="n">
        <f aca="false">C2121/C2120-1</f>
        <v>1.61237010343207E-005</v>
      </c>
    </row>
    <row r="2122" customFormat="false" ht="15" hidden="false" customHeight="false" outlineLevel="0" collapsed="false">
      <c r="A2122" s="1" t="s">
        <v>2129</v>
      </c>
      <c r="B2122" s="5" t="n">
        <v>31.5639</v>
      </c>
      <c r="C2122" s="5" t="n">
        <v>12.4047</v>
      </c>
      <c r="D2122" s="1" t="n">
        <f aca="false">LN(B2122/B2121)</f>
        <v>0.00259810855487482</v>
      </c>
      <c r="E2122" s="1" t="n">
        <f aca="false">LN(C2122/C2121)</f>
        <v>3.22463622101343E-005</v>
      </c>
      <c r="F2122" s="1" t="n">
        <f aca="false">B2122/B2121-1</f>
        <v>0.0026014865637507</v>
      </c>
      <c r="G2122" s="1" t="n">
        <f aca="false">C2122/C2121-1</f>
        <v>3.22468821296607E-005</v>
      </c>
    </row>
    <row r="2123" customFormat="false" ht="15" hidden="false" customHeight="false" outlineLevel="0" collapsed="false">
      <c r="A2123" s="1" t="s">
        <v>2130</v>
      </c>
      <c r="B2123" s="5" t="n">
        <v>31.6202</v>
      </c>
      <c r="C2123" s="5" t="n">
        <v>12.4055</v>
      </c>
      <c r="D2123" s="1" t="n">
        <f aca="false">LN(B2123/B2122)</f>
        <v>0.0017820943845074</v>
      </c>
      <c r="E2123" s="1" t="n">
        <f aca="false">LN(C2123/C2122)</f>
        <v>6.44896051040333E-005</v>
      </c>
      <c r="F2123" s="1" t="n">
        <f aca="false">B2123/B2122-1</f>
        <v>0.00178368325840594</v>
      </c>
      <c r="G2123" s="1" t="n">
        <f aca="false">C2123/C2122-1</f>
        <v>6.44916846033183E-005</v>
      </c>
    </row>
    <row r="2124" customFormat="false" ht="15" hidden="false" customHeight="false" outlineLevel="0" collapsed="false">
      <c r="A2124" s="1" t="s">
        <v>2131</v>
      </c>
      <c r="B2124" s="5" t="n">
        <v>31.2315</v>
      </c>
      <c r="C2124" s="5" t="n">
        <v>12.4062</v>
      </c>
      <c r="D2124" s="1" t="n">
        <f aca="false">LN(B2124/B2123)</f>
        <v>-0.0123689559907904</v>
      </c>
      <c r="E2124" s="1" t="n">
        <f aca="false">LN(C2124/C2123)</f>
        <v>5.64249930626429E-005</v>
      </c>
      <c r="F2124" s="1" t="n">
        <f aca="false">B2124/B2123-1</f>
        <v>-0.0122927748717592</v>
      </c>
      <c r="G2124" s="1" t="n">
        <f aca="false">C2124/C2123-1</f>
        <v>5.64265849825052E-005</v>
      </c>
    </row>
    <row r="2125" customFormat="false" ht="15" hidden="false" customHeight="false" outlineLevel="0" collapsed="false">
      <c r="A2125" s="1" t="s">
        <v>2132</v>
      </c>
      <c r="B2125" s="5" t="n">
        <v>31.1548</v>
      </c>
      <c r="C2125" s="5" t="n">
        <v>12.4075</v>
      </c>
      <c r="D2125" s="1" t="n">
        <f aca="false">LN(B2125/B2124)</f>
        <v>-0.00245887442096794</v>
      </c>
      <c r="E2125" s="1" t="n">
        <f aca="false">LN(C2125/C2124)</f>
        <v>0.000104780826816541</v>
      </c>
      <c r="F2125" s="1" t="n">
        <f aca="false">B2125/B2124-1</f>
        <v>-0.0024558538654883</v>
      </c>
      <c r="G2125" s="1" t="n">
        <f aca="false">C2125/C2124-1</f>
        <v>0.000104786316519112</v>
      </c>
    </row>
    <row r="2126" customFormat="false" ht="15" hidden="false" customHeight="false" outlineLevel="0" collapsed="false">
      <c r="A2126" s="1" t="s">
        <v>2133</v>
      </c>
      <c r="B2126" s="5" t="n">
        <v>31.2792</v>
      </c>
      <c r="C2126" s="5" t="n">
        <v>12.408</v>
      </c>
      <c r="D2126" s="1" t="n">
        <f aca="false">LN(B2126/B2125)</f>
        <v>0.00398501344222915</v>
      </c>
      <c r="E2126" s="1" t="n">
        <f aca="false">LN(C2126/C2125)</f>
        <v>4.02973947788747E-005</v>
      </c>
      <c r="F2126" s="1" t="n">
        <f aca="false">B2126/B2125-1</f>
        <v>0.00399296416603545</v>
      </c>
      <c r="G2126" s="1" t="n">
        <f aca="false">C2126/C2125-1</f>
        <v>4.02982067297941E-005</v>
      </c>
    </row>
    <row r="2127" customFormat="false" ht="15" hidden="false" customHeight="false" outlineLevel="0" collapsed="false">
      <c r="A2127" s="1" t="s">
        <v>2134</v>
      </c>
      <c r="B2127" s="5" t="n">
        <v>31.8287</v>
      </c>
      <c r="C2127" s="5" t="n">
        <v>12.4088</v>
      </c>
      <c r="D2127" s="1" t="n">
        <f aca="false">LN(B2127/B2126)</f>
        <v>0.0174150585844812</v>
      </c>
      <c r="E2127" s="1" t="n">
        <f aca="false">LN(C2127/C2126)</f>
        <v>6.44724541661938E-005</v>
      </c>
      <c r="F2127" s="1" t="n">
        <f aca="false">B2127/B2126-1</f>
        <v>0.0175675848487173</v>
      </c>
      <c r="G2127" s="1" t="n">
        <f aca="false">C2127/C2126-1</f>
        <v>6.44745325595331E-005</v>
      </c>
    </row>
    <row r="2128" customFormat="false" ht="15" hidden="false" customHeight="false" outlineLevel="0" collapsed="false">
      <c r="A2128" s="1" t="s">
        <v>2135</v>
      </c>
      <c r="B2128" s="5" t="n">
        <v>31.7115</v>
      </c>
      <c r="C2128" s="5" t="n">
        <v>12.4097</v>
      </c>
      <c r="D2128" s="1" t="n">
        <f aca="false">LN(B2128/B2127)</f>
        <v>-0.0036890073658044</v>
      </c>
      <c r="E2128" s="1" t="n">
        <f aca="false">LN(C2128/C2127)</f>
        <v>7.25265427318862E-005</v>
      </c>
      <c r="F2128" s="1" t="n">
        <f aca="false">B2128/B2127-1</f>
        <v>-0.00368221133756641</v>
      </c>
      <c r="G2128" s="1" t="n">
        <f aca="false">C2128/C2127-1</f>
        <v>7.25291728451705E-005</v>
      </c>
    </row>
    <row r="2129" customFormat="false" ht="15" hidden="false" customHeight="false" outlineLevel="0" collapsed="false">
      <c r="A2129" s="1" t="s">
        <v>2136</v>
      </c>
      <c r="B2129" s="5" t="n">
        <v>31.2275</v>
      </c>
      <c r="C2129" s="5" t="n">
        <v>12.4115</v>
      </c>
      <c r="D2129" s="1" t="n">
        <f aca="false">LN(B2129/B2128)</f>
        <v>-0.0153802742632323</v>
      </c>
      <c r="E2129" s="1" t="n">
        <f aca="false">LN(C2129/C2128)</f>
        <v>0.00014503730707267</v>
      </c>
      <c r="F2129" s="1" t="n">
        <f aca="false">B2129/B2128-1</f>
        <v>-0.0152626018952116</v>
      </c>
      <c r="G2129" s="1" t="n">
        <f aca="false">C2129/C2128-1</f>
        <v>0.000145047825491407</v>
      </c>
    </row>
    <row r="2130" customFormat="false" ht="15" hidden="false" customHeight="false" outlineLevel="0" collapsed="false">
      <c r="A2130" s="1" t="s">
        <v>2137</v>
      </c>
      <c r="B2130" s="5" t="n">
        <v>31.3804</v>
      </c>
      <c r="C2130" s="5" t="n">
        <v>12.412</v>
      </c>
      <c r="D2130" s="1" t="n">
        <f aca="false">LN(B2130/B2129)</f>
        <v>0.00488437733831134</v>
      </c>
      <c r="E2130" s="1" t="n">
        <f aca="false">LN(C2130/C2129)</f>
        <v>4.02844079254076E-005</v>
      </c>
      <c r="F2130" s="1" t="n">
        <f aca="false">B2130/B2129-1</f>
        <v>0.0048963253542551</v>
      </c>
      <c r="G2130" s="1" t="n">
        <f aca="false">C2130/C2129-1</f>
        <v>4.02852193530645E-005</v>
      </c>
    </row>
    <row r="2131" customFormat="false" ht="15" hidden="false" customHeight="false" outlineLevel="0" collapsed="false">
      <c r="A2131" s="1" t="s">
        <v>2138</v>
      </c>
      <c r="B2131" s="5" t="n">
        <v>31.6394</v>
      </c>
      <c r="C2131" s="5" t="n">
        <v>12.4126</v>
      </c>
      <c r="D2131" s="1" t="n">
        <f aca="false">LN(B2131/B2130)</f>
        <v>0.00821968518586059</v>
      </c>
      <c r="E2131" s="1" t="n">
        <f aca="false">LN(C2131/C2130)</f>
        <v>4.83391474679329E-005</v>
      </c>
      <c r="F2131" s="1" t="n">
        <f aca="false">B2131/B2130-1</f>
        <v>0.00825355954672324</v>
      </c>
      <c r="G2131" s="1" t="n">
        <f aca="false">C2131/C2130-1</f>
        <v>4.83403158233475E-005</v>
      </c>
    </row>
    <row r="2132" customFormat="false" ht="15" hidden="false" customHeight="false" outlineLevel="0" collapsed="false">
      <c r="A2132" s="1" t="s">
        <v>2139</v>
      </c>
      <c r="B2132" s="5" t="n">
        <v>31.273</v>
      </c>
      <c r="C2132" s="5" t="n">
        <v>12.4131</v>
      </c>
      <c r="D2132" s="1" t="n">
        <f aca="false">LN(B2132/B2131)</f>
        <v>-0.0116480739148661</v>
      </c>
      <c r="E2132" s="1" t="n">
        <f aca="false">LN(C2132/C2131)</f>
        <v>4.02808380080806E-005</v>
      </c>
      <c r="F2132" s="1" t="n">
        <f aca="false">B2132/B2131-1</f>
        <v>-0.0115804977338382</v>
      </c>
      <c r="G2132" s="1" t="n">
        <f aca="false">C2132/C2131-1</f>
        <v>4.02816492919289E-005</v>
      </c>
    </row>
    <row r="2133" customFormat="false" ht="15" hidden="false" customHeight="false" outlineLevel="0" collapsed="false">
      <c r="A2133" s="1" t="s">
        <v>2140</v>
      </c>
      <c r="B2133" s="5" t="n">
        <v>30.7757</v>
      </c>
      <c r="C2133" s="5" t="n">
        <v>12.4136</v>
      </c>
      <c r="D2133" s="1" t="n">
        <f aca="false">LN(B2133/B2132)</f>
        <v>-0.0160296879202217</v>
      </c>
      <c r="E2133" s="1" t="n">
        <f aca="false">LN(C2133/C2132)</f>
        <v>4.027921552756E-005</v>
      </c>
      <c r="F2133" s="1" t="n">
        <f aca="false">B2133/B2132-1</f>
        <v>-0.0159018962043935</v>
      </c>
      <c r="G2133" s="1" t="n">
        <f aca="false">C2133/C2132-1</f>
        <v>4.02800267460535E-005</v>
      </c>
    </row>
    <row r="2134" customFormat="false" ht="15" hidden="false" customHeight="false" outlineLevel="0" collapsed="false">
      <c r="A2134" s="1" t="s">
        <v>2141</v>
      </c>
      <c r="B2134" s="5" t="n">
        <v>30.563</v>
      </c>
      <c r="C2134" s="5" t="n">
        <v>12.4161</v>
      </c>
      <c r="D2134" s="1" t="n">
        <f aca="false">LN(B2134/B2133)</f>
        <v>-0.00693529052754238</v>
      </c>
      <c r="E2134" s="1" t="n">
        <f aca="false">LN(C2134/C2133)</f>
        <v>0.000201371745002833</v>
      </c>
      <c r="F2134" s="1" t="n">
        <f aca="false">B2134/B2133-1</f>
        <v>-0.00691129689982684</v>
      </c>
      <c r="G2134" s="1" t="n">
        <f aca="false">C2134/C2133-1</f>
        <v>0.000201392021653701</v>
      </c>
    </row>
    <row r="2135" customFormat="false" ht="15" hidden="false" customHeight="false" outlineLevel="0" collapsed="false">
      <c r="A2135" s="1" t="s">
        <v>2142</v>
      </c>
      <c r="B2135" s="5" t="n">
        <v>30.8127</v>
      </c>
      <c r="C2135" s="5" t="n">
        <v>12.4166</v>
      </c>
      <c r="D2135" s="1" t="n">
        <f aca="false">LN(B2135/B2134)</f>
        <v>0.00813681563458494</v>
      </c>
      <c r="E2135" s="1" t="n">
        <f aca="false">LN(C2135/C2134)</f>
        <v>4.02694833882981E-005</v>
      </c>
      <c r="F2135" s="1" t="n">
        <f aca="false">B2135/B2134-1</f>
        <v>0.00817000948859725</v>
      </c>
      <c r="G2135" s="1" t="n">
        <f aca="false">C2135/C2134-1</f>
        <v>4.02702942148281E-005</v>
      </c>
    </row>
    <row r="2136" customFormat="false" ht="15" hidden="false" customHeight="false" outlineLevel="0" collapsed="false">
      <c r="A2136" s="1" t="s">
        <v>2143</v>
      </c>
      <c r="B2136" s="5" t="n">
        <v>30.1706</v>
      </c>
      <c r="C2136" s="5" t="n">
        <v>12.4172</v>
      </c>
      <c r="D2136" s="1" t="n">
        <f aca="false">LN(B2136/B2135)</f>
        <v>-0.0210590023755641</v>
      </c>
      <c r="E2136" s="1" t="n">
        <f aca="false">LN(C2136/C2135)</f>
        <v>4.83212396100509E-005</v>
      </c>
      <c r="F2136" s="1" t="n">
        <f aca="false">B2136/B2135-1</f>
        <v>-0.0208388099712131</v>
      </c>
      <c r="G2136" s="1" t="n">
        <f aca="false">C2136/C2135-1</f>
        <v>4.83224070999544E-005</v>
      </c>
    </row>
    <row r="2137" customFormat="false" ht="15" hidden="false" customHeight="false" outlineLevel="0" collapsed="false">
      <c r="A2137" s="1" t="s">
        <v>2144</v>
      </c>
      <c r="B2137" s="5" t="n">
        <v>30.6082</v>
      </c>
      <c r="C2137" s="5" t="n">
        <v>12.4176</v>
      </c>
      <c r="D2137" s="1" t="n">
        <f aca="false">LN(B2137/B2136)</f>
        <v>0.0144000066374735</v>
      </c>
      <c r="E2137" s="1" t="n">
        <f aca="false">LN(C2137/C2136)</f>
        <v>3.22128625989431E-005</v>
      </c>
      <c r="F2137" s="1" t="n">
        <f aca="false">B2137/B2136-1</f>
        <v>0.0145041861945072</v>
      </c>
      <c r="G2137" s="1" t="n">
        <f aca="false">C2137/C2136-1</f>
        <v>3.22133814387726E-005</v>
      </c>
    </row>
    <row r="2138" customFormat="false" ht="15" hidden="false" customHeight="false" outlineLevel="0" collapsed="false">
      <c r="A2138" s="1" t="s">
        <v>2145</v>
      </c>
      <c r="B2138" s="5" t="n">
        <v>30.8371</v>
      </c>
      <c r="C2138" s="5" t="n">
        <v>12.4192</v>
      </c>
      <c r="D2138" s="1" t="n">
        <f aca="false">LN(B2138/B2137)</f>
        <v>0.0074505636352791</v>
      </c>
      <c r="E2138" s="1" t="n">
        <f aca="false">LN(C2138/C2137)</f>
        <v>0.000128841074712881</v>
      </c>
      <c r="F2138" s="1" t="n">
        <f aca="false">B2138/B2137-1</f>
        <v>0.00747838814435342</v>
      </c>
      <c r="G2138" s="1" t="n">
        <f aca="false">C2138/C2137-1</f>
        <v>0.00012884937508062</v>
      </c>
    </row>
    <row r="2139" customFormat="false" ht="15" hidden="false" customHeight="false" outlineLevel="0" collapsed="false">
      <c r="A2139" s="1" t="s">
        <v>2146</v>
      </c>
      <c r="B2139" s="5" t="n">
        <v>30.5086</v>
      </c>
      <c r="C2139" s="5" t="n">
        <v>12.42</v>
      </c>
      <c r="D2139" s="1" t="n">
        <f aca="false">LN(B2139/B2138)</f>
        <v>-0.0107098994700455</v>
      </c>
      <c r="E2139" s="1" t="n">
        <f aca="false">LN(C2139/C2138)</f>
        <v>6.44143128825675E-005</v>
      </c>
      <c r="F2139" s="1" t="n">
        <f aca="false">B2139/B2138-1</f>
        <v>-0.0106527526907523</v>
      </c>
      <c r="G2139" s="1" t="n">
        <f aca="false">C2139/C2138-1</f>
        <v>6.4416387528965E-005</v>
      </c>
    </row>
    <row r="2140" customFormat="false" ht="15" hidden="false" customHeight="false" outlineLevel="0" collapsed="false">
      <c r="A2140" s="1" t="s">
        <v>2147</v>
      </c>
      <c r="B2140" s="5" t="n">
        <v>30.4558</v>
      </c>
      <c r="C2140" s="5" t="n">
        <v>12.4204</v>
      </c>
      <c r="D2140" s="1" t="n">
        <f aca="false">LN(B2140/B2139)</f>
        <v>-0.0017321588731013</v>
      </c>
      <c r="E2140" s="1" t="n">
        <f aca="false">LN(C2140/C2139)</f>
        <v>3.22056005567379E-005</v>
      </c>
      <c r="F2140" s="1" t="n">
        <f aca="false">B2140/B2139-1</f>
        <v>-0.00173065955173302</v>
      </c>
      <c r="G2140" s="1" t="n">
        <f aca="false">C2140/C2139-1</f>
        <v>3.22061191626588E-005</v>
      </c>
    </row>
    <row r="2141" customFormat="false" ht="15" hidden="false" customHeight="false" outlineLevel="0" collapsed="false">
      <c r="A2141" s="1" t="s">
        <v>2148</v>
      </c>
      <c r="B2141" s="5" t="n">
        <v>30.9565</v>
      </c>
      <c r="C2141" s="5" t="n">
        <v>12.421</v>
      </c>
      <c r="D2141" s="1" t="n">
        <f aca="false">LN(B2141/B2140)</f>
        <v>0.0163065410272925</v>
      </c>
      <c r="E2141" s="1" t="n">
        <f aca="false">LN(C2141/C2140)</f>
        <v>4.83064561670814E-005</v>
      </c>
      <c r="F2141" s="1" t="n">
        <f aca="false">B2141/B2140-1</f>
        <v>0.0164402182835453</v>
      </c>
      <c r="G2141" s="1" t="n">
        <f aca="false">C2141/C2140-1</f>
        <v>4.83076229427226E-005</v>
      </c>
    </row>
    <row r="2142" customFormat="false" ht="15" hidden="false" customHeight="false" outlineLevel="0" collapsed="false">
      <c r="A2142" s="1" t="s">
        <v>2149</v>
      </c>
      <c r="B2142" s="5" t="n">
        <v>31.294</v>
      </c>
      <c r="C2142" s="5" t="n">
        <v>12.4214</v>
      </c>
      <c r="D2142" s="1" t="n">
        <f aca="false">LN(B2142/B2141)</f>
        <v>0.0108433926444772</v>
      </c>
      <c r="E2142" s="1" t="n">
        <f aca="false">LN(C2142/C2141)</f>
        <v>3.22030077638803E-005</v>
      </c>
      <c r="F2142" s="1" t="n">
        <f aca="false">B2142/B2141-1</f>
        <v>0.0109023952966261</v>
      </c>
      <c r="G2142" s="1" t="n">
        <f aca="false">C2142/C2141-1</f>
        <v>3.22035262863007E-005</v>
      </c>
    </row>
    <row r="2143" customFormat="false" ht="15" hidden="false" customHeight="false" outlineLevel="0" collapsed="false">
      <c r="A2143" s="1" t="s">
        <v>2150</v>
      </c>
      <c r="B2143" s="5" t="n">
        <v>31.2076</v>
      </c>
      <c r="C2143" s="5" t="n">
        <v>12.4228</v>
      </c>
      <c r="D2143" s="1" t="n">
        <f aca="false">LN(B2143/B2142)</f>
        <v>-0.00276473098400377</v>
      </c>
      <c r="E2143" s="1" t="n">
        <f aca="false">LN(C2143/C2142)</f>
        <v>0.00011270236123385</v>
      </c>
      <c r="F2143" s="1" t="n">
        <f aca="false">B2143/B2142-1</f>
        <v>-0.00276091263500999</v>
      </c>
      <c r="G2143" s="1" t="n">
        <f aca="false">C2143/C2142-1</f>
        <v>0.000112708712383558</v>
      </c>
    </row>
    <row r="2144" customFormat="false" ht="15" hidden="false" customHeight="false" outlineLevel="0" collapsed="false">
      <c r="A2144" s="1" t="s">
        <v>2151</v>
      </c>
      <c r="B2144" s="5" t="n">
        <v>31.037</v>
      </c>
      <c r="C2144" s="5" t="n">
        <v>12.4234</v>
      </c>
      <c r="D2144" s="1" t="n">
        <f aca="false">LN(B2144/B2143)</f>
        <v>-0.00548161373624228</v>
      </c>
      <c r="E2144" s="1" t="n">
        <f aca="false">LN(C2144/C2143)</f>
        <v>4.82971239156901E-005</v>
      </c>
      <c r="F2144" s="1" t="n">
        <f aca="false">B2144/B2143-1</f>
        <v>-0.00546661710608953</v>
      </c>
      <c r="G2144" s="1" t="n">
        <f aca="false">C2144/C2143-1</f>
        <v>4.8298290240556E-005</v>
      </c>
    </row>
    <row r="2145" customFormat="false" ht="15" hidden="false" customHeight="false" outlineLevel="0" collapsed="false">
      <c r="A2145" s="1" t="s">
        <v>2152</v>
      </c>
      <c r="B2145" s="5" t="n">
        <v>31.0664</v>
      </c>
      <c r="C2145" s="5" t="n">
        <v>12.4239</v>
      </c>
      <c r="D2145" s="1" t="n">
        <f aca="false">LN(B2145/B2144)</f>
        <v>0.000946808135989121</v>
      </c>
      <c r="E2145" s="1" t="n">
        <f aca="false">LN(C2145/C2144)</f>
        <v>4.02458214829947E-005</v>
      </c>
      <c r="F2145" s="1" t="n">
        <f aca="false">B2145/B2144-1</f>
        <v>0.000947256500306137</v>
      </c>
      <c r="G2145" s="1" t="n">
        <f aca="false">C2145/C2144-1</f>
        <v>4.02466313569327E-005</v>
      </c>
    </row>
    <row r="2146" customFormat="false" ht="15" hidden="false" customHeight="false" outlineLevel="0" collapsed="false">
      <c r="A2146" s="1" t="s">
        <v>2153</v>
      </c>
      <c r="B2146" s="5" t="n">
        <v>30.9896</v>
      </c>
      <c r="C2146" s="5" t="n">
        <v>12.4249</v>
      </c>
      <c r="D2146" s="1" t="n">
        <f aca="false">LN(B2146/B2145)</f>
        <v>-0.00247518496873337</v>
      </c>
      <c r="E2146" s="1" t="n">
        <f aca="false">LN(C2146/C2145)</f>
        <v>8.04867841134927E-005</v>
      </c>
      <c r="F2146" s="1" t="n">
        <f aca="false">B2146/B2145-1</f>
        <v>-0.00247212422424237</v>
      </c>
      <c r="G2146" s="1" t="n">
        <f aca="false">C2146/C2145-1</f>
        <v>8.04900232616035E-005</v>
      </c>
    </row>
    <row r="2147" customFormat="false" ht="15" hidden="false" customHeight="false" outlineLevel="0" collapsed="false">
      <c r="A2147" s="1" t="s">
        <v>2154</v>
      </c>
      <c r="B2147" s="5" t="n">
        <v>30.6435</v>
      </c>
      <c r="C2147" s="5" t="n">
        <v>12.4253</v>
      </c>
      <c r="D2147" s="1" t="n">
        <f aca="false">LN(B2147/B2146)</f>
        <v>-0.0112310962131945</v>
      </c>
      <c r="E2147" s="1" t="n">
        <f aca="false">LN(C2147/C2146)</f>
        <v>3.21928998588645E-005</v>
      </c>
      <c r="F2147" s="1" t="n">
        <f aca="false">B2147/B2146-1</f>
        <v>-0.0111682629011023</v>
      </c>
      <c r="G2147" s="1" t="n">
        <f aca="false">C2147/C2146-1</f>
        <v>3.21934180558259E-005</v>
      </c>
    </row>
    <row r="2148" customFormat="false" ht="15" hidden="false" customHeight="false" outlineLevel="0" collapsed="false">
      <c r="A2148" s="1" t="s">
        <v>2155</v>
      </c>
      <c r="B2148" s="5" t="n">
        <v>30.6741</v>
      </c>
      <c r="C2148" s="5" t="n">
        <v>12.4268</v>
      </c>
      <c r="D2148" s="1" t="n">
        <f aca="false">LN(B2148/B2147)</f>
        <v>0.000998082199571786</v>
      </c>
      <c r="E2148" s="1" t="n">
        <f aca="false">LN(C2148/C2147)</f>
        <v>0.000120714145027699</v>
      </c>
      <c r="F2148" s="1" t="n">
        <f aca="false">B2148/B2147-1</f>
        <v>0.000998580449361297</v>
      </c>
      <c r="G2148" s="1" t="n">
        <f aca="false">C2148/C2147-1</f>
        <v>0.000120721431273285</v>
      </c>
    </row>
    <row r="2149" customFormat="false" ht="15" hidden="false" customHeight="false" outlineLevel="0" collapsed="false">
      <c r="A2149" s="1" t="s">
        <v>2156</v>
      </c>
      <c r="B2149" s="5" t="n">
        <v>30.6496</v>
      </c>
      <c r="C2149" s="5" t="n">
        <v>12.4274</v>
      </c>
      <c r="D2149" s="1" t="n">
        <f aca="false">LN(B2149/B2148)</f>
        <v>-0.00079903858715402</v>
      </c>
      <c r="E2149" s="1" t="n">
        <f aca="false">LN(C2149/C2148)</f>
        <v>4.82815781731981E-005</v>
      </c>
      <c r="F2149" s="1" t="n">
        <f aca="false">B2149/B2148-1</f>
        <v>-0.000798719440831208</v>
      </c>
      <c r="G2149" s="1" t="n">
        <f aca="false">C2149/C2148-1</f>
        <v>4.82827437473521E-005</v>
      </c>
    </row>
    <row r="2150" customFormat="false" ht="15" hidden="false" customHeight="false" outlineLevel="0" collapsed="false">
      <c r="A2150" s="1" t="s">
        <v>2157</v>
      </c>
      <c r="B2150" s="5" t="n">
        <v>31.2919</v>
      </c>
      <c r="C2150" s="5" t="n">
        <v>12.4283</v>
      </c>
      <c r="D2150" s="1" t="n">
        <f aca="false">LN(B2150/B2149)</f>
        <v>0.0207396663866569</v>
      </c>
      <c r="E2150" s="1" t="n">
        <f aca="false">LN(C2150/C2149)</f>
        <v>7.24179967084268E-005</v>
      </c>
      <c r="F2150" s="1" t="n">
        <f aca="false">B2150/B2149-1</f>
        <v>0.0209562278137398</v>
      </c>
      <c r="G2150" s="1" t="n">
        <f aca="false">C2150/C2149-1</f>
        <v>7.24206189548493E-005</v>
      </c>
    </row>
    <row r="2151" customFormat="false" ht="15" hidden="false" customHeight="false" outlineLevel="0" collapsed="false">
      <c r="A2151" s="1" t="s">
        <v>2158</v>
      </c>
      <c r="B2151" s="5" t="n">
        <v>31.2961</v>
      </c>
      <c r="C2151" s="5" t="n">
        <v>12.429</v>
      </c>
      <c r="D2151" s="1" t="n">
        <f aca="false">LN(B2151/B2150)</f>
        <v>0.000134211031070055</v>
      </c>
      <c r="E2151" s="1" t="n">
        <f aca="false">LN(C2151/C2150)</f>
        <v>5.63214830401171E-005</v>
      </c>
      <c r="F2151" s="1" t="n">
        <f aca="false">B2151/B2150-1</f>
        <v>0.000134220037773414</v>
      </c>
      <c r="G2151" s="1" t="n">
        <f aca="false">C2151/C2150-1</f>
        <v>5.63230691246197E-005</v>
      </c>
    </row>
    <row r="2152" customFormat="false" ht="15" hidden="false" customHeight="false" outlineLevel="0" collapsed="false">
      <c r="A2152" s="1" t="s">
        <v>2159</v>
      </c>
      <c r="B2152" s="5" t="n">
        <v>31.216</v>
      </c>
      <c r="C2152" s="5" t="n">
        <v>12.4298</v>
      </c>
      <c r="D2152" s="1" t="n">
        <f aca="false">LN(B2152/B2151)</f>
        <v>-0.00256270526306994</v>
      </c>
      <c r="E2152" s="1" t="n">
        <f aca="false">LN(C2152/C2151)</f>
        <v>6.43635252124935E-005</v>
      </c>
      <c r="F2152" s="1" t="n">
        <f aca="false">B2152/B2151-1</f>
        <v>-0.00255942433721768</v>
      </c>
      <c r="G2152" s="1" t="n">
        <f aca="false">C2152/C2151-1</f>
        <v>6.43655965886225E-005</v>
      </c>
    </row>
    <row r="2153" customFormat="false" ht="15" hidden="false" customHeight="false" outlineLevel="0" collapsed="false">
      <c r="A2153" s="1" t="s">
        <v>2160</v>
      </c>
      <c r="B2153" s="5" t="n">
        <v>31.3026</v>
      </c>
      <c r="C2153" s="5" t="n">
        <v>12.4313</v>
      </c>
      <c r="D2153" s="1" t="n">
        <f aca="false">LN(B2153/B2152)</f>
        <v>0.00277037730812393</v>
      </c>
      <c r="E2153" s="1" t="n">
        <f aca="false">LN(C2153/C2152)</f>
        <v>0.000120670445138769</v>
      </c>
      <c r="F2153" s="1" t="n">
        <f aca="false">B2153/B2152-1</f>
        <v>0.00277421834956426</v>
      </c>
      <c r="G2153" s="1" t="n">
        <f aca="false">C2153/C2152-1</f>
        <v>0.000120677726109797</v>
      </c>
    </row>
    <row r="2154" customFormat="false" ht="15" hidden="false" customHeight="false" outlineLevel="0" collapsed="false">
      <c r="A2154" s="1" t="s">
        <v>2161</v>
      </c>
      <c r="B2154" s="5" t="n">
        <v>31.381</v>
      </c>
      <c r="C2154" s="5" t="n">
        <v>12.4319</v>
      </c>
      <c r="D2154" s="1" t="n">
        <f aca="false">LN(B2154/B2153)</f>
        <v>0.00250145303973641</v>
      </c>
      <c r="E2154" s="1" t="n">
        <f aca="false">LN(C2154/C2153)</f>
        <v>4.82641011710457E-005</v>
      </c>
      <c r="F2154" s="1" t="n">
        <f aca="false">B2154/B2153-1</f>
        <v>0.00250458428373368</v>
      </c>
      <c r="G2154" s="1" t="n">
        <f aca="false">C2154/C2153-1</f>
        <v>4.82652659015148E-005</v>
      </c>
    </row>
    <row r="2155" customFormat="false" ht="15" hidden="false" customHeight="false" outlineLevel="0" collapsed="false">
      <c r="A2155" s="1" t="s">
        <v>2162</v>
      </c>
      <c r="B2155" s="5" t="n">
        <v>31.1393</v>
      </c>
      <c r="C2155" s="5" t="n">
        <v>12.4327</v>
      </c>
      <c r="D2155" s="1" t="n">
        <f aca="false">LN(B2155/B2154)</f>
        <v>-0.00773192720194829</v>
      </c>
      <c r="E2155" s="1" t="n">
        <f aca="false">LN(C2155/C2154)</f>
        <v>6.43485115607501E-005</v>
      </c>
      <c r="F2155" s="1" t="n">
        <f aca="false">B2155/B2154-1</f>
        <v>-0.00770211274337984</v>
      </c>
      <c r="G2155" s="1" t="n">
        <f aca="false">C2155/C2154-1</f>
        <v>6.43505819706292E-005</v>
      </c>
    </row>
    <row r="2156" customFormat="false" ht="15" hidden="false" customHeight="false" outlineLevel="0" collapsed="false">
      <c r="A2156" s="1" t="s">
        <v>2163</v>
      </c>
      <c r="B2156" s="5" t="n">
        <v>30.8923</v>
      </c>
      <c r="C2156" s="5" t="n">
        <v>12.4331</v>
      </c>
      <c r="D2156" s="1" t="n">
        <f aca="false">LN(B2156/B2155)</f>
        <v>-0.00796372511469986</v>
      </c>
      <c r="E2156" s="1" t="n">
        <f aca="false">LN(C2156/C2155)</f>
        <v>3.21727030726961E-005</v>
      </c>
      <c r="F2156" s="1" t="n">
        <f aca="false">B2156/B2155-1</f>
        <v>-0.0079320986663155</v>
      </c>
      <c r="G2156" s="1" t="n">
        <f aca="false">C2156/C2155-1</f>
        <v>3.21732206196579E-005</v>
      </c>
    </row>
    <row r="2157" customFormat="false" ht="15" hidden="false" customHeight="false" outlineLevel="0" collapsed="false">
      <c r="A2157" s="1" t="s">
        <v>2164</v>
      </c>
      <c r="B2157" s="5" t="n">
        <v>30.7214</v>
      </c>
      <c r="C2157" s="5" t="n">
        <v>12.4337</v>
      </c>
      <c r="D2157" s="1" t="n">
        <f aca="false">LN(B2157/B2156)</f>
        <v>-0.00554748175424338</v>
      </c>
      <c r="E2157" s="1" t="n">
        <f aca="false">LN(C2157/C2156)</f>
        <v>4.82571139122059E-005</v>
      </c>
      <c r="F2157" s="1" t="n">
        <f aca="false">B2157/B2156-1</f>
        <v>-0.00553212289146488</v>
      </c>
      <c r="G2157" s="1" t="n">
        <f aca="false">C2157/C2156-1</f>
        <v>4.82582783054575E-005</v>
      </c>
    </row>
    <row r="2158" customFormat="false" ht="15" hidden="false" customHeight="false" outlineLevel="0" collapsed="false">
      <c r="A2158" s="1" t="s">
        <v>2165</v>
      </c>
      <c r="B2158" s="5" t="n">
        <v>30.6462</v>
      </c>
      <c r="C2158" s="5" t="n">
        <v>12.4356</v>
      </c>
      <c r="D2158" s="1" t="n">
        <f aca="false">LN(B2158/B2157)</f>
        <v>-0.00245080588585548</v>
      </c>
      <c r="E2158" s="1" t="n">
        <f aca="false">LN(C2158/C2157)</f>
        <v>0.000152798832592614</v>
      </c>
      <c r="F2158" s="1" t="n">
        <f aca="false">B2158/B2157-1</f>
        <v>-0.00244780511304821</v>
      </c>
      <c r="G2158" s="1" t="n">
        <f aca="false">C2158/C2157-1</f>
        <v>0.000152810506928835</v>
      </c>
    </row>
    <row r="2159" customFormat="false" ht="15" hidden="false" customHeight="false" outlineLevel="0" collapsed="false">
      <c r="A2159" s="1" t="s">
        <v>2166</v>
      </c>
      <c r="B2159" s="5" t="n">
        <v>30.8447</v>
      </c>
      <c r="C2159" s="5" t="n">
        <v>12.4364</v>
      </c>
      <c r="D2159" s="1" t="n">
        <f aca="false">LN(B2159/B2158)</f>
        <v>0.00645626229283205</v>
      </c>
      <c r="E2159" s="1" t="n">
        <f aca="false">LN(C2159/C2158)</f>
        <v>6.43293663778945E-005</v>
      </c>
      <c r="F2159" s="1" t="n">
        <f aca="false">B2159/B2158-1</f>
        <v>0.00647714887979589</v>
      </c>
      <c r="G2159" s="1" t="n">
        <f aca="false">C2159/C2158-1</f>
        <v>6.43314355559532E-005</v>
      </c>
    </row>
    <row r="2160" customFormat="false" ht="15" hidden="false" customHeight="false" outlineLevel="0" collapsed="false">
      <c r="A2160" s="1" t="s">
        <v>2167</v>
      </c>
      <c r="B2160" s="5" t="n">
        <v>30.5482</v>
      </c>
      <c r="C2160" s="5" t="n">
        <v>12.4367</v>
      </c>
      <c r="D2160" s="1" t="n">
        <f aca="false">LN(B2160/B2159)</f>
        <v>-0.00965917248653683</v>
      </c>
      <c r="E2160" s="1" t="n">
        <f aca="false">LN(C2160/C2159)</f>
        <v>2.41224455346943E-005</v>
      </c>
      <c r="F2160" s="1" t="n">
        <f aca="false">B2160/B2159-1</f>
        <v>-0.00961267251748266</v>
      </c>
      <c r="G2160" s="1" t="n">
        <f aca="false">C2160/C2159-1</f>
        <v>2.41227364832231E-005</v>
      </c>
    </row>
    <row r="2161" customFormat="false" ht="15" hidden="false" customHeight="false" outlineLevel="0" collapsed="false">
      <c r="A2161" s="1" t="s">
        <v>2168</v>
      </c>
      <c r="B2161" s="5" t="n">
        <v>30.3721</v>
      </c>
      <c r="C2161" s="5" t="n">
        <v>12.4372</v>
      </c>
      <c r="D2161" s="1" t="n">
        <f aca="false">LN(B2161/B2160)</f>
        <v>-0.00578134022634114</v>
      </c>
      <c r="E2161" s="1" t="n">
        <f aca="false">LN(C2161/C2160)</f>
        <v>4.02027828420736E-005</v>
      </c>
      <c r="F2161" s="1" t="n">
        <f aca="false">B2161/B2160-1</f>
        <v>-0.0057646604382583</v>
      </c>
      <c r="G2161" s="1" t="n">
        <f aca="false">C2161/C2160-1</f>
        <v>4.02035909847776E-005</v>
      </c>
    </row>
    <row r="2162" customFormat="false" ht="15" hidden="false" customHeight="false" outlineLevel="0" collapsed="false">
      <c r="A2162" s="1" t="s">
        <v>2169</v>
      </c>
      <c r="B2162" s="5" t="n">
        <v>30.3711</v>
      </c>
      <c r="C2162" s="5" t="n">
        <v>12.4377</v>
      </c>
      <c r="D2162" s="1" t="n">
        <f aca="false">LN(B2162/B2161)</f>
        <v>-3.29254961902811E-005</v>
      </c>
      <c r="E2162" s="1" t="n">
        <f aca="false">LN(C2162/C2161)</f>
        <v>4.02011666432598E-005</v>
      </c>
      <c r="F2162" s="1" t="n">
        <f aca="false">B2162/B2161-1</f>
        <v>-3.29249541520804E-005</v>
      </c>
      <c r="G2162" s="1" t="n">
        <f aca="false">C2162/C2161-1</f>
        <v>4.02019747209881E-005</v>
      </c>
    </row>
    <row r="2163" customFormat="false" ht="15" hidden="false" customHeight="false" outlineLevel="0" collapsed="false">
      <c r="A2163" s="1" t="s">
        <v>2170</v>
      </c>
      <c r="B2163" s="5" t="n">
        <v>30.4671</v>
      </c>
      <c r="C2163" s="5" t="n">
        <v>12.4394</v>
      </c>
      <c r="D2163" s="1" t="n">
        <f aca="false">LN(B2163/B2162)</f>
        <v>0.00315591452996166</v>
      </c>
      <c r="E2163" s="1" t="n">
        <f aca="false">LN(C2163/C2162)</f>
        <v>0.000136671879169742</v>
      </c>
      <c r="F2163" s="1" t="n">
        <f aca="false">B2163/B2162-1</f>
        <v>0.00316089967106881</v>
      </c>
      <c r="G2163" s="1" t="n">
        <f aca="false">C2163/C2162-1</f>
        <v>0.000136681219196522</v>
      </c>
    </row>
    <row r="2164" customFormat="false" ht="15" hidden="false" customHeight="false" outlineLevel="0" collapsed="false">
      <c r="A2164" s="1" t="s">
        <v>2171</v>
      </c>
      <c r="B2164" s="5" t="n">
        <v>30.5279</v>
      </c>
      <c r="C2164" s="5" t="n">
        <v>12.4404</v>
      </c>
      <c r="D2164" s="1" t="n">
        <f aca="false">LN(B2164/B2163)</f>
        <v>0.0019936066935749</v>
      </c>
      <c r="E2164" s="1" t="n">
        <f aca="false">LN(C2164/C2163)</f>
        <v>8.03864983270245E-005</v>
      </c>
      <c r="F2164" s="1" t="n">
        <f aca="false">B2164/B2163-1</f>
        <v>0.00199559524864523</v>
      </c>
      <c r="G2164" s="1" t="n">
        <f aca="false">C2164/C2163-1</f>
        <v>8.0389729408159E-005</v>
      </c>
    </row>
    <row r="2165" customFormat="false" ht="15" hidden="false" customHeight="false" outlineLevel="0" collapsed="false">
      <c r="A2165" s="1" t="s">
        <v>2172</v>
      </c>
      <c r="B2165" s="5" t="n">
        <v>30.264</v>
      </c>
      <c r="C2165" s="5" t="n">
        <v>12.4408</v>
      </c>
      <c r="D2165" s="1" t="n">
        <f aca="false">LN(B2165/B2164)</f>
        <v>-0.00868213224844106</v>
      </c>
      <c r="E2165" s="1" t="n">
        <f aca="false">LN(C2165/C2164)</f>
        <v>3.21527900611029E-005</v>
      </c>
      <c r="F2165" s="1" t="n">
        <f aca="false">B2165/B2164-1</f>
        <v>-0.00864455137759224</v>
      </c>
      <c r="G2165" s="1" t="n">
        <f aca="false">C2165/C2164-1</f>
        <v>3.21533069675972E-005</v>
      </c>
    </row>
    <row r="2166" customFormat="false" ht="15" hidden="false" customHeight="false" outlineLevel="0" collapsed="false">
      <c r="A2166" s="1" t="s">
        <v>2173</v>
      </c>
      <c r="B2166" s="5" t="n">
        <v>30.3722</v>
      </c>
      <c r="C2166" s="5" t="n">
        <v>12.4411</v>
      </c>
      <c r="D2166" s="1" t="n">
        <f aca="false">LN(B2166/B2165)</f>
        <v>0.0035688290110896</v>
      </c>
      <c r="E2166" s="1" t="n">
        <f aca="false">LN(C2166/C2165)</f>
        <v>2.41139141317059E-005</v>
      </c>
      <c r="F2166" s="1" t="n">
        <f aca="false">B2166/B2165-1</f>
        <v>0.00357520486386465</v>
      </c>
      <c r="G2166" s="1" t="n">
        <f aca="false">C2166/C2165-1</f>
        <v>2.41142048744702E-005</v>
      </c>
    </row>
    <row r="2167" customFormat="false" ht="15" hidden="false" customHeight="false" outlineLevel="0" collapsed="false">
      <c r="A2167" s="1" t="s">
        <v>2174</v>
      </c>
      <c r="B2167" s="5" t="n">
        <v>30.2939</v>
      </c>
      <c r="C2167" s="5" t="n">
        <v>12.4431</v>
      </c>
      <c r="D2167" s="1" t="n">
        <f aca="false">LN(B2167/B2166)</f>
        <v>-0.0025813442261255</v>
      </c>
      <c r="E2167" s="1" t="n">
        <f aca="false">LN(C2167/C2166)</f>
        <v>0.000160744569188922</v>
      </c>
      <c r="F2167" s="1" t="n">
        <f aca="false">B2167/B2166-1</f>
        <v>-0.00257801542199776</v>
      </c>
      <c r="G2167" s="1" t="n">
        <f aca="false">C2167/C2166-1</f>
        <v>0.000160757489289454</v>
      </c>
    </row>
    <row r="2168" customFormat="false" ht="15" hidden="false" customHeight="false" outlineLevel="0" collapsed="false">
      <c r="A2168" s="1" t="s">
        <v>2175</v>
      </c>
      <c r="B2168" s="5" t="n">
        <v>29.9622</v>
      </c>
      <c r="C2168" s="5" t="n">
        <v>12.4439</v>
      </c>
      <c r="D2168" s="1" t="n">
        <f aca="false">LN(B2168/B2167)</f>
        <v>-0.0110097849209597</v>
      </c>
      <c r="E2168" s="1" t="n">
        <f aca="false">LN(C2168/C2167)</f>
        <v>6.42905935047621E-005</v>
      </c>
      <c r="F2168" s="1" t="n">
        <f aca="false">B2168/B2167-1</f>
        <v>-0.010949399053935</v>
      </c>
      <c r="G2168" s="1" t="n">
        <f aca="false">C2168/C2167-1</f>
        <v>6.42926601892579E-005</v>
      </c>
    </row>
    <row r="2169" customFormat="false" ht="15" hidden="false" customHeight="false" outlineLevel="0" collapsed="false">
      <c r="A2169" s="1" t="s">
        <v>2176</v>
      </c>
      <c r="B2169" s="5" t="n">
        <v>30.4438</v>
      </c>
      <c r="C2169" s="5" t="n">
        <v>12.4448</v>
      </c>
      <c r="D2169" s="1" t="n">
        <f aca="false">LN(B2169/B2168)</f>
        <v>0.0159457737498637</v>
      </c>
      <c r="E2169" s="1" t="n">
        <f aca="false">LN(C2169/C2168)</f>
        <v>7.23219774752498E-005</v>
      </c>
      <c r="F2169" s="1" t="n">
        <f aca="false">B2169/B2168-1</f>
        <v>0.0160735860517585</v>
      </c>
      <c r="G2169" s="1" t="n">
        <f aca="false">C2169/C2168-1</f>
        <v>7.23245927725102E-005</v>
      </c>
    </row>
    <row r="2170" customFormat="false" ht="15" hidden="false" customHeight="false" outlineLevel="0" collapsed="false">
      <c r="A2170" s="1" t="s">
        <v>2177</v>
      </c>
      <c r="B2170" s="5" t="n">
        <v>30.7559</v>
      </c>
      <c r="C2170" s="5" t="n">
        <v>12.4455</v>
      </c>
      <c r="D2170" s="1" t="n">
        <f aca="false">LN(B2170/B2169)</f>
        <v>0.0101994848219511</v>
      </c>
      <c r="E2170" s="1" t="n">
        <f aca="false">LN(C2170/C2169)</f>
        <v>5.62468110214354E-005</v>
      </c>
      <c r="F2170" s="1" t="n">
        <f aca="false">B2170/B2169-1</f>
        <v>0.0102516768603131</v>
      </c>
      <c r="G2170" s="1" t="n">
        <f aca="false">C2170/C2169-1</f>
        <v>5.62483929029689E-005</v>
      </c>
    </row>
    <row r="2171" customFormat="false" ht="15" hidden="false" customHeight="false" outlineLevel="0" collapsed="false">
      <c r="A2171" s="1" t="s">
        <v>2178</v>
      </c>
      <c r="B2171" s="5" t="n">
        <v>30.807</v>
      </c>
      <c r="C2171" s="5" t="n">
        <v>12.4464</v>
      </c>
      <c r="D2171" s="1" t="n">
        <f aca="false">LN(B2171/B2170)</f>
        <v>0.00166009111772014</v>
      </c>
      <c r="E2171" s="1" t="n">
        <f aca="false">LN(C2171/C2170)</f>
        <v>7.23126800600052E-005</v>
      </c>
      <c r="F2171" s="1" t="n">
        <f aca="false">B2171/B2170-1</f>
        <v>0.00166146983180449</v>
      </c>
      <c r="G2171" s="1" t="n">
        <f aca="false">C2171/C2170-1</f>
        <v>7.23152946848771E-005</v>
      </c>
    </row>
    <row r="2172" customFormat="false" ht="15" hidden="false" customHeight="false" outlineLevel="0" collapsed="false">
      <c r="A2172" s="1" t="s">
        <v>2179</v>
      </c>
      <c r="B2172" s="5" t="n">
        <v>30.8713</v>
      </c>
      <c r="C2172" s="5" t="n">
        <v>12.4471</v>
      </c>
      <c r="D2172" s="1" t="n">
        <f aca="false">LN(B2172/B2171)</f>
        <v>0.00208501282603983</v>
      </c>
      <c r="E2172" s="1" t="n">
        <f aca="false">LN(C2172/C2171)</f>
        <v>5.62395806281485E-005</v>
      </c>
      <c r="F2172" s="1" t="n">
        <f aca="false">B2172/B2171-1</f>
        <v>0.00208718797675855</v>
      </c>
      <c r="G2172" s="1" t="n">
        <f aca="false">C2172/C2171-1</f>
        <v>5.62411621030101E-005</v>
      </c>
    </row>
    <row r="2173" customFormat="false" ht="15" hidden="false" customHeight="false" outlineLevel="0" collapsed="false">
      <c r="A2173" s="1" t="s">
        <v>2180</v>
      </c>
      <c r="B2173" s="5" t="n">
        <v>30.9515</v>
      </c>
      <c r="C2173" s="5" t="n">
        <v>12.4478</v>
      </c>
      <c r="D2173" s="1" t="n">
        <f aca="false">LN(B2173/B2172)</f>
        <v>0.00259451351245355</v>
      </c>
      <c r="E2173" s="1" t="n">
        <f aca="false">LN(C2173/C2172)</f>
        <v>5.62364179156241E-005</v>
      </c>
      <c r="F2173" s="1" t="n">
        <f aca="false">B2173/B2172-1</f>
        <v>0.00259788217535384</v>
      </c>
      <c r="G2173" s="1" t="n">
        <f aca="false">C2173/C2172-1</f>
        <v>5.62379992126161E-005</v>
      </c>
    </row>
    <row r="2174" customFormat="false" ht="15" hidden="false" customHeight="false" outlineLevel="0" collapsed="false">
      <c r="A2174" s="1" t="s">
        <v>2181</v>
      </c>
      <c r="B2174" s="5" t="n">
        <v>31.0065</v>
      </c>
      <c r="C2174" s="5" t="n">
        <v>12.448</v>
      </c>
      <c r="D2174" s="1" t="n">
        <f aca="false">LN(B2174/B2173)</f>
        <v>0.00177539670250227</v>
      </c>
      <c r="E2174" s="1" t="n">
        <f aca="false">LN(C2174/C2173)</f>
        <v>1.60669671193207E-005</v>
      </c>
      <c r="F2174" s="1" t="n">
        <f aca="false">B2174/B2173-1</f>
        <v>0.00177697365232699</v>
      </c>
      <c r="G2174" s="1" t="n">
        <f aca="false">C2174/C2173-1</f>
        <v>1.60670961937281E-005</v>
      </c>
    </row>
    <row r="2175" customFormat="false" ht="15" hidden="false" customHeight="false" outlineLevel="0" collapsed="false">
      <c r="A2175" s="1" t="s">
        <v>2182</v>
      </c>
      <c r="B2175" s="5" t="n">
        <v>31.029</v>
      </c>
      <c r="C2175" s="5" t="n">
        <v>12.4488</v>
      </c>
      <c r="D2175" s="1" t="n">
        <f aca="false">LN(B2175/B2174)</f>
        <v>0.000725391138512973</v>
      </c>
      <c r="E2175" s="1" t="n">
        <f aca="false">LN(C2175/C2174)</f>
        <v>6.42652871273194E-005</v>
      </c>
      <c r="F2175" s="1" t="n">
        <f aca="false">B2175/B2174-1</f>
        <v>0.0007256542982923</v>
      </c>
      <c r="G2175" s="1" t="n">
        <f aca="false">C2175/C2174-1</f>
        <v>6.42673521851211E-005</v>
      </c>
    </row>
    <row r="2176" customFormat="false" ht="15" hidden="false" customHeight="false" outlineLevel="0" collapsed="false">
      <c r="A2176" s="1" t="s">
        <v>2183</v>
      </c>
      <c r="B2176" s="5" t="n">
        <v>31.1332</v>
      </c>
      <c r="C2176" s="5" t="n">
        <v>12.4504</v>
      </c>
      <c r="D2176" s="1" t="n">
        <f aca="false">LN(B2176/B2175)</f>
        <v>0.00335252283849413</v>
      </c>
      <c r="E2176" s="1" t="n">
        <f aca="false">LN(C2176/C2175)</f>
        <v>0.000128518185500023</v>
      </c>
      <c r="F2176" s="1" t="n">
        <f aca="false">B2176/B2175-1</f>
        <v>0.00335814882851526</v>
      </c>
      <c r="G2176" s="1" t="n">
        <f aca="false">C2176/C2175-1</f>
        <v>0.000128526444315824</v>
      </c>
    </row>
    <row r="2177" customFormat="false" ht="15" hidden="false" customHeight="false" outlineLevel="0" collapsed="false">
      <c r="A2177" s="1" t="s">
        <v>2184</v>
      </c>
      <c r="B2177" s="5" t="n">
        <v>31.232</v>
      </c>
      <c r="C2177" s="5" t="n">
        <v>12.4512</v>
      </c>
      <c r="D2177" s="1" t="n">
        <f aca="false">LN(B2177/B2176)</f>
        <v>0.00316843632841158</v>
      </c>
      <c r="E2177" s="1" t="n">
        <f aca="false">LN(C2177/C2176)</f>
        <v>6.42528994342435E-005</v>
      </c>
      <c r="F2177" s="1" t="n">
        <f aca="false">B2177/B2176-1</f>
        <v>0.00317346112831318</v>
      </c>
      <c r="G2177" s="1" t="n">
        <f aca="false">C2177/C2176-1</f>
        <v>6.42549636959977E-005</v>
      </c>
    </row>
    <row r="2178" customFormat="false" ht="15" hidden="false" customHeight="false" outlineLevel="0" collapsed="false">
      <c r="A2178" s="1" t="s">
        <v>2185</v>
      </c>
      <c r="B2178" s="5" t="n">
        <v>31.1088</v>
      </c>
      <c r="C2178" s="5" t="n">
        <v>12.4519</v>
      </c>
      <c r="D2178" s="1" t="n">
        <f aca="false">LN(B2178/B2177)</f>
        <v>-0.00395247287125783</v>
      </c>
      <c r="E2178" s="1" t="n">
        <f aca="false">LN(C2178/C2177)</f>
        <v>5.62179005975391E-005</v>
      </c>
      <c r="F2178" s="1" t="n">
        <f aca="false">B2178/B2177-1</f>
        <v>-0.00394467213114758</v>
      </c>
      <c r="G2178" s="1" t="n">
        <f aca="false">C2178/C2177-1</f>
        <v>5.62194808533256E-005</v>
      </c>
    </row>
    <row r="2179" customFormat="false" ht="15" hidden="false" customHeight="false" outlineLevel="0" collapsed="false">
      <c r="A2179" s="1" t="s">
        <v>2186</v>
      </c>
      <c r="B2179" s="5" t="n">
        <v>31.1594</v>
      </c>
      <c r="C2179" s="5" t="n">
        <v>12.4528</v>
      </c>
      <c r="D2179" s="1" t="n">
        <f aca="false">LN(B2179/B2178)</f>
        <v>0.00162522800202233</v>
      </c>
      <c r="E2179" s="1" t="n">
        <f aca="false">LN(C2179/C2178)</f>
        <v>7.22755142917655E-005</v>
      </c>
      <c r="F2179" s="1" t="n">
        <f aca="false">B2179/B2178-1</f>
        <v>0.00162654940081275</v>
      </c>
      <c r="G2179" s="1" t="n">
        <f aca="false">C2179/C2178-1</f>
        <v>7.22781262296746E-005</v>
      </c>
    </row>
    <row r="2180" customFormat="false" ht="15" hidden="false" customHeight="false" outlineLevel="0" collapsed="false">
      <c r="A2180" s="1" t="s">
        <v>2187</v>
      </c>
      <c r="B2180" s="5" t="n">
        <v>31.4955</v>
      </c>
      <c r="C2180" s="5" t="n">
        <v>12.4549</v>
      </c>
      <c r="D2180" s="1" t="n">
        <f aca="false">LN(B2180/B2179)</f>
        <v>0.0107287131222303</v>
      </c>
      <c r="E2180" s="1" t="n">
        <f aca="false">LN(C2180/C2179)</f>
        <v>0.000168622554870583</v>
      </c>
      <c r="F2180" s="1" t="n">
        <f aca="false">B2180/B2179-1</f>
        <v>0.0107864721400284</v>
      </c>
      <c r="G2180" s="1" t="n">
        <f aca="false">C2180/C2179-1</f>
        <v>0.000168636772452713</v>
      </c>
    </row>
    <row r="2181" customFormat="false" ht="15" hidden="false" customHeight="false" outlineLevel="0" collapsed="false">
      <c r="A2181" s="1" t="s">
        <v>2188</v>
      </c>
      <c r="B2181" s="5" t="n">
        <v>31.3452</v>
      </c>
      <c r="C2181" s="5" t="n">
        <v>12.4554</v>
      </c>
      <c r="D2181" s="1" t="n">
        <f aca="false">LN(B2181/B2180)</f>
        <v>-0.00478353317513391</v>
      </c>
      <c r="E2181" s="1" t="n">
        <f aca="false">LN(C2181/C2180)</f>
        <v>4.01440368093323E-005</v>
      </c>
      <c r="F2181" s="1" t="n">
        <f aca="false">B2181/B2180-1</f>
        <v>-0.00477211030147173</v>
      </c>
      <c r="G2181" s="1" t="n">
        <f aca="false">C2181/C2180-1</f>
        <v>4.01448425919604E-005</v>
      </c>
    </row>
    <row r="2182" customFormat="false" ht="15" hidden="false" customHeight="false" outlineLevel="0" collapsed="false">
      <c r="A2182" s="1" t="s">
        <v>2189</v>
      </c>
      <c r="B2182" s="5" t="n">
        <v>31.3745</v>
      </c>
      <c r="C2182" s="5" t="n">
        <v>12.4562</v>
      </c>
      <c r="D2182" s="1" t="n">
        <f aca="false">LN(B2182/B2181)</f>
        <v>0.000934315761441556</v>
      </c>
      <c r="E2182" s="1" t="n">
        <f aca="false">LN(C2182/C2181)</f>
        <v>6.42271070727214E-005</v>
      </c>
      <c r="F2182" s="1" t="n">
        <f aca="false">B2182/B2181-1</f>
        <v>0.000934752370378877</v>
      </c>
      <c r="G2182" s="1" t="n">
        <f aca="false">C2182/C2181-1</f>
        <v>6.4229169677521E-005</v>
      </c>
    </row>
    <row r="2183" customFormat="false" ht="15" hidden="false" customHeight="false" outlineLevel="0" collapsed="false">
      <c r="A2183" s="1" t="s">
        <v>2190</v>
      </c>
      <c r="B2183" s="5" t="n">
        <v>31.1392</v>
      </c>
      <c r="C2183" s="5" t="n">
        <v>12.4569</v>
      </c>
      <c r="D2183" s="1" t="n">
        <f aca="false">LN(B2183/B2182)</f>
        <v>-0.00752798542445163</v>
      </c>
      <c r="E2183" s="1" t="n">
        <f aca="false">LN(C2183/C2182)</f>
        <v>5.6195334999091E-005</v>
      </c>
      <c r="F2183" s="1" t="n">
        <f aca="false">B2183/B2182-1</f>
        <v>-0.00749972111109343</v>
      </c>
      <c r="G2183" s="1" t="n">
        <f aca="false">C2183/C2182-1</f>
        <v>5.6196913986506E-005</v>
      </c>
    </row>
    <row r="2184" customFormat="false" ht="15" hidden="false" customHeight="false" outlineLevel="0" collapsed="false">
      <c r="A2184" s="1" t="s">
        <v>2191</v>
      </c>
      <c r="B2184" s="5" t="n">
        <v>30.9254</v>
      </c>
      <c r="C2184" s="5" t="n">
        <v>12.458</v>
      </c>
      <c r="D2184" s="1" t="n">
        <f aca="false">LN(B2184/B2183)</f>
        <v>-0.00688962293163373</v>
      </c>
      <c r="E2184" s="1" t="n">
        <f aca="false">LN(C2184/C2183)</f>
        <v>8.83005752152548E-005</v>
      </c>
      <c r="F2184" s="1" t="n">
        <f aca="false">B2184/B2183-1</f>
        <v>-0.00686594389065864</v>
      </c>
      <c r="G2184" s="1" t="n">
        <f aca="false">C2184/C2183-1</f>
        <v>8.83044738257954E-005</v>
      </c>
    </row>
    <row r="2185" customFormat="false" ht="15" hidden="false" customHeight="false" outlineLevel="0" collapsed="false">
      <c r="A2185" s="1" t="s">
        <v>2192</v>
      </c>
      <c r="B2185" s="5" t="n">
        <v>30.8932</v>
      </c>
      <c r="C2185" s="5" t="n">
        <v>12.4588</v>
      </c>
      <c r="D2185" s="1" t="n">
        <f aca="false">LN(B2185/B2184)</f>
        <v>-0.00104175775291296</v>
      </c>
      <c r="E2185" s="1" t="n">
        <f aca="false">LN(C2185/C2184)</f>
        <v>6.42137032264274E-005</v>
      </c>
      <c r="F2185" s="1" t="n">
        <f aca="false">B2185/B2184-1</f>
        <v>-0.00104121531168555</v>
      </c>
      <c r="G2185" s="1" t="n">
        <f aca="false">C2185/C2184-1</f>
        <v>6.42157649703989E-005</v>
      </c>
    </row>
    <row r="2186" customFormat="false" ht="15" hidden="false" customHeight="false" outlineLevel="0" collapsed="false">
      <c r="A2186" s="1" t="s">
        <v>2193</v>
      </c>
      <c r="B2186" s="5" t="n">
        <v>30.8592</v>
      </c>
      <c r="C2186" s="5" t="n">
        <v>12.4597</v>
      </c>
      <c r="D2186" s="1" t="n">
        <f aca="false">LN(B2186/B2185)</f>
        <v>-0.00110117188759111</v>
      </c>
      <c r="E2186" s="1" t="n">
        <f aca="false">LN(C2186/C2185)</f>
        <v>7.22354877211544E-005</v>
      </c>
      <c r="F2186" s="1" t="n">
        <f aca="false">B2186/B2185-1</f>
        <v>-0.00110056582030993</v>
      </c>
      <c r="G2186" s="1" t="n">
        <f aca="false">C2186/C2185-1</f>
        <v>7.2238096766819E-005</v>
      </c>
    </row>
    <row r="2187" customFormat="false" ht="15" hidden="false" customHeight="false" outlineLevel="0" collapsed="false">
      <c r="A2187" s="1" t="s">
        <v>2194</v>
      </c>
      <c r="B2187" s="5" t="n">
        <v>30.7482</v>
      </c>
      <c r="C2187" s="5" t="n">
        <v>12.4599</v>
      </c>
      <c r="D2187" s="1" t="n">
        <f aca="false">LN(B2187/B2186)</f>
        <v>-0.00360346711956667</v>
      </c>
      <c r="E2187" s="1" t="n">
        <f aca="false">LN(C2187/C2186)</f>
        <v>1.60516220167627E-005</v>
      </c>
      <c r="F2187" s="1" t="n">
        <f aca="false">B2187/B2186-1</f>
        <v>-0.00359698242339401</v>
      </c>
      <c r="G2187" s="1" t="n">
        <f aca="false">C2187/C2186-1</f>
        <v>1.60517508447366E-005</v>
      </c>
    </row>
    <row r="2188" customFormat="false" ht="15" hidden="false" customHeight="false" outlineLevel="0" collapsed="false">
      <c r="A2188" s="1" t="s">
        <v>2195</v>
      </c>
      <c r="B2188" s="5" t="n">
        <v>30.8091</v>
      </c>
      <c r="C2188" s="5" t="n">
        <v>12.46</v>
      </c>
      <c r="D2188" s="1" t="n">
        <f aca="false">LN(B2188/B2187)</f>
        <v>0.00197864493305611</v>
      </c>
      <c r="E2188" s="1" t="n">
        <f aca="false">LN(C2188/C2187)</f>
        <v>8.0257143891763E-006</v>
      </c>
      <c r="F2188" s="1" t="n">
        <f aca="false">B2188/B2187-1</f>
        <v>0.00198060374265818</v>
      </c>
      <c r="G2188" s="1" t="n">
        <f aca="false">C2188/C2187-1</f>
        <v>8.02574659530819E-006</v>
      </c>
    </row>
    <row r="2189" customFormat="false" ht="15" hidden="false" customHeight="false" outlineLevel="0" collapsed="false">
      <c r="A2189" s="1" t="s">
        <v>2196</v>
      </c>
      <c r="B2189" s="5" t="n">
        <v>30.6311</v>
      </c>
      <c r="C2189" s="5" t="n">
        <v>12.4622</v>
      </c>
      <c r="D2189" s="1" t="n">
        <f aca="false">LN(B2189/B2188)</f>
        <v>-0.005794268182958</v>
      </c>
      <c r="E2189" s="1" t="n">
        <f aca="false">LN(C2189/C2188)</f>
        <v>0.000176549422259197</v>
      </c>
      <c r="F2189" s="1" t="n">
        <f aca="false">B2189/B2188-1</f>
        <v>-0.00577751378651115</v>
      </c>
      <c r="G2189" s="1" t="n">
        <f aca="false">C2189/C2188-1</f>
        <v>0.000176565008025653</v>
      </c>
    </row>
    <row r="2190" customFormat="false" ht="15" hidden="false" customHeight="false" outlineLevel="0" collapsed="false">
      <c r="A2190" s="1" t="s">
        <v>2197</v>
      </c>
      <c r="B2190" s="5" t="n">
        <v>30.5043</v>
      </c>
      <c r="C2190" s="5" t="n">
        <v>12.4626</v>
      </c>
      <c r="D2190" s="1" t="n">
        <f aca="false">LN(B2190/B2189)</f>
        <v>-0.00414817542125761</v>
      </c>
      <c r="E2190" s="1" t="n">
        <f aca="false">LN(C2190/C2189)</f>
        <v>3.20965464145345E-005</v>
      </c>
      <c r="F2190" s="1" t="n">
        <f aca="false">B2190/B2189-1</f>
        <v>-0.00413958362579203</v>
      </c>
      <c r="G2190" s="1" t="n">
        <f aca="false">C2190/C2189-1</f>
        <v>3.20970615141913E-005</v>
      </c>
    </row>
    <row r="2191" customFormat="false" ht="15" hidden="false" customHeight="false" outlineLevel="0" collapsed="false">
      <c r="A2191" s="1" t="s">
        <v>2198</v>
      </c>
      <c r="B2191" s="5" t="n">
        <v>30.0263</v>
      </c>
      <c r="C2191" s="5" t="n">
        <v>12.463</v>
      </c>
      <c r="D2191" s="1" t="n">
        <f aca="false">LN(B2191/B2190)</f>
        <v>-0.0157939930016307</v>
      </c>
      <c r="E2191" s="1" t="n">
        <f aca="false">LN(C2191/C2190)</f>
        <v>3.20955162589979E-005</v>
      </c>
      <c r="F2191" s="1" t="n">
        <f aca="false">B2191/B2190-1</f>
        <v>-0.0156699219454307</v>
      </c>
      <c r="G2191" s="1" t="n">
        <f aca="false">C2191/C2190-1</f>
        <v>3.20960313255902E-005</v>
      </c>
    </row>
    <row r="2192" customFormat="false" ht="15" hidden="false" customHeight="false" outlineLevel="0" collapsed="false">
      <c r="A2192" s="1" t="s">
        <v>2199</v>
      </c>
      <c r="B2192" s="5" t="n">
        <v>29.928</v>
      </c>
      <c r="C2192" s="5" t="n">
        <v>12.4636</v>
      </c>
      <c r="D2192" s="1" t="n">
        <f aca="false">LN(B2192/B2191)</f>
        <v>-0.00327916723519299</v>
      </c>
      <c r="E2192" s="1" t="n">
        <f aca="false">LN(C2192/C2191)</f>
        <v>4.81413429922447E-005</v>
      </c>
      <c r="F2192" s="1" t="n">
        <f aca="false">B2192/B2191-1</f>
        <v>-0.00327379663828042</v>
      </c>
      <c r="G2192" s="1" t="n">
        <f aca="false">C2192/C2191-1</f>
        <v>4.81425018052928E-005</v>
      </c>
    </row>
    <row r="2193" customFormat="false" ht="15" hidden="false" customHeight="false" outlineLevel="0" collapsed="false">
      <c r="A2193" s="1" t="s">
        <v>2200</v>
      </c>
      <c r="B2193" s="5" t="n">
        <v>30.0894</v>
      </c>
      <c r="C2193" s="5" t="n">
        <v>12.4642</v>
      </c>
      <c r="D2193" s="1" t="n">
        <f aca="false">LN(B2193/B2192)</f>
        <v>0.00537845321783929</v>
      </c>
      <c r="E2193" s="1" t="n">
        <f aca="false">LN(C2193/C2192)</f>
        <v>4.81390255150236E-005</v>
      </c>
      <c r="F2193" s="1" t="n">
        <f aca="false">B2193/B2192-1</f>
        <v>0.00539294306335214</v>
      </c>
      <c r="G2193" s="1" t="n">
        <f aca="false">C2193/C2192-1</f>
        <v>4.81401842165052E-005</v>
      </c>
    </row>
    <row r="2194" customFormat="false" ht="15" hidden="false" customHeight="false" outlineLevel="0" collapsed="false">
      <c r="A2194" s="1" t="s">
        <v>2201</v>
      </c>
      <c r="B2194" s="5" t="n">
        <v>29.7801</v>
      </c>
      <c r="C2194" s="5" t="n">
        <v>12.4656</v>
      </c>
      <c r="D2194" s="1" t="n">
        <f aca="false">LN(B2194/B2193)</f>
        <v>-0.0103325650550979</v>
      </c>
      <c r="E2194" s="1" t="n">
        <f aca="false">LN(C2194/C2193)</f>
        <v>0.000112315381709555</v>
      </c>
      <c r="F2194" s="1" t="n">
        <f aca="false">B2194/B2193-1</f>
        <v>-0.010279367484895</v>
      </c>
      <c r="G2194" s="1" t="n">
        <f aca="false">C2194/C2193-1</f>
        <v>0.000112321689318184</v>
      </c>
    </row>
    <row r="2195" customFormat="false" ht="15" hidden="false" customHeight="false" outlineLevel="0" collapsed="false">
      <c r="A2195" s="1" t="s">
        <v>2202</v>
      </c>
      <c r="B2195" s="5" t="n">
        <v>29.5613</v>
      </c>
      <c r="C2195" s="5" t="n">
        <v>12.4662</v>
      </c>
      <c r="D2195" s="1" t="n">
        <f aca="false">LN(B2195/B2194)</f>
        <v>-0.00737431174648418</v>
      </c>
      <c r="E2195" s="1" t="n">
        <f aca="false">LN(C2195/C2194)</f>
        <v>4.81313022017706E-005</v>
      </c>
      <c r="F2195" s="1" t="n">
        <f aca="false">B2195/B2194-1</f>
        <v>-0.00734718822300806</v>
      </c>
      <c r="G2195" s="1" t="n">
        <f aca="false">C2195/C2194-1</f>
        <v>4.81324605314804E-005</v>
      </c>
    </row>
    <row r="2196" customFormat="false" ht="15" hidden="false" customHeight="false" outlineLevel="0" collapsed="false">
      <c r="A2196" s="1" t="s">
        <v>2203</v>
      </c>
      <c r="B2196" s="5" t="n">
        <v>30.1143</v>
      </c>
      <c r="C2196" s="5" t="n">
        <v>12.4667</v>
      </c>
      <c r="D2196" s="1" t="n">
        <f aca="false">LN(B2196/B2195)</f>
        <v>0.0185340685329809</v>
      </c>
      <c r="E2196" s="1" t="n">
        <f aca="false">LN(C2196/C2195)</f>
        <v>4.01076489350211E-005</v>
      </c>
      <c r="F2196" s="1" t="n">
        <f aca="false">B2196/B2195-1</f>
        <v>0.0187068904276875</v>
      </c>
      <c r="G2196" s="1" t="n">
        <f aca="false">C2196/C2195-1</f>
        <v>4.01084532575258E-005</v>
      </c>
    </row>
    <row r="2197" customFormat="false" ht="15" hidden="false" customHeight="false" outlineLevel="0" collapsed="false">
      <c r="A2197" s="1" t="s">
        <v>2204</v>
      </c>
      <c r="B2197" s="5" t="n">
        <v>29.9769</v>
      </c>
      <c r="C2197" s="5" t="n">
        <v>12.4671</v>
      </c>
      <c r="D2197" s="1" t="n">
        <f aca="false">LN(B2197/B2196)</f>
        <v>-0.00457305693519332</v>
      </c>
      <c r="E2197" s="1" t="n">
        <f aca="false">LN(C2197/C2196)</f>
        <v>3.20849609795674E-005</v>
      </c>
      <c r="F2197" s="1" t="n">
        <f aca="false">B2197/B2196-1</f>
        <v>-0.00456261643139633</v>
      </c>
      <c r="G2197" s="1" t="n">
        <f aca="false">C2197/C2196-1</f>
        <v>3.20854757074329E-005</v>
      </c>
    </row>
    <row r="2198" customFormat="false" ht="15" hidden="false" customHeight="false" outlineLevel="0" collapsed="false">
      <c r="A2198" s="1" t="s">
        <v>2205</v>
      </c>
      <c r="B2198" s="5" t="n">
        <v>29.7843</v>
      </c>
      <c r="C2198" s="5" t="n">
        <v>12.468</v>
      </c>
      <c r="D2198" s="1" t="n">
        <f aca="false">LN(B2198/B2197)</f>
        <v>-0.00644567601804192</v>
      </c>
      <c r="E2198" s="1" t="n">
        <f aca="false">LN(C2198/C2197)</f>
        <v>7.21873985178068E-005</v>
      </c>
      <c r="F2198" s="1" t="n">
        <f aca="false">B2198/B2197-1</f>
        <v>-0.00642494720935116</v>
      </c>
      <c r="G2198" s="1" t="n">
        <f aca="false">C2198/C2197-1</f>
        <v>7.21900040907553E-005</v>
      </c>
    </row>
    <row r="2199" customFormat="false" ht="15" hidden="false" customHeight="false" outlineLevel="0" collapsed="false">
      <c r="A2199" s="1" t="s">
        <v>2206</v>
      </c>
      <c r="B2199" s="5" t="n">
        <v>29.9399</v>
      </c>
      <c r="C2199" s="5" t="n">
        <v>12.4698</v>
      </c>
      <c r="D2199" s="1" t="n">
        <f aca="false">LN(B2199/B2198)</f>
        <v>0.00521062993069652</v>
      </c>
      <c r="E2199" s="1" t="n">
        <f aca="false">LN(C2199/C2198)</f>
        <v>0.000144359165854704</v>
      </c>
      <c r="F2199" s="1" t="n">
        <f aca="false">B2199/B2198-1</f>
        <v>0.00522422887225815</v>
      </c>
      <c r="G2199" s="1" t="n">
        <f aca="false">C2199/C2198-1</f>
        <v>0.000144369586140503</v>
      </c>
    </row>
    <row r="2200" customFormat="false" ht="15" hidden="false" customHeight="false" outlineLevel="0" collapsed="false">
      <c r="A2200" s="1" t="s">
        <v>2207</v>
      </c>
      <c r="B2200" s="5" t="n">
        <v>29.84</v>
      </c>
      <c r="C2200" s="5" t="n">
        <v>12.4704</v>
      </c>
      <c r="D2200" s="1" t="n">
        <f aca="false">LN(B2200/B2199)</f>
        <v>-0.00334226363698435</v>
      </c>
      <c r="E2200" s="1" t="n">
        <f aca="false">LN(C2200/C2199)</f>
        <v>4.81150913076842E-005</v>
      </c>
      <c r="F2200" s="1" t="n">
        <f aca="false">B2200/B2199-1</f>
        <v>-0.00333668449126423</v>
      </c>
      <c r="G2200" s="1" t="n">
        <f aca="false">C2200/C2199-1</f>
        <v>4.81162488572551E-005</v>
      </c>
    </row>
    <row r="2201" customFormat="false" ht="15" hidden="false" customHeight="false" outlineLevel="0" collapsed="false">
      <c r="A2201" s="1" t="s">
        <v>2208</v>
      </c>
      <c r="B2201" s="5" t="n">
        <v>29.6813</v>
      </c>
      <c r="C2201" s="5" t="n">
        <v>12.4709</v>
      </c>
      <c r="D2201" s="1" t="n">
        <f aca="false">LN(B2201/B2200)</f>
        <v>-0.0053325574565124</v>
      </c>
      <c r="E2201" s="1" t="n">
        <f aca="false">LN(C2201/C2200)</f>
        <v>4.00941410485565E-005</v>
      </c>
      <c r="F2201" s="1" t="n">
        <f aca="false">B2201/B2200-1</f>
        <v>-0.00531836461126001</v>
      </c>
      <c r="G2201" s="1" t="n">
        <f aca="false">C2201/C2200-1</f>
        <v>4.00949448293719E-005</v>
      </c>
    </row>
    <row r="2202" customFormat="false" ht="15" hidden="false" customHeight="false" outlineLevel="0" collapsed="false">
      <c r="A2202" s="1" t="s">
        <v>2209</v>
      </c>
      <c r="B2202" s="5" t="n">
        <v>29.7563</v>
      </c>
      <c r="C2202" s="5" t="n">
        <v>12.4714</v>
      </c>
      <c r="D2202" s="1" t="n">
        <f aca="false">LN(B2202/B2201)</f>
        <v>0.00252365639949319</v>
      </c>
      <c r="E2202" s="1" t="n">
        <f aca="false">LN(C2202/C2201)</f>
        <v>4.00925335726837E-005</v>
      </c>
      <c r="F2202" s="1" t="n">
        <f aca="false">B2202/B2201-1</f>
        <v>0.00252684350079013</v>
      </c>
      <c r="G2202" s="1" t="n">
        <f aca="false">C2202/C2201-1</f>
        <v>4.00933372890489E-005</v>
      </c>
    </row>
    <row r="2203" customFormat="false" ht="15" hidden="false" customHeight="false" outlineLevel="0" collapsed="false">
      <c r="A2203" s="1" t="s">
        <v>2210</v>
      </c>
      <c r="B2203" s="5" t="n">
        <v>30.1506</v>
      </c>
      <c r="C2203" s="5" t="n">
        <v>12.4722</v>
      </c>
      <c r="D2203" s="1" t="n">
        <f aca="false">LN(B2203/B2202)</f>
        <v>0.0131639491941539</v>
      </c>
      <c r="E2203" s="1" t="n">
        <f aca="false">LN(C2203/C2202)</f>
        <v>6.41447104889321E-005</v>
      </c>
      <c r="F2203" s="1" t="n">
        <f aca="false">B2203/B2202-1</f>
        <v>0.0132509754236918</v>
      </c>
      <c r="G2203" s="1" t="n">
        <f aca="false">C2203/C2202-1</f>
        <v>6.41467678048624E-005</v>
      </c>
    </row>
    <row r="2204" customFormat="false" ht="15" hidden="false" customHeight="false" outlineLevel="0" collapsed="false">
      <c r="A2204" s="1" t="s">
        <v>2211</v>
      </c>
      <c r="B2204" s="5" t="n">
        <v>30.1213</v>
      </c>
      <c r="C2204" s="5" t="n">
        <v>12.4737</v>
      </c>
      <c r="D2204" s="1" t="n">
        <f aca="false">LN(B2204/B2203)</f>
        <v>-0.000972260781826477</v>
      </c>
      <c r="E2204" s="1" t="n">
        <f aca="false">LN(C2204/C2203)</f>
        <v>0.000120260243310986</v>
      </c>
      <c r="F2204" s="1" t="n">
        <f aca="false">B2204/B2203-1</f>
        <v>-0.000971788289453546</v>
      </c>
      <c r="G2204" s="1" t="n">
        <f aca="false">C2204/C2203-1</f>
        <v>0.000120267474863933</v>
      </c>
    </row>
    <row r="2205" customFormat="false" ht="15" hidden="false" customHeight="false" outlineLevel="0" collapsed="false">
      <c r="A2205" s="1" t="s">
        <v>2212</v>
      </c>
      <c r="B2205" s="5" t="n">
        <v>30.4334</v>
      </c>
      <c r="C2205" s="5" t="n">
        <v>12.4743</v>
      </c>
      <c r="D2205" s="1" t="n">
        <f aca="false">LN(B2205/B2204)</f>
        <v>0.0103081268200494</v>
      </c>
      <c r="E2205" s="1" t="n">
        <f aca="false">LN(C2205/C2204)</f>
        <v>4.81000481092853E-005</v>
      </c>
      <c r="F2205" s="1" t="n">
        <f aca="false">B2205/B2204-1</f>
        <v>0.0103614385833279</v>
      </c>
      <c r="G2205" s="1" t="n">
        <f aca="false">C2205/C2204-1</f>
        <v>4.8101204935147E-005</v>
      </c>
    </row>
    <row r="2206" customFormat="false" ht="15" hidden="false" customHeight="false" outlineLevel="0" collapsed="false">
      <c r="A2206" s="1" t="s">
        <v>2213</v>
      </c>
      <c r="B2206" s="5" t="n">
        <v>30.5057</v>
      </c>
      <c r="C2206" s="5" t="n">
        <v>12.475</v>
      </c>
      <c r="D2206" s="1" t="n">
        <f aca="false">LN(B2206/B2205)</f>
        <v>0.00237286188747791</v>
      </c>
      <c r="E2206" s="1" t="n">
        <f aca="false">LN(C2206/C2205)</f>
        <v>5.61137987986098E-005</v>
      </c>
      <c r="F2206" s="1" t="n">
        <f aca="false">B2206/B2205-1</f>
        <v>0.00237567935229066</v>
      </c>
      <c r="G2206" s="1" t="n">
        <f aca="false">C2206/C2205-1</f>
        <v>5.61153732072661E-005</v>
      </c>
    </row>
    <row r="2207" customFormat="false" ht="15" hidden="false" customHeight="false" outlineLevel="0" collapsed="false">
      <c r="A2207" s="1" t="s">
        <v>2214</v>
      </c>
      <c r="B2207" s="5" t="n">
        <v>30.2289</v>
      </c>
      <c r="C2207" s="5" t="n">
        <v>12.4758</v>
      </c>
      <c r="D2207" s="1" t="n">
        <f aca="false">LN(B2207/B2206)</f>
        <v>-0.00911513096342035</v>
      </c>
      <c r="E2207" s="1" t="n">
        <f aca="false">LN(C2207/C2206)</f>
        <v>6.41262003842915E-005</v>
      </c>
      <c r="F2207" s="1" t="n">
        <f aca="false">B2207/B2206-1</f>
        <v>-0.00907371409277613</v>
      </c>
      <c r="G2207" s="1" t="n">
        <f aca="false">C2207/C2206-1</f>
        <v>6.41282565130297E-005</v>
      </c>
    </row>
    <row r="2208" customFormat="false" ht="15" hidden="false" customHeight="false" outlineLevel="0" collapsed="false">
      <c r="A2208" s="1" t="s">
        <v>2215</v>
      </c>
      <c r="B2208" s="5" t="n">
        <v>30.1918</v>
      </c>
      <c r="C2208" s="5" t="n">
        <v>12.4764</v>
      </c>
      <c r="D2208" s="1" t="n">
        <f aca="false">LN(B2208/B2207)</f>
        <v>-0.00122805610205139</v>
      </c>
      <c r="E2208" s="1" t="n">
        <f aca="false">LN(C2208/C2207)</f>
        <v>4.8091951821143E-005</v>
      </c>
      <c r="F2208" s="1" t="n">
        <f aca="false">B2208/B2207-1</f>
        <v>-0.00122730234973811</v>
      </c>
      <c r="G2208" s="1" t="n">
        <f aca="false">C2208/C2207-1</f>
        <v>4.80931082575964E-005</v>
      </c>
    </row>
    <row r="2209" customFormat="false" ht="15" hidden="false" customHeight="false" outlineLevel="0" collapsed="false">
      <c r="A2209" s="1" t="s">
        <v>2216</v>
      </c>
      <c r="B2209" s="5" t="n">
        <v>30.2232</v>
      </c>
      <c r="C2209" s="5" t="n">
        <v>12.4782</v>
      </c>
      <c r="D2209" s="1" t="n">
        <f aca="false">LN(B2209/B2208)</f>
        <v>0.00103947704468563</v>
      </c>
      <c r="E2209" s="1" t="n">
        <f aca="false">LN(C2209/C2208)</f>
        <v>0.000144261980005402</v>
      </c>
      <c r="F2209" s="1" t="n">
        <f aca="false">B2209/B2208-1</f>
        <v>0.00104001748819216</v>
      </c>
      <c r="G2209" s="1" t="n">
        <f aca="false">C2209/C2208-1</f>
        <v>0.000144272386265243</v>
      </c>
    </row>
    <row r="2210" customFormat="false" ht="15" hidden="false" customHeight="false" outlineLevel="0" collapsed="false">
      <c r="A2210" s="1" t="s">
        <v>2217</v>
      </c>
      <c r="B2210" s="5" t="n">
        <v>30.2731</v>
      </c>
      <c r="C2210" s="5" t="n">
        <v>12.4787</v>
      </c>
      <c r="D2210" s="1" t="n">
        <f aca="false">LN(B2210/B2209)</f>
        <v>0.00164968804098037</v>
      </c>
      <c r="E2210" s="1" t="n">
        <f aca="false">LN(C2210/C2209)</f>
        <v>4.00690790978332E-005</v>
      </c>
      <c r="F2210" s="1" t="n">
        <f aca="false">B2210/B2209-1</f>
        <v>0.00165104952486828</v>
      </c>
      <c r="G2210" s="1" t="n">
        <f aca="false">C2210/C2209-1</f>
        <v>4.00698818741052E-005</v>
      </c>
    </row>
    <row r="2211" customFormat="false" ht="15" hidden="false" customHeight="false" outlineLevel="0" collapsed="false">
      <c r="A2211" s="1" t="s">
        <v>2218</v>
      </c>
      <c r="B2211" s="5" t="n">
        <v>30.0449</v>
      </c>
      <c r="C2211" s="5" t="n">
        <v>12.4789</v>
      </c>
      <c r="D2211" s="1" t="n">
        <f aca="false">LN(B2211/B2210)</f>
        <v>-0.00756659997905953</v>
      </c>
      <c r="E2211" s="1" t="n">
        <f aca="false">LN(C2211/C2210)</f>
        <v>1.60271821012119E-005</v>
      </c>
      <c r="F2211" s="1" t="n">
        <f aca="false">B2211/B2210-1</f>
        <v>-0.0075380453273699</v>
      </c>
      <c r="G2211" s="1" t="n">
        <f aca="false">C2211/C2210-1</f>
        <v>1.60273105371811E-005</v>
      </c>
    </row>
    <row r="2212" customFormat="false" ht="15" hidden="false" customHeight="false" outlineLevel="0" collapsed="false">
      <c r="A2212" s="1" t="s">
        <v>2219</v>
      </c>
      <c r="B2212" s="5" t="n">
        <v>30.0682</v>
      </c>
      <c r="C2212" s="5" t="n">
        <v>12.4799</v>
      </c>
      <c r="D2212" s="1" t="n">
        <f aca="false">LN(B2212/B2211)</f>
        <v>0.000775205443300558</v>
      </c>
      <c r="E2212" s="1" t="n">
        <f aca="false">LN(C2212/C2211)</f>
        <v>8.01320576739673E-005</v>
      </c>
      <c r="F2212" s="1" t="n">
        <f aca="false">B2212/B2211-1</f>
        <v>0.000775505992697712</v>
      </c>
      <c r="G2212" s="1" t="n">
        <f aca="false">C2212/C2211-1</f>
        <v>8.01352683330592E-005</v>
      </c>
    </row>
    <row r="2213" customFormat="false" ht="15" hidden="false" customHeight="false" outlineLevel="0" collapsed="false">
      <c r="A2213" s="1" t="s">
        <v>2220</v>
      </c>
      <c r="B2213" s="5" t="n">
        <v>30.0957</v>
      </c>
      <c r="C2213" s="5" t="n">
        <v>12.4804</v>
      </c>
      <c r="D2213" s="1" t="n">
        <f aca="false">LN(B2213/B2212)</f>
        <v>0.000914169524088567</v>
      </c>
      <c r="E2213" s="1" t="n">
        <f aca="false">LN(C2213/C2212)</f>
        <v>4.00636210353618E-005</v>
      </c>
      <c r="F2213" s="1" t="n">
        <f aca="false">B2213/B2212-1</f>
        <v>0.000914587504406539</v>
      </c>
      <c r="G2213" s="1" t="n">
        <f aca="false">C2213/C2212-1</f>
        <v>4.00644235929448E-005</v>
      </c>
    </row>
    <row r="2214" customFormat="false" ht="15" hidden="false" customHeight="false" outlineLevel="0" collapsed="false">
      <c r="A2214" s="1" t="s">
        <v>2221</v>
      </c>
      <c r="B2214" s="5" t="n">
        <v>30.1933</v>
      </c>
      <c r="C2214" s="5" t="n">
        <v>12.4822</v>
      </c>
      <c r="D2214" s="1" t="n">
        <f aca="false">LN(B2214/B2213)</f>
        <v>0.00323774105596205</v>
      </c>
      <c r="E2214" s="1" t="n">
        <f aca="false">LN(C2214/C2213)</f>
        <v>0.000144215747007272</v>
      </c>
      <c r="F2214" s="1" t="n">
        <f aca="false">B2214/B2213-1</f>
        <v>0.00324298820097213</v>
      </c>
      <c r="G2214" s="1" t="n">
        <f aca="false">C2214/C2213-1</f>
        <v>0.000144226146598037</v>
      </c>
    </row>
    <row r="2215" customFormat="false" ht="15" hidden="false" customHeight="false" outlineLevel="0" collapsed="false">
      <c r="A2215" s="1" t="s">
        <v>2222</v>
      </c>
      <c r="B2215" s="5" t="n">
        <v>30.083</v>
      </c>
      <c r="C2215" s="5" t="n">
        <v>12.4827</v>
      </c>
      <c r="D2215" s="1" t="n">
        <f aca="false">LN(B2215/B2214)</f>
        <v>-0.00365981731179831</v>
      </c>
      <c r="E2215" s="1" t="n">
        <f aca="false">LN(C2215/C2214)</f>
        <v>4.00562389648191E-005</v>
      </c>
      <c r="F2215" s="1" t="n">
        <f aca="false">B2215/B2214-1</f>
        <v>-0.0036531283430431</v>
      </c>
      <c r="G2215" s="1" t="n">
        <f aca="false">C2215/C2214-1</f>
        <v>4.0057041226671E-005</v>
      </c>
    </row>
    <row r="2216" customFormat="false" ht="15" hidden="false" customHeight="false" outlineLevel="0" collapsed="false">
      <c r="A2216" s="1" t="s">
        <v>2223</v>
      </c>
      <c r="B2216" s="5" t="n">
        <v>30.4113</v>
      </c>
      <c r="C2216" s="5" t="n">
        <v>12.4834</v>
      </c>
      <c r="D2216" s="1" t="n">
        <f aca="false">LN(B2216/B2215)</f>
        <v>0.0108540217201657</v>
      </c>
      <c r="E2216" s="1" t="n">
        <f aca="false">LN(C2216/C2215)</f>
        <v>5.60760391237692E-005</v>
      </c>
      <c r="F2216" s="1" t="n">
        <f aca="false">B2216/B2215-1</f>
        <v>0.0109131403118041</v>
      </c>
      <c r="G2216" s="1" t="n">
        <f aca="false">C2216/C2215-1</f>
        <v>5.60776114142403E-005</v>
      </c>
    </row>
    <row r="2217" customFormat="false" ht="15" hidden="false" customHeight="false" outlineLevel="0" collapsed="false">
      <c r="A2217" s="1" t="s">
        <v>2224</v>
      </c>
      <c r="B2217" s="5" t="n">
        <v>30.6059</v>
      </c>
      <c r="C2217" s="5" t="n">
        <v>12.4839</v>
      </c>
      <c r="D2217" s="1" t="n">
        <f aca="false">LN(B2217/B2216)</f>
        <v>0.00637855095905513</v>
      </c>
      <c r="E2217" s="1" t="n">
        <f aca="false">LN(C2217/C2216)</f>
        <v>4.00523885296459E-005</v>
      </c>
      <c r="F2217" s="1" t="n">
        <f aca="false">B2217/B2216-1</f>
        <v>0.00639893723714535</v>
      </c>
      <c r="G2217" s="1" t="n">
        <f aca="false">C2217/C2216-1</f>
        <v>4.00531906372681E-005</v>
      </c>
    </row>
    <row r="2218" customFormat="false" ht="15" hidden="false" customHeight="false" outlineLevel="0" collapsed="false">
      <c r="A2218" s="1" t="s">
        <v>2225</v>
      </c>
      <c r="B2218" s="5" t="n">
        <v>30.5424</v>
      </c>
      <c r="C2218" s="5" t="n">
        <v>12.4847</v>
      </c>
      <c r="D2218" s="1" t="n">
        <f aca="false">LN(B2218/B2217)</f>
        <v>-0.00207691866580374</v>
      </c>
      <c r="E2218" s="1" t="n">
        <f aca="false">LN(C2218/C2217)</f>
        <v>6.40804851112199E-005</v>
      </c>
      <c r="F2218" s="1" t="n">
        <f aca="false">B2218/B2217-1</f>
        <v>-0.00207476336261958</v>
      </c>
      <c r="G2218" s="1" t="n">
        <f aca="false">C2218/C2217-1</f>
        <v>6.40825383093624E-005</v>
      </c>
    </row>
    <row r="2219" customFormat="false" ht="15" hidden="false" customHeight="false" outlineLevel="0" collapsed="false">
      <c r="A2219" s="1" t="s">
        <v>2226</v>
      </c>
      <c r="B2219" s="5" t="n">
        <v>30.3712</v>
      </c>
      <c r="C2219" s="5" t="n">
        <v>12.4871</v>
      </c>
      <c r="D2219" s="1" t="n">
        <f aca="false">LN(B2219/B2218)</f>
        <v>-0.00562109121046434</v>
      </c>
      <c r="E2219" s="1" t="n">
        <f aca="false">LN(C2219/C2218)</f>
        <v>0.000192216821165333</v>
      </c>
      <c r="F2219" s="1" t="n">
        <f aca="false">B2219/B2218-1</f>
        <v>-0.00560532243700562</v>
      </c>
      <c r="G2219" s="1" t="n">
        <f aca="false">C2219/C2218-1</f>
        <v>0.000192235296002208</v>
      </c>
    </row>
    <row r="2220" customFormat="false" ht="15" hidden="false" customHeight="false" outlineLevel="0" collapsed="false">
      <c r="A2220" s="1" t="s">
        <v>2227</v>
      </c>
      <c r="B2220" s="5" t="n">
        <v>30.1098</v>
      </c>
      <c r="C2220" s="5" t="n">
        <v>12.4873</v>
      </c>
      <c r="D2220" s="1" t="n">
        <f aca="false">LN(B2220/B2219)</f>
        <v>-0.0086440907939783</v>
      </c>
      <c r="E2220" s="1" t="n">
        <f aca="false">LN(C2220/C2219)</f>
        <v>1.60164007946842E-005</v>
      </c>
      <c r="F2220" s="1" t="n">
        <f aca="false">B2220/B2219-1</f>
        <v>-0.00860683805710683</v>
      </c>
      <c r="G2220" s="1" t="n">
        <f aca="false">C2220/C2219-1</f>
        <v>1.60165290579162E-005</v>
      </c>
    </row>
    <row r="2221" customFormat="false" ht="15" hidden="false" customHeight="false" outlineLevel="0" collapsed="false">
      <c r="A2221" s="1" t="s">
        <v>2228</v>
      </c>
      <c r="B2221" s="5" t="n">
        <v>30.0022</v>
      </c>
      <c r="C2221" s="5" t="n">
        <v>12.4881</v>
      </c>
      <c r="D2221" s="1" t="n">
        <f aca="false">LN(B2221/B2220)</f>
        <v>-0.00357998785332663</v>
      </c>
      <c r="E2221" s="1" t="n">
        <f aca="false">LN(C2221/C2220)</f>
        <v>6.40630380513281E-005</v>
      </c>
      <c r="F2221" s="1" t="n">
        <f aca="false">B2221/B2220-1</f>
        <v>-0.0035735873370133</v>
      </c>
      <c r="G2221" s="1" t="n">
        <f aca="false">C2221/C2220-1</f>
        <v>6.40650901315709E-005</v>
      </c>
    </row>
    <row r="2222" customFormat="false" ht="15" hidden="false" customHeight="false" outlineLevel="0" collapsed="false">
      <c r="A2222" s="1" t="s">
        <v>2229</v>
      </c>
      <c r="B2222" s="5" t="n">
        <v>29.9219</v>
      </c>
      <c r="C2222" s="5" t="n">
        <v>12.4887</v>
      </c>
      <c r="D2222" s="1" t="n">
        <f aca="false">LN(B2222/B2221)</f>
        <v>-0.00268005854286729</v>
      </c>
      <c r="E2222" s="1" t="n">
        <f aca="false">LN(C2222/C2221)</f>
        <v>4.80445853844022E-005</v>
      </c>
      <c r="F2222" s="1" t="n">
        <f aca="false">B2222/B2221-1</f>
        <v>-0.00267647039217112</v>
      </c>
      <c r="G2222" s="1" t="n">
        <f aca="false">C2222/C2221-1</f>
        <v>4.80457395439782E-005</v>
      </c>
    </row>
    <row r="2223" customFormat="false" ht="15" hidden="false" customHeight="false" outlineLevel="0" collapsed="false">
      <c r="A2223" s="1" t="s">
        <v>2230</v>
      </c>
      <c r="B2223" s="5" t="n">
        <v>29.8399</v>
      </c>
      <c r="C2223" s="5" t="n">
        <v>12.4906</v>
      </c>
      <c r="D2223" s="1" t="n">
        <f aca="false">LN(B2223/B2222)</f>
        <v>-0.00274422964035338</v>
      </c>
      <c r="E2223" s="1" t="n">
        <f aca="false">LN(C2223/C2222)</f>
        <v>0.00015212596058851</v>
      </c>
      <c r="F2223" s="1" t="n">
        <f aca="false">B2223/B2222-1</f>
        <v>-0.00274046768420455</v>
      </c>
      <c r="G2223" s="1" t="n">
        <f aca="false">C2223/C2222-1</f>
        <v>0.000152137532329233</v>
      </c>
    </row>
    <row r="2224" customFormat="false" ht="15" hidden="false" customHeight="false" outlineLevel="0" collapsed="false">
      <c r="A2224" s="1" t="s">
        <v>2231</v>
      </c>
      <c r="B2224" s="5" t="n">
        <v>29.7621</v>
      </c>
      <c r="C2224" s="5" t="n">
        <v>12.4911</v>
      </c>
      <c r="D2224" s="1" t="n">
        <f aca="false">LN(B2224/B2223)</f>
        <v>-0.00261065213204867</v>
      </c>
      <c r="E2224" s="1" t="n">
        <f aca="false">LN(C2224/C2223)</f>
        <v>4.00293014539121E-005</v>
      </c>
      <c r="F2224" s="1" t="n">
        <f aca="false">B2224/B2223-1</f>
        <v>-0.00260724734332218</v>
      </c>
      <c r="G2224" s="1" t="n">
        <f aca="false">C2224/C2223-1</f>
        <v>4.00301026370897E-005</v>
      </c>
    </row>
    <row r="2225" customFormat="false" ht="15" hidden="false" customHeight="false" outlineLevel="0" collapsed="false">
      <c r="A2225" s="1" t="s">
        <v>2232</v>
      </c>
      <c r="B2225" s="5" t="n">
        <v>30.0547</v>
      </c>
      <c r="C2225" s="5" t="n">
        <v>12.4918</v>
      </c>
      <c r="D2225" s="1" t="n">
        <f aca="false">LN(B2225/B2224)</f>
        <v>0.0097832827496298</v>
      </c>
      <c r="E2225" s="1" t="n">
        <f aca="false">LN(C2225/C2224)</f>
        <v>5.60383302324753E-005</v>
      </c>
      <c r="F2225" s="1" t="n">
        <f aca="false">B2225/B2224-1</f>
        <v>0.00983129550670148</v>
      </c>
      <c r="G2225" s="1" t="n">
        <f aca="false">C2225/C2224-1</f>
        <v>5.60399004090328E-005</v>
      </c>
    </row>
    <row r="2226" customFormat="false" ht="15" hidden="false" customHeight="false" outlineLevel="0" collapsed="false">
      <c r="A2226" s="1" t="s">
        <v>2233</v>
      </c>
      <c r="B2226" s="5" t="n">
        <v>30.1132</v>
      </c>
      <c r="C2226" s="5" t="n">
        <v>12.4926</v>
      </c>
      <c r="D2226" s="1" t="n">
        <f aca="false">LN(B2226/B2225)</f>
        <v>0.00194455908994278</v>
      </c>
      <c r="E2226" s="1" t="n">
        <f aca="false">LN(C2226/C2225)</f>
        <v>6.40399609575555E-005</v>
      </c>
      <c r="F2226" s="1" t="n">
        <f aca="false">B2226/B2225-1</f>
        <v>0.00194645097106272</v>
      </c>
      <c r="G2226" s="1" t="n">
        <f aca="false">C2226/C2225-1</f>
        <v>6.40420115596285E-005</v>
      </c>
    </row>
    <row r="2227" customFormat="false" ht="15" hidden="false" customHeight="false" outlineLevel="0" collapsed="false">
      <c r="A2227" s="1" t="s">
        <v>2234</v>
      </c>
      <c r="B2227" s="5" t="n">
        <v>30.4566</v>
      </c>
      <c r="C2227" s="5" t="n">
        <v>12.4931</v>
      </c>
      <c r="D2227" s="1" t="n">
        <f aca="false">LN(B2227/B2226)</f>
        <v>0.011339105606724</v>
      </c>
      <c r="E2227" s="1" t="n">
        <f aca="false">LN(C2227/C2226)</f>
        <v>4.00228931003315E-005</v>
      </c>
      <c r="F2227" s="1" t="n">
        <f aca="false">B2227/B2226-1</f>
        <v>0.0114036369432675</v>
      </c>
      <c r="G2227" s="1" t="n">
        <f aca="false">C2227/C2226-1</f>
        <v>4.00236940270027E-005</v>
      </c>
    </row>
    <row r="2228" customFormat="false" ht="15" hidden="false" customHeight="false" outlineLevel="0" collapsed="false">
      <c r="A2228" s="1" t="s">
        <v>2235</v>
      </c>
      <c r="B2228" s="5" t="n">
        <v>30.269</v>
      </c>
      <c r="C2228" s="5" t="n">
        <v>12.4946</v>
      </c>
      <c r="D2228" s="1" t="n">
        <f aca="false">LN(B2228/B2227)</f>
        <v>-0.00617863295908225</v>
      </c>
      <c r="E2228" s="1" t="n">
        <f aca="false">LN(C2228/C2227)</f>
        <v>0.000120059069206301</v>
      </c>
      <c r="F2228" s="1" t="n">
        <f aca="false">B2228/B2227-1</f>
        <v>-0.00615958445788445</v>
      </c>
      <c r="G2228" s="1" t="n">
        <f aca="false">C2228/C2227-1</f>
        <v>0.000120066276584785</v>
      </c>
    </row>
    <row r="2229" customFormat="false" ht="15" hidden="false" customHeight="false" outlineLevel="0" collapsed="false">
      <c r="A2229" s="1" t="s">
        <v>2236</v>
      </c>
      <c r="B2229" s="5" t="n">
        <v>30.2966</v>
      </c>
      <c r="C2229" s="5" t="n">
        <v>12.4951</v>
      </c>
      <c r="D2229" s="1" t="n">
        <f aca="false">LN(B2229/B2228)</f>
        <v>0.000911408519375057</v>
      </c>
      <c r="E2229" s="1" t="n">
        <f aca="false">LN(C2229/C2228)</f>
        <v>4.00164867978759E-005</v>
      </c>
      <c r="F2229" s="1" t="n">
        <f aca="false">B2229/B2228-1</f>
        <v>0.000911823978327675</v>
      </c>
      <c r="G2229" s="1" t="n">
        <f aca="false">C2229/C2228-1</f>
        <v>4.00172874681637E-005</v>
      </c>
    </row>
    <row r="2230" customFormat="false" ht="15" hidden="false" customHeight="false" outlineLevel="0" collapsed="false">
      <c r="A2230" s="1" t="s">
        <v>2237</v>
      </c>
      <c r="B2230" s="5" t="n">
        <v>30.4271</v>
      </c>
      <c r="C2230" s="5" t="n">
        <v>12.4957</v>
      </c>
      <c r="D2230" s="1" t="n">
        <f aca="false">LN(B2230/B2229)</f>
        <v>0.00429816367932057</v>
      </c>
      <c r="E2230" s="1" t="n">
        <f aca="false">LN(C2230/C2229)</f>
        <v>4.80176705118883E-005</v>
      </c>
      <c r="F2230" s="1" t="n">
        <f aca="false">B2230/B2229-1</f>
        <v>0.00430741403325774</v>
      </c>
      <c r="G2230" s="1" t="n">
        <f aca="false">C2230/C2229-1</f>
        <v>4.80188233786816E-005</v>
      </c>
    </row>
    <row r="2231" customFormat="false" ht="15" hidden="false" customHeight="false" outlineLevel="0" collapsed="false">
      <c r="A2231" s="1" t="s">
        <v>2238</v>
      </c>
      <c r="B2231" s="5" t="n">
        <v>30.7166</v>
      </c>
      <c r="C2231" s="5" t="n">
        <v>12.4963</v>
      </c>
      <c r="D2231" s="1" t="n">
        <f aca="false">LN(B2231/B2230)</f>
        <v>0.00946956639360572</v>
      </c>
      <c r="E2231" s="1" t="n">
        <f aca="false">LN(C2231/C2230)</f>
        <v>4.80153649260746E-005</v>
      </c>
      <c r="F2231" s="1" t="n">
        <f aca="false">B2231/B2230-1</f>
        <v>0.00951454460004397</v>
      </c>
      <c r="G2231" s="1" t="n">
        <f aca="false">C2231/C2230-1</f>
        <v>4.8016517682159E-005</v>
      </c>
    </row>
    <row r="2232" customFormat="false" ht="15" hidden="false" customHeight="false" outlineLevel="0" collapsed="false">
      <c r="A2232" s="1" t="s">
        <v>2239</v>
      </c>
      <c r="B2232" s="5" t="n">
        <v>30.4646</v>
      </c>
      <c r="C2232" s="5" t="n">
        <v>12.497</v>
      </c>
      <c r="D2232" s="1" t="n">
        <f aca="false">LN(B2232/B2231)</f>
        <v>-0.00823787127782311</v>
      </c>
      <c r="E2232" s="1" t="n">
        <f aca="false">LN(C2232/C2231)</f>
        <v>5.60150120379559E-005</v>
      </c>
      <c r="F2232" s="1" t="n">
        <f aca="false">B2232/B2231-1</f>
        <v>-0.00820403299844386</v>
      </c>
      <c r="G2232" s="1" t="n">
        <f aca="false">C2232/C2231-1</f>
        <v>5.6016580908036E-005</v>
      </c>
    </row>
    <row r="2233" customFormat="false" ht="15" hidden="false" customHeight="false" outlineLevel="0" collapsed="false">
      <c r="A2233" s="1" t="s">
        <v>2240</v>
      </c>
      <c r="B2233" s="5" t="n">
        <v>30.5195</v>
      </c>
      <c r="C2233" s="5" t="n">
        <v>12.4988</v>
      </c>
      <c r="D2233" s="1" t="n">
        <f aca="false">LN(B2233/B2232)</f>
        <v>0.00180046978903474</v>
      </c>
      <c r="E2233" s="1" t="n">
        <f aca="false">LN(C2233/C2232)</f>
        <v>0.000144024196313875</v>
      </c>
      <c r="F2233" s="1" t="n">
        <f aca="false">B2233/B2232-1</f>
        <v>0.00180209160796463</v>
      </c>
      <c r="G2233" s="1" t="n">
        <f aca="false">C2233/C2232-1</f>
        <v>0.00014403456829637</v>
      </c>
    </row>
    <row r="2234" customFormat="false" ht="15" hidden="false" customHeight="false" outlineLevel="0" collapsed="false">
      <c r="A2234" s="1" t="s">
        <v>2241</v>
      </c>
      <c r="B2234" s="5" t="n">
        <v>30.4221</v>
      </c>
      <c r="C2234" s="5" t="n">
        <v>12.4994</v>
      </c>
      <c r="D2234" s="1" t="n">
        <f aca="false">LN(B2234/B2233)</f>
        <v>-0.00319650560317512</v>
      </c>
      <c r="E2234" s="1" t="n">
        <f aca="false">LN(C2234/C2233)</f>
        <v>4.80034562579999E-005</v>
      </c>
      <c r="F2234" s="1" t="n">
        <f aca="false">B2234/B2233-1</f>
        <v>-0.00319140221825387</v>
      </c>
      <c r="G2234" s="1" t="n">
        <f aca="false">C2234/C2233-1</f>
        <v>4.80046084423424E-005</v>
      </c>
    </row>
    <row r="2235" customFormat="false" ht="15" hidden="false" customHeight="false" outlineLevel="0" collapsed="false">
      <c r="A2235" s="1" t="s">
        <v>2242</v>
      </c>
      <c r="B2235" s="5" t="n">
        <v>30.2464</v>
      </c>
      <c r="C2235" s="5" t="n">
        <v>12.5</v>
      </c>
      <c r="D2235" s="1" t="n">
        <f aca="false">LN(B2235/B2234)</f>
        <v>-0.00579214884867201</v>
      </c>
      <c r="E2235" s="1" t="n">
        <f aca="false">LN(C2235/C2234)</f>
        <v>4.80011520369961E-005</v>
      </c>
      <c r="F2235" s="1" t="n">
        <f aca="false">B2235/B2234-1</f>
        <v>-0.0057754066944754</v>
      </c>
      <c r="G2235" s="1" t="n">
        <f aca="false">C2235/C2234-1</f>
        <v>4.8002304110728E-005</v>
      </c>
    </row>
    <row r="2236" customFormat="false" ht="15" hidden="false" customHeight="false" outlineLevel="0" collapsed="false">
      <c r="A2236" s="1" t="s">
        <v>2243</v>
      </c>
      <c r="B2236" s="5" t="n">
        <v>30.5923</v>
      </c>
      <c r="C2236" s="5" t="n">
        <v>12.5009</v>
      </c>
      <c r="D2236" s="1" t="n">
        <f aca="false">LN(B2236/B2235)</f>
        <v>0.0113711741759209</v>
      </c>
      <c r="E2236" s="1" t="n">
        <f aca="false">LN(C2236/C2235)</f>
        <v>7.19974081244813E-005</v>
      </c>
      <c r="F2236" s="1" t="n">
        <f aca="false">B2236/B2235-1</f>
        <v>0.0114360717308506</v>
      </c>
      <c r="G2236" s="1" t="n">
        <f aca="false">C2236/C2235-1</f>
        <v>7.2000000000072E-005</v>
      </c>
    </row>
    <row r="2237" customFormat="false" ht="15" hidden="false" customHeight="false" outlineLevel="0" collapsed="false">
      <c r="A2237" s="1" t="s">
        <v>2244</v>
      </c>
      <c r="B2237" s="5" t="n">
        <v>30.485</v>
      </c>
      <c r="C2237" s="5" t="n">
        <v>12.5017</v>
      </c>
      <c r="D2237" s="1" t="n">
        <f aca="false">LN(B2237/B2236)</f>
        <v>-0.00351358394648378</v>
      </c>
      <c r="E2237" s="1" t="n">
        <f aca="false">LN(C2237/C2236)</f>
        <v>6.39933447140555E-005</v>
      </c>
      <c r="F2237" s="1" t="n">
        <f aca="false">B2237/B2236-1</f>
        <v>-0.00350741853342185</v>
      </c>
      <c r="G2237" s="1" t="n">
        <f aca="false">C2237/C2236-1</f>
        <v>6.39953923318171E-005</v>
      </c>
    </row>
    <row r="2238" customFormat="false" ht="15" hidden="false" customHeight="false" outlineLevel="0" collapsed="false">
      <c r="A2238" s="1" t="s">
        <v>2245</v>
      </c>
      <c r="B2238" s="5" t="n">
        <v>30.269</v>
      </c>
      <c r="C2238" s="5" t="n">
        <v>12.5031</v>
      </c>
      <c r="D2238" s="1" t="n">
        <f aca="false">LN(B2238/B2237)</f>
        <v>-0.00711067288110321</v>
      </c>
      <c r="E2238" s="1" t="n">
        <f aca="false">LN(C2238/C2237)</f>
        <v>0.000111978500244953</v>
      </c>
      <c r="F2238" s="1" t="n">
        <f aca="false">B2238/B2237-1</f>
        <v>-0.00708545186157128</v>
      </c>
      <c r="G2238" s="1" t="n">
        <f aca="false">C2238/C2237-1</f>
        <v>0.000111984770071238</v>
      </c>
    </row>
    <row r="2239" customFormat="false" ht="15" hidden="false" customHeight="false" outlineLevel="0" collapsed="false">
      <c r="A2239" s="1" t="s">
        <v>2246</v>
      </c>
      <c r="B2239" s="5" t="n">
        <v>30.354</v>
      </c>
      <c r="C2239" s="5" t="n">
        <v>12.5036</v>
      </c>
      <c r="D2239" s="1" t="n">
        <f aca="false">LN(B2239/B2238)</f>
        <v>0.00280421805917786</v>
      </c>
      <c r="E2239" s="1" t="n">
        <f aca="false">LN(C2239/C2238)</f>
        <v>3.99892828776647E-005</v>
      </c>
      <c r="F2239" s="1" t="n">
        <f aca="false">B2239/B2238-1</f>
        <v>0.00280815355644393</v>
      </c>
      <c r="G2239" s="1" t="n">
        <f aca="false">C2239/C2238-1</f>
        <v>3.99900824596955E-005</v>
      </c>
    </row>
    <row r="2240" customFormat="false" ht="15" hidden="false" customHeight="false" outlineLevel="0" collapsed="false">
      <c r="A2240" s="1" t="s">
        <v>2247</v>
      </c>
      <c r="B2240" s="5" t="n">
        <v>30.4083</v>
      </c>
      <c r="C2240" s="5" t="n">
        <v>12.504</v>
      </c>
      <c r="D2240" s="1" t="n">
        <f aca="false">LN(B2240/B2239)</f>
        <v>0.00178729292520954</v>
      </c>
      <c r="E2240" s="1" t="n">
        <f aca="false">LN(C2240/C2239)</f>
        <v>3.19902749589774E-005</v>
      </c>
      <c r="F2240" s="1" t="n">
        <f aca="false">B2240/B2239-1</f>
        <v>0.00178889108519464</v>
      </c>
      <c r="G2240" s="1" t="n">
        <f aca="false">C2240/C2239-1</f>
        <v>3.19907866532798E-005</v>
      </c>
    </row>
    <row r="2241" customFormat="false" ht="15" hidden="false" customHeight="false" outlineLevel="0" collapsed="false">
      <c r="A2241" s="1" t="s">
        <v>2248</v>
      </c>
      <c r="B2241" s="5" t="n">
        <v>30.1472</v>
      </c>
      <c r="C2241" s="5" t="n">
        <v>12.5046</v>
      </c>
      <c r="D2241" s="1" t="n">
        <f aca="false">LN(B2241/B2240)</f>
        <v>-0.00862354759085201</v>
      </c>
      <c r="E2241" s="1" t="n">
        <f aca="false">LN(C2241/C2240)</f>
        <v>4.7983493687488E-005</v>
      </c>
      <c r="F2241" s="1" t="n">
        <f aca="false">B2241/B2240-1</f>
        <v>-0.00858647145680613</v>
      </c>
      <c r="G2241" s="1" t="n">
        <f aca="false">C2241/C2240-1</f>
        <v>4.79846449137344E-005</v>
      </c>
    </row>
    <row r="2242" customFormat="false" ht="15" hidden="false" customHeight="false" outlineLevel="0" collapsed="false">
      <c r="A2242" s="1" t="s">
        <v>2249</v>
      </c>
      <c r="B2242" s="5" t="n">
        <v>30.3626</v>
      </c>
      <c r="C2242" s="5" t="n">
        <v>12.5055</v>
      </c>
      <c r="D2242" s="1" t="n">
        <f aca="false">LN(B2242/B2241)</f>
        <v>0.00711953798709034</v>
      </c>
      <c r="E2242" s="1" t="n">
        <f aca="false">LN(C2242/C2241)</f>
        <v>7.19709237778128E-005</v>
      </c>
      <c r="F2242" s="1" t="n">
        <f aca="false">B2242/B2241-1</f>
        <v>0.00714494215051476</v>
      </c>
      <c r="G2242" s="1" t="n">
        <f aca="false">C2242/C2241-1</f>
        <v>7.19735137468813E-005</v>
      </c>
    </row>
    <row r="2243" customFormat="false" ht="15" hidden="false" customHeight="false" outlineLevel="0" collapsed="false">
      <c r="A2243" s="1" t="s">
        <v>2250</v>
      </c>
      <c r="B2243" s="5" t="n">
        <v>30.3894</v>
      </c>
      <c r="C2243" s="5" t="n">
        <v>12.5071</v>
      </c>
      <c r="D2243" s="1" t="n">
        <f aca="false">LN(B2243/B2242)</f>
        <v>0.000882275537873514</v>
      </c>
      <c r="E2243" s="1" t="n">
        <f aca="false">LN(C2243/C2242)</f>
        <v>0.000127935520672139</v>
      </c>
      <c r="F2243" s="1" t="n">
        <f aca="false">B2243/B2242-1</f>
        <v>0.000882664857423166</v>
      </c>
      <c r="G2243" s="1" t="n">
        <f aca="false">C2243/C2242-1</f>
        <v>0.000127943704769873</v>
      </c>
    </row>
    <row r="2244" customFormat="false" ht="15" hidden="false" customHeight="false" outlineLevel="0" collapsed="false">
      <c r="A2244" s="1" t="s">
        <v>2251</v>
      </c>
      <c r="B2244" s="5" t="n">
        <v>30.4131</v>
      </c>
      <c r="C2244" s="5" t="n">
        <v>12.5076</v>
      </c>
      <c r="D2244" s="1" t="n">
        <f aca="false">LN(B2244/B2243)</f>
        <v>0.000779573247819725</v>
      </c>
      <c r="E2244" s="1" t="n">
        <f aca="false">LN(C2244/C2243)</f>
        <v>3.99764938269421E-005</v>
      </c>
      <c r="F2244" s="1" t="n">
        <f aca="false">B2244/B2243-1</f>
        <v>0.000779877194021728</v>
      </c>
      <c r="G2244" s="1" t="n">
        <f aca="false">C2244/C2243-1</f>
        <v>3.99772928976194E-005</v>
      </c>
    </row>
    <row r="2245" customFormat="false" ht="15" hidden="false" customHeight="false" outlineLevel="0" collapsed="false">
      <c r="A2245" s="1" t="s">
        <v>2252</v>
      </c>
      <c r="B2245" s="5" t="n">
        <v>30.3626</v>
      </c>
      <c r="C2245" s="5" t="n">
        <v>12.5084</v>
      </c>
      <c r="D2245" s="1" t="n">
        <f aca="false">LN(B2245/B2244)</f>
        <v>-0.00166184878569319</v>
      </c>
      <c r="E2245" s="1" t="n">
        <f aca="false">LN(C2245/C2244)</f>
        <v>6.39590662195117E-005</v>
      </c>
      <c r="F2245" s="1" t="n">
        <f aca="false">B2245/B2244-1</f>
        <v>-0.001660468679615</v>
      </c>
      <c r="G2245" s="1" t="n">
        <f aca="false">C2245/C2244-1</f>
        <v>6.39611116441952E-005</v>
      </c>
    </row>
    <row r="2246" customFormat="false" ht="15" hidden="false" customHeight="false" outlineLevel="0" collapsed="false">
      <c r="A2246" s="1" t="s">
        <v>2253</v>
      </c>
      <c r="B2246" s="5" t="n">
        <v>30.3642</v>
      </c>
      <c r="C2246" s="5" t="n">
        <v>12.5091</v>
      </c>
      <c r="D2246" s="1" t="n">
        <f aca="false">LN(B2246/B2245)</f>
        <v>5.26950209913059E-005</v>
      </c>
      <c r="E2246" s="1" t="n">
        <f aca="false">LN(C2246/C2245)</f>
        <v>5.5960827435346E-005</v>
      </c>
      <c r="F2246" s="1" t="n">
        <f aca="false">B2246/B2245-1</f>
        <v>5.26964093983118E-005</v>
      </c>
      <c r="G2246" s="1" t="n">
        <f aca="false">C2246/C2245-1</f>
        <v>5.5962393271658E-005</v>
      </c>
    </row>
    <row r="2247" customFormat="false" ht="15" hidden="false" customHeight="false" outlineLevel="0" collapsed="false">
      <c r="A2247" s="1" t="s">
        <v>2254</v>
      </c>
      <c r="B2247" s="5" t="n">
        <v>30.4389</v>
      </c>
      <c r="C2247" s="5" t="n">
        <v>12.5096</v>
      </c>
      <c r="D2247" s="1" t="n">
        <f aca="false">LN(B2247/B2246)</f>
        <v>0.00245711279796043</v>
      </c>
      <c r="E2247" s="1" t="n">
        <f aca="false">LN(C2247/C2246)</f>
        <v>3.9970102368832E-005</v>
      </c>
      <c r="F2247" s="1" t="n">
        <f aca="false">B2247/B2246-1</f>
        <v>0.00246013397356104</v>
      </c>
      <c r="G2247" s="1" t="n">
        <f aca="false">C2247/C2246-1</f>
        <v>3.99709011840166E-005</v>
      </c>
    </row>
    <row r="2248" customFormat="false" ht="15" hidden="false" customHeight="false" outlineLevel="0" collapsed="false">
      <c r="A2248" s="1" t="s">
        <v>2255</v>
      </c>
      <c r="B2248" s="5" t="n">
        <v>31.0979</v>
      </c>
      <c r="C2248" s="5" t="n">
        <v>12.5119</v>
      </c>
      <c r="D2248" s="1" t="n">
        <f aca="false">LN(B2248/B2247)</f>
        <v>0.0214188971113234</v>
      </c>
      <c r="E2248" s="1" t="n">
        <f aca="false">LN(C2248/C2247)</f>
        <v>0.000183841896487149</v>
      </c>
      <c r="F2248" s="1" t="n">
        <f aca="false">B2248/B2247-1</f>
        <v>0.0216499282168541</v>
      </c>
      <c r="G2248" s="1" t="n">
        <f aca="false">C2248/C2247-1</f>
        <v>0.000183858796444225</v>
      </c>
    </row>
    <row r="2249" customFormat="false" ht="15" hidden="false" customHeight="false" outlineLevel="0" collapsed="false">
      <c r="A2249" s="1" t="s">
        <v>2256</v>
      </c>
      <c r="B2249" s="5" t="n">
        <v>31.219</v>
      </c>
      <c r="C2249" s="5" t="n">
        <v>12.5123</v>
      </c>
      <c r="D2249" s="1" t="n">
        <f aca="false">LN(B2249/B2248)</f>
        <v>0.00388659103519409</v>
      </c>
      <c r="E2249" s="1" t="n">
        <f aca="false">LN(C2249/C2248)</f>
        <v>3.1969053958326E-005</v>
      </c>
      <c r="F2249" s="1" t="n">
        <f aca="false">B2249/B2248-1</f>
        <v>0.00389415362452139</v>
      </c>
      <c r="G2249" s="1" t="n">
        <f aca="false">C2249/C2248-1</f>
        <v>3.19695649739771E-005</v>
      </c>
    </row>
    <row r="2250" customFormat="false" ht="15" hidden="false" customHeight="false" outlineLevel="0" collapsed="false">
      <c r="A2250" s="1" t="s">
        <v>2257</v>
      </c>
      <c r="B2250" s="5" t="n">
        <v>30.9035</v>
      </c>
      <c r="C2250" s="5" t="n">
        <v>12.5124</v>
      </c>
      <c r="D2250" s="1" t="n">
        <f aca="false">LN(B2250/B2249)</f>
        <v>-0.0101574377270615</v>
      </c>
      <c r="E2250" s="1" t="n">
        <f aca="false">LN(C2250/C2249)</f>
        <v>7.99210380137503E-006</v>
      </c>
      <c r="F2250" s="1" t="n">
        <f aca="false">B2250/B2249-1</f>
        <v>-0.0101060251769756</v>
      </c>
      <c r="G2250" s="1" t="n">
        <f aca="false">C2250/C2249-1</f>
        <v>7.99213573832169E-006</v>
      </c>
    </row>
    <row r="2251" customFormat="false" ht="15" hidden="false" customHeight="false" outlineLevel="0" collapsed="false">
      <c r="A2251" s="1" t="s">
        <v>2258</v>
      </c>
      <c r="B2251" s="5" t="n">
        <v>30.3226</v>
      </c>
      <c r="C2251" s="5" t="n">
        <v>12.5157</v>
      </c>
      <c r="D2251" s="1" t="n">
        <f aca="false">LN(B2251/B2250)</f>
        <v>-0.0189761370211376</v>
      </c>
      <c r="E2251" s="1" t="n">
        <f aca="false">LN(C2251/C2250)</f>
        <v>0.000263703598685106</v>
      </c>
      <c r="F2251" s="1" t="n">
        <f aca="false">B2251/B2250-1</f>
        <v>-0.0187972236154481</v>
      </c>
      <c r="G2251" s="1" t="n">
        <f aca="false">C2251/C2250-1</f>
        <v>0.000263738371535593</v>
      </c>
    </row>
    <row r="2252" customFormat="false" ht="15" hidden="false" customHeight="false" outlineLevel="0" collapsed="false">
      <c r="A2252" s="1" t="s">
        <v>2259</v>
      </c>
      <c r="B2252" s="5" t="n">
        <v>30.158</v>
      </c>
      <c r="C2252" s="5" t="n">
        <v>12.5164</v>
      </c>
      <c r="D2252" s="1" t="n">
        <f aca="false">LN(B2252/B2251)</f>
        <v>-0.00544308113296809</v>
      </c>
      <c r="E2252" s="1" t="n">
        <f aca="false">LN(C2252/C2251)</f>
        <v>5.59281882208447E-005</v>
      </c>
      <c r="F2252" s="1" t="n">
        <f aca="false">B2252/B2251-1</f>
        <v>-0.00542829440747161</v>
      </c>
      <c r="G2252" s="1" t="n">
        <f aca="false">C2252/C2251-1</f>
        <v>5.59297522311208E-005</v>
      </c>
    </row>
    <row r="2253" customFormat="false" ht="15" hidden="false" customHeight="false" outlineLevel="0" collapsed="false">
      <c r="A2253" s="1" t="s">
        <v>2260</v>
      </c>
      <c r="B2253" s="5" t="n">
        <v>29.5179</v>
      </c>
      <c r="C2253" s="5" t="n">
        <v>12.5172</v>
      </c>
      <c r="D2253" s="1" t="n">
        <f aca="false">LN(B2253/B2252)</f>
        <v>-0.0214533689531568</v>
      </c>
      <c r="E2253" s="1" t="n">
        <f aca="false">LN(C2253/C2252)</f>
        <v>6.39140994721536E-005</v>
      </c>
      <c r="F2253" s="1" t="n">
        <f aca="false">B2253/B2252-1</f>
        <v>-0.0212248822866238</v>
      </c>
      <c r="G2253" s="1" t="n">
        <f aca="false">C2253/C2252-1</f>
        <v>6.39161420217249E-005</v>
      </c>
    </row>
    <row r="2254" customFormat="false" ht="15" hidden="false" customHeight="false" outlineLevel="0" collapsed="false">
      <c r="A2254" s="1" t="s">
        <v>2261</v>
      </c>
      <c r="B2254" s="5" t="n">
        <v>29.9449</v>
      </c>
      <c r="C2254" s="5" t="n">
        <v>12.519</v>
      </c>
      <c r="D2254" s="1" t="n">
        <f aca="false">LN(B2254/B2253)</f>
        <v>0.0143621672647339</v>
      </c>
      <c r="E2254" s="1" t="n">
        <f aca="false">LN(C2254/C2253)</f>
        <v>0.00014379178973644</v>
      </c>
      <c r="F2254" s="1" t="n">
        <f aca="false">B2254/B2253-1</f>
        <v>0.0144657987187435</v>
      </c>
      <c r="G2254" s="1" t="n">
        <f aca="false">C2254/C2253-1</f>
        <v>0.000143802128271364</v>
      </c>
    </row>
    <row r="2255" customFormat="false" ht="15" hidden="false" customHeight="false" outlineLevel="0" collapsed="false">
      <c r="A2255" s="1" t="s">
        <v>2262</v>
      </c>
      <c r="B2255" s="5" t="n">
        <v>30.1293</v>
      </c>
      <c r="C2255" s="5" t="n">
        <v>12.5195</v>
      </c>
      <c r="D2255" s="1" t="n">
        <f aca="false">LN(B2255/B2254)</f>
        <v>0.00613909395866658</v>
      </c>
      <c r="E2255" s="1" t="n">
        <f aca="false">LN(C2255/C2254)</f>
        <v>3.9938494723561E-005</v>
      </c>
      <c r="F2255" s="1" t="n">
        <f aca="false">B2255/B2254-1</f>
        <v>0.00615797681742136</v>
      </c>
      <c r="G2255" s="1" t="n">
        <f aca="false">C2255/C2254-1</f>
        <v>3.9939292275859E-005</v>
      </c>
    </row>
    <row r="2256" customFormat="false" ht="15" hidden="false" customHeight="false" outlineLevel="0" collapsed="false">
      <c r="A2256" s="1" t="s">
        <v>2263</v>
      </c>
      <c r="B2256" s="5" t="n">
        <v>30.231</v>
      </c>
      <c r="C2256" s="5" t="n">
        <v>12.52</v>
      </c>
      <c r="D2256" s="1" t="n">
        <f aca="false">LN(B2256/B2255)</f>
        <v>0.00336976775252753</v>
      </c>
      <c r="E2256" s="1" t="n">
        <f aca="false">LN(C2256/C2255)</f>
        <v>3.99368997036429E-005</v>
      </c>
      <c r="F2256" s="1" t="n">
        <f aca="false">B2256/B2255-1</f>
        <v>0.00337545180273025</v>
      </c>
      <c r="G2256" s="1" t="n">
        <f aca="false">C2256/C2255-1</f>
        <v>3.99376971922383E-005</v>
      </c>
    </row>
    <row r="2257" customFormat="false" ht="15" hidden="false" customHeight="false" outlineLevel="0" collapsed="false">
      <c r="A2257" s="1" t="s">
        <v>2264</v>
      </c>
      <c r="B2257" s="5" t="n">
        <v>30.2946</v>
      </c>
      <c r="C2257" s="5" t="n">
        <v>12.5208</v>
      </c>
      <c r="D2257" s="1" t="n">
        <f aca="false">LN(B2257/B2256)</f>
        <v>0.00210159084448305</v>
      </c>
      <c r="E2257" s="1" t="n">
        <f aca="false">LN(C2257/C2256)</f>
        <v>6.38957222031551E-005</v>
      </c>
      <c r="F2257" s="1" t="n">
        <f aca="false">B2257/B2256-1</f>
        <v>0.00210380073434546</v>
      </c>
      <c r="G2257" s="1" t="n">
        <f aca="false">C2257/C2256-1</f>
        <v>6.38977635782911E-005</v>
      </c>
    </row>
    <row r="2258" customFormat="false" ht="15" hidden="false" customHeight="false" outlineLevel="0" collapsed="false">
      <c r="A2258" s="1" t="s">
        <v>2265</v>
      </c>
      <c r="B2258" s="5" t="n">
        <v>30.1927</v>
      </c>
      <c r="C2258" s="5" t="n">
        <v>12.5214</v>
      </c>
      <c r="D2258" s="1" t="n">
        <f aca="false">LN(B2258/B2257)</f>
        <v>-0.00336930550377509</v>
      </c>
      <c r="E2258" s="1" t="n">
        <f aca="false">LN(C2258/C2257)</f>
        <v>4.79191125472166E-005</v>
      </c>
      <c r="F2258" s="1" t="n">
        <f aca="false">B2258/B2257-1</f>
        <v>-0.00336363576346943</v>
      </c>
      <c r="G2258" s="1" t="n">
        <f aca="false">C2258/C2257-1</f>
        <v>4.79202606862295E-005</v>
      </c>
    </row>
    <row r="2259" customFormat="false" ht="15" hidden="false" customHeight="false" outlineLevel="0" collapsed="false">
      <c r="A2259" s="1" t="s">
        <v>2266</v>
      </c>
      <c r="B2259" s="5" t="n">
        <v>30.2058</v>
      </c>
      <c r="C2259" s="5" t="n">
        <v>12.5234</v>
      </c>
      <c r="D2259" s="1" t="n">
        <f aca="false">LN(B2259/B2258)</f>
        <v>0.000433785614060551</v>
      </c>
      <c r="E2259" s="1" t="n">
        <f aca="false">LN(C2259/C2258)</f>
        <v>0.000159713793222754</v>
      </c>
      <c r="F2259" s="1" t="n">
        <f aca="false">B2259/B2258-1</f>
        <v>0.000433879712645746</v>
      </c>
      <c r="G2259" s="1" t="n">
        <f aca="false">C2259/C2258-1</f>
        <v>0.000159726548149663</v>
      </c>
    </row>
    <row r="2260" customFormat="false" ht="15" hidden="false" customHeight="false" outlineLevel="0" collapsed="false">
      <c r="A2260" s="1" t="s">
        <v>2267</v>
      </c>
      <c r="B2260" s="5" t="n">
        <v>30.3438</v>
      </c>
      <c r="C2260" s="5" t="n">
        <v>12.5241</v>
      </c>
      <c r="D2260" s="1" t="n">
        <f aca="false">LN(B2260/B2259)</f>
        <v>0.00455825435488491</v>
      </c>
      <c r="E2260" s="1" t="n">
        <f aca="false">LN(C2260/C2259)</f>
        <v>5.58938017910901E-005</v>
      </c>
      <c r="F2260" s="1" t="n">
        <f aca="false">B2260/B2259-1</f>
        <v>0.00456865899926506</v>
      </c>
      <c r="G2260" s="1" t="n">
        <f aca="false">C2260/C2259-1</f>
        <v>5.5895363878733E-005</v>
      </c>
    </row>
    <row r="2261" customFormat="false" ht="15" hidden="false" customHeight="false" outlineLevel="0" collapsed="false">
      <c r="A2261" s="1" t="s">
        <v>2268</v>
      </c>
      <c r="B2261" s="5" t="n">
        <v>30.2529</v>
      </c>
      <c r="C2261" s="5" t="n">
        <v>12.5253</v>
      </c>
      <c r="D2261" s="1" t="n">
        <f aca="false">LN(B2261/B2260)</f>
        <v>-0.003000165625604</v>
      </c>
      <c r="E2261" s="1" t="n">
        <f aca="false">LN(C2261/C2260)</f>
        <v>9.58106781733205E-005</v>
      </c>
      <c r="F2261" s="1" t="n">
        <f aca="false">B2261/B2260-1</f>
        <v>-0.00299566962608511</v>
      </c>
      <c r="G2261" s="1" t="n">
        <f aca="false">C2261/C2260-1</f>
        <v>9.58152681629354E-005</v>
      </c>
    </row>
    <row r="2262" customFormat="false" ht="15" hidden="false" customHeight="false" outlineLevel="0" collapsed="false">
      <c r="A2262" s="1" t="s">
        <v>2269</v>
      </c>
      <c r="B2262" s="5" t="n">
        <v>30.4578</v>
      </c>
      <c r="C2262" s="5" t="n">
        <v>12.526</v>
      </c>
      <c r="D2262" s="1" t="n">
        <f aca="false">LN(B2262/B2261)</f>
        <v>0.00675007133818384</v>
      </c>
      <c r="E2262" s="1" t="n">
        <f aca="false">LN(C2262/C2261)</f>
        <v>5.58853233311834E-005</v>
      </c>
      <c r="F2262" s="1" t="n">
        <f aca="false">B2262/B2261-1</f>
        <v>0.00677290441577494</v>
      </c>
      <c r="G2262" s="1" t="n">
        <f aca="false">C2262/C2261-1</f>
        <v>5.58868849449556E-005</v>
      </c>
    </row>
    <row r="2263" customFormat="false" ht="15" hidden="false" customHeight="false" outlineLevel="0" collapsed="false">
      <c r="A2263" s="1" t="s">
        <v>2270</v>
      </c>
      <c r="B2263" s="5" t="n">
        <v>30.6699</v>
      </c>
      <c r="C2263" s="5" t="n">
        <v>12.5283</v>
      </c>
      <c r="D2263" s="1" t="n">
        <f aca="false">LN(B2263/B2262)</f>
        <v>0.00693959861707479</v>
      </c>
      <c r="E2263" s="1" t="n">
        <f aca="false">LN(C2263/C2262)</f>
        <v>0.000183601218669946</v>
      </c>
      <c r="F2263" s="1" t="n">
        <f aca="false">B2263/B2262-1</f>
        <v>0.00696373342789047</v>
      </c>
      <c r="G2263" s="1" t="n">
        <f aca="false">C2263/C2262-1</f>
        <v>0.000183618074405256</v>
      </c>
    </row>
    <row r="2264" customFormat="false" ht="15" hidden="false" customHeight="false" outlineLevel="0" collapsed="false">
      <c r="A2264" s="1" t="s">
        <v>2271</v>
      </c>
      <c r="B2264" s="5" t="n">
        <v>30.5989</v>
      </c>
      <c r="C2264" s="5" t="n">
        <v>12.5287</v>
      </c>
      <c r="D2264" s="1" t="n">
        <f aca="false">LN(B2264/B2263)</f>
        <v>-0.00231765700590094</v>
      </c>
      <c r="E2264" s="1" t="n">
        <f aca="false">LN(C2264/C2263)</f>
        <v>3.19272059730824E-005</v>
      </c>
      <c r="F2264" s="1" t="n">
        <f aca="false">B2264/B2263-1</f>
        <v>-0.00231497331259634</v>
      </c>
      <c r="G2264" s="1" t="n">
        <f aca="false">C2264/C2263-1</f>
        <v>3.19277156517472E-005</v>
      </c>
    </row>
    <row r="2265" customFormat="false" ht="15" hidden="false" customHeight="false" outlineLevel="0" collapsed="false">
      <c r="A2265" s="1" t="s">
        <v>2272</v>
      </c>
      <c r="B2265" s="5" t="n">
        <v>30.536</v>
      </c>
      <c r="C2265" s="5" t="n">
        <v>12.5296</v>
      </c>
      <c r="D2265" s="1" t="n">
        <f aca="false">LN(B2265/B2264)</f>
        <v>-0.00205774515685369</v>
      </c>
      <c r="E2265" s="1" t="n">
        <f aca="false">LN(C2265/C2264)</f>
        <v>7.18324866719962E-005</v>
      </c>
      <c r="F2265" s="1" t="n">
        <f aca="false">B2265/B2264-1</f>
        <v>-0.0020556294507319</v>
      </c>
      <c r="G2265" s="1" t="n">
        <f aca="false">C2265/C2264-1</f>
        <v>7.18350666868428E-005</v>
      </c>
    </row>
    <row r="2266" customFormat="false" ht="15" hidden="false" customHeight="false" outlineLevel="0" collapsed="false">
      <c r="A2266" s="1" t="s">
        <v>2273</v>
      </c>
      <c r="B2266" s="5" t="n">
        <v>30.623</v>
      </c>
      <c r="C2266" s="5" t="n">
        <v>12.5306</v>
      </c>
      <c r="D2266" s="1" t="n">
        <f aca="false">LN(B2266/B2265)</f>
        <v>0.00284504516697575</v>
      </c>
      <c r="E2266" s="1" t="n">
        <f aca="false">LN(C2266/C2265)</f>
        <v>7.98078228051687E-005</v>
      </c>
      <c r="F2266" s="1" t="n">
        <f aca="false">B2266/B2265-1</f>
        <v>0.00284909614880791</v>
      </c>
      <c r="G2266" s="1" t="n">
        <f aca="false">C2266/C2265-1</f>
        <v>7.98110075341807E-005</v>
      </c>
    </row>
    <row r="2267" customFormat="false" ht="15" hidden="false" customHeight="false" outlineLevel="0" collapsed="false">
      <c r="A2267" s="1" t="s">
        <v>2274</v>
      </c>
      <c r="B2267" s="5" t="n">
        <v>30.6449</v>
      </c>
      <c r="C2267" s="5" t="n">
        <v>12.5321</v>
      </c>
      <c r="D2267" s="1" t="n">
        <f aca="false">LN(B2267/B2266)</f>
        <v>0.000714893147397048</v>
      </c>
      <c r="E2267" s="1" t="n">
        <f aca="false">LN(C2267/C2266)</f>
        <v>0.000119699793062322</v>
      </c>
      <c r="F2267" s="1" t="n">
        <f aca="false">B2267/B2266-1</f>
        <v>0.000715148744407701</v>
      </c>
      <c r="G2267" s="1" t="n">
        <f aca="false">C2267/C2266-1</f>
        <v>0.000119706957368404</v>
      </c>
    </row>
    <row r="2268" customFormat="false" ht="15" hidden="false" customHeight="false" outlineLevel="0" collapsed="false">
      <c r="A2268" s="1" t="s">
        <v>2275</v>
      </c>
      <c r="B2268" s="5" t="n">
        <v>30.7636</v>
      </c>
      <c r="C2268" s="5" t="n">
        <v>12.5328</v>
      </c>
      <c r="D2268" s="1" t="n">
        <f aca="false">LN(B2268/B2267)</f>
        <v>0.00386591914260066</v>
      </c>
      <c r="E2268" s="1" t="n">
        <f aca="false">LN(C2268/C2267)</f>
        <v>5.58550004334273E-005</v>
      </c>
      <c r="F2268" s="1" t="n">
        <f aca="false">B2268/B2267-1</f>
        <v>0.00387340144689663</v>
      </c>
      <c r="G2268" s="1" t="n">
        <f aca="false">C2268/C2267-1</f>
        <v>5.5856560353007E-005</v>
      </c>
    </row>
    <row r="2269" customFormat="false" ht="15" hidden="false" customHeight="false" outlineLevel="0" collapsed="false">
      <c r="A2269" s="1" t="s">
        <v>2276</v>
      </c>
      <c r="B2269" s="5" t="n">
        <v>30.6482</v>
      </c>
      <c r="C2269" s="5" t="n">
        <v>12.5333</v>
      </c>
      <c r="D2269" s="1" t="n">
        <f aca="false">LN(B2269/B2268)</f>
        <v>-0.0037582398115441</v>
      </c>
      <c r="E2269" s="1" t="n">
        <f aca="false">LN(C2269/C2268)</f>
        <v>3.9894518897381E-005</v>
      </c>
      <c r="F2269" s="1" t="n">
        <f aca="false">B2269/B2268-1</f>
        <v>-0.00375118646712347</v>
      </c>
      <c r="G2269" s="1" t="n">
        <f aca="false">C2269/C2268-1</f>
        <v>3.98953146942826E-005</v>
      </c>
    </row>
    <row r="2270" customFormat="false" ht="15" hidden="false" customHeight="false" outlineLevel="0" collapsed="false">
      <c r="A2270" s="1" t="s">
        <v>2277</v>
      </c>
      <c r="B2270" s="5" t="n">
        <v>30.8496</v>
      </c>
      <c r="C2270" s="5" t="n">
        <v>12.5342</v>
      </c>
      <c r="D2270" s="1" t="n">
        <f aca="false">LN(B2270/B2269)</f>
        <v>0.00654985121463632</v>
      </c>
      <c r="E2270" s="1" t="n">
        <f aca="false">LN(C2270/C2269)</f>
        <v>7.18061234975424E-005</v>
      </c>
      <c r="F2270" s="1" t="n">
        <f aca="false">B2270/B2269-1</f>
        <v>0.00657134839892715</v>
      </c>
      <c r="G2270" s="1" t="n">
        <f aca="false">C2270/C2269-1</f>
        <v>7.18087016189362E-005</v>
      </c>
    </row>
    <row r="2271" customFormat="false" ht="15" hidden="false" customHeight="false" outlineLevel="0" collapsed="false">
      <c r="A2271" s="1" t="s">
        <v>2278</v>
      </c>
      <c r="B2271" s="5" t="n">
        <v>30.9836</v>
      </c>
      <c r="C2271" s="5" t="n">
        <v>12.5348</v>
      </c>
      <c r="D2271" s="1" t="n">
        <f aca="false">LN(B2271/B2270)</f>
        <v>0.00433424793714833</v>
      </c>
      <c r="E2271" s="1" t="n">
        <f aca="false">LN(C2271/C2270)</f>
        <v>4.78678846474658E-005</v>
      </c>
      <c r="F2271" s="1" t="n">
        <f aca="false">B2271/B2270-1</f>
        <v>0.00434365437477302</v>
      </c>
      <c r="G2271" s="1" t="n">
        <f aca="false">C2271/C2270-1</f>
        <v>4.78690303329365E-005</v>
      </c>
    </row>
    <row r="2272" customFormat="false" ht="15" hidden="false" customHeight="false" outlineLevel="0" collapsed="false">
      <c r="A2272" s="1" t="s">
        <v>2279</v>
      </c>
      <c r="B2272" s="5" t="n">
        <v>30.8728</v>
      </c>
      <c r="C2272" s="5" t="n">
        <v>12.5364</v>
      </c>
      <c r="D2272" s="1" t="n">
        <f aca="false">LN(B2272/B2271)</f>
        <v>-0.00358249489149265</v>
      </c>
      <c r="E2272" s="1" t="n">
        <f aca="false">LN(C2272/C2271)</f>
        <v>0.000127636491446186</v>
      </c>
      <c r="F2272" s="1" t="n">
        <f aca="false">B2272/B2271-1</f>
        <v>-0.00357608541292809</v>
      </c>
      <c r="G2272" s="1" t="n">
        <f aca="false">C2272/C2271-1</f>
        <v>0.000127644637329727</v>
      </c>
    </row>
    <row r="2273" customFormat="false" ht="15" hidden="false" customHeight="false" outlineLevel="0" collapsed="false">
      <c r="A2273" s="1" t="s">
        <v>2280</v>
      </c>
      <c r="B2273" s="5" t="n">
        <v>30.6524</v>
      </c>
      <c r="C2273" s="5" t="n">
        <v>12.5367</v>
      </c>
      <c r="D2273" s="1" t="n">
        <f aca="false">LN(B2273/B2272)</f>
        <v>-0.00716457460620803</v>
      </c>
      <c r="E2273" s="1" t="n">
        <f aca="false">LN(C2273/C2272)</f>
        <v>2.39300285975637E-005</v>
      </c>
      <c r="F2273" s="1" t="n">
        <f aca="false">B2273/B2272-1</f>
        <v>-0.00713897022621857</v>
      </c>
      <c r="G2273" s="1" t="n">
        <f aca="false">C2273/C2272-1</f>
        <v>2.39303149229819E-005</v>
      </c>
    </row>
    <row r="2274" customFormat="false" ht="15" hidden="false" customHeight="false" outlineLevel="0" collapsed="false">
      <c r="A2274" s="1" t="s">
        <v>2281</v>
      </c>
      <c r="B2274" s="5" t="n">
        <v>30.6066</v>
      </c>
      <c r="C2274" s="5" t="n">
        <v>12.5379</v>
      </c>
      <c r="D2274" s="1" t="n">
        <f aca="false">LN(B2274/B2273)</f>
        <v>-0.00149529076653762</v>
      </c>
      <c r="E2274" s="1" t="n">
        <f aca="false">LN(C2274/C2273)</f>
        <v>9.57143883386579E-005</v>
      </c>
      <c r="F2274" s="1" t="n">
        <f aca="false">B2274/B2273-1</f>
        <v>-0.00149417337630986</v>
      </c>
      <c r="G2274" s="1" t="n">
        <f aca="false">C2274/C2273-1</f>
        <v>9.57189691068727E-005</v>
      </c>
    </row>
    <row r="2275" customFormat="false" ht="15" hidden="false" customHeight="false" outlineLevel="0" collapsed="false">
      <c r="A2275" s="1" t="s">
        <v>2282</v>
      </c>
      <c r="B2275" s="5" t="n">
        <v>30.4866</v>
      </c>
      <c r="C2275" s="5" t="n">
        <v>12.5385</v>
      </c>
      <c r="D2275" s="1" t="n">
        <f aca="false">LN(B2275/B2274)</f>
        <v>-0.00392842916480121</v>
      </c>
      <c r="E2275" s="1" t="n">
        <f aca="false">LN(C2275/C2274)</f>
        <v>4.78537589219468E-005</v>
      </c>
      <c r="F2275" s="1" t="n">
        <f aca="false">B2275/B2274-1</f>
        <v>-0.00392072298131774</v>
      </c>
      <c r="G2275" s="1" t="n">
        <f aca="false">C2275/C2274-1</f>
        <v>4.78549039313325E-005</v>
      </c>
    </row>
    <row r="2276" customFormat="false" ht="15" hidden="false" customHeight="false" outlineLevel="0" collapsed="false">
      <c r="A2276" s="1" t="s">
        <v>2283</v>
      </c>
      <c r="B2276" s="5" t="n">
        <v>30.576</v>
      </c>
      <c r="C2276" s="5" t="n">
        <v>12.5401</v>
      </c>
      <c r="D2276" s="1" t="n">
        <f aca="false">LN(B2276/B2275)</f>
        <v>0.00292814468681399</v>
      </c>
      <c r="E2276" s="1" t="n">
        <f aca="false">LN(C2276/C2275)</f>
        <v>0.000127598829453814</v>
      </c>
      <c r="F2276" s="1" t="n">
        <f aca="false">B2276/B2275-1</f>
        <v>0.00293243588986636</v>
      </c>
      <c r="G2276" s="1" t="n">
        <f aca="false">C2276/C2275-1</f>
        <v>0.000127606970530714</v>
      </c>
    </row>
    <row r="2277" customFormat="false" ht="15" hidden="false" customHeight="false" outlineLevel="0" collapsed="false">
      <c r="A2277" s="1" t="s">
        <v>2284</v>
      </c>
      <c r="B2277" s="5" t="n">
        <v>30.4617</v>
      </c>
      <c r="C2277" s="5" t="n">
        <v>12.5408</v>
      </c>
      <c r="D2277" s="1" t="n">
        <f aca="false">LN(B2277/B2276)</f>
        <v>-0.00374523068873145</v>
      </c>
      <c r="E2277" s="1" t="n">
        <f aca="false">LN(C2277/C2276)</f>
        <v>5.58193685378917E-005</v>
      </c>
      <c r="F2277" s="1" t="n">
        <f aca="false">B2277/B2276-1</f>
        <v>-0.00373822605965468</v>
      </c>
      <c r="G2277" s="1" t="n">
        <f aca="false">C2277/C2276-1</f>
        <v>5.58209264678311E-005</v>
      </c>
    </row>
    <row r="2278" customFormat="false" ht="15" hidden="false" customHeight="false" outlineLevel="0" collapsed="false">
      <c r="A2278" s="1" t="s">
        <v>2285</v>
      </c>
      <c r="B2278" s="5" t="n">
        <v>30.1032</v>
      </c>
      <c r="C2278" s="5" t="n">
        <v>12.541</v>
      </c>
      <c r="D2278" s="1" t="n">
        <f aca="false">LN(B2278/B2277)</f>
        <v>-0.0118386784127483</v>
      </c>
      <c r="E2278" s="1" t="n">
        <f aca="false">LN(C2278/C2277)</f>
        <v>1.59478187374003E-005</v>
      </c>
      <c r="F2278" s="1" t="n">
        <f aca="false">B2278/B2277-1</f>
        <v>-0.0117688769832282</v>
      </c>
      <c r="G2278" s="1" t="n">
        <f aca="false">C2278/C2277-1</f>
        <v>1.59479459045375E-005</v>
      </c>
    </row>
    <row r="2279" customFormat="false" ht="15" hidden="false" customHeight="false" outlineLevel="0" collapsed="false">
      <c r="A2279" s="1" t="s">
        <v>2286</v>
      </c>
      <c r="B2279" s="5" t="n">
        <v>30.1313</v>
      </c>
      <c r="C2279" s="5" t="n">
        <v>12.543</v>
      </c>
      <c r="D2279" s="1" t="n">
        <f aca="false">LN(B2279/B2278)</f>
        <v>0.000933020180743088</v>
      </c>
      <c r="E2279" s="1" t="n">
        <f aca="false">LN(C2279/C2278)</f>
        <v>0.000159464200624774</v>
      </c>
      <c r="F2279" s="1" t="n">
        <f aca="false">B2279/B2278-1</f>
        <v>0.00093345557947333</v>
      </c>
      <c r="G2279" s="1" t="n">
        <f aca="false">C2279/C2278-1</f>
        <v>0.000159476915716272</v>
      </c>
    </row>
    <row r="2280" customFormat="false" ht="15" hidden="false" customHeight="false" outlineLevel="0" collapsed="false">
      <c r="A2280" s="1" t="s">
        <v>2287</v>
      </c>
      <c r="B2280" s="5" t="n">
        <v>29.9716</v>
      </c>
      <c r="C2280" s="5" t="n">
        <v>12.5435</v>
      </c>
      <c r="D2280" s="1" t="n">
        <f aca="false">LN(B2280/B2279)</f>
        <v>-0.00531423195357565</v>
      </c>
      <c r="E2280" s="1" t="n">
        <f aca="false">LN(C2280/C2279)</f>
        <v>3.9862077218151E-005</v>
      </c>
      <c r="F2280" s="1" t="n">
        <f aca="false">B2280/B2279-1</f>
        <v>-0.00530013640300953</v>
      </c>
      <c r="G2280" s="1" t="n">
        <f aca="false">C2280/C2279-1</f>
        <v>3.98628717213079E-005</v>
      </c>
    </row>
    <row r="2281" customFormat="false" ht="15" hidden="false" customHeight="false" outlineLevel="0" collapsed="false">
      <c r="A2281" s="1" t="s">
        <v>2288</v>
      </c>
      <c r="B2281" s="5" t="n">
        <v>29.8379</v>
      </c>
      <c r="C2281" s="5" t="n">
        <v>12.5455</v>
      </c>
      <c r="D2281" s="1" t="n">
        <f aca="false">LN(B2281/B2280)</f>
        <v>-0.00447086909962551</v>
      </c>
      <c r="E2281" s="1" t="n">
        <f aca="false">LN(C2281/C2280)</f>
        <v>0.000159432420920472</v>
      </c>
      <c r="F2281" s="1" t="n">
        <f aca="false">B2281/B2280-1</f>
        <v>-0.00446088964219449</v>
      </c>
      <c r="G2281" s="1" t="n">
        <f aca="false">C2281/C2280-1</f>
        <v>0.000159445130944347</v>
      </c>
    </row>
    <row r="2282" customFormat="false" ht="15" hidden="false" customHeight="false" outlineLevel="0" collapsed="false">
      <c r="A2282" s="1" t="s">
        <v>2289</v>
      </c>
      <c r="B2282" s="5" t="n">
        <v>29.8564</v>
      </c>
      <c r="C2282" s="5" t="n">
        <v>12.5458</v>
      </c>
      <c r="D2282" s="1" t="n">
        <f aca="false">LN(B2282/B2281)</f>
        <v>0.000619824693221325</v>
      </c>
      <c r="E2282" s="1" t="n">
        <f aca="false">LN(C2282/C2281)</f>
        <v>2.391267092693E-005</v>
      </c>
      <c r="F2282" s="1" t="n">
        <f aca="false">B2282/B2281-1</f>
        <v>0.000620016824240288</v>
      </c>
      <c r="G2282" s="1" t="n">
        <f aca="false">C2282/C2281-1</f>
        <v>2.39129568371244E-005</v>
      </c>
    </row>
    <row r="2283" customFormat="false" ht="15" hidden="false" customHeight="false" outlineLevel="0" collapsed="false">
      <c r="A2283" s="1" t="s">
        <v>2290</v>
      </c>
      <c r="B2283" s="5" t="n">
        <v>29.6503</v>
      </c>
      <c r="C2283" s="5" t="n">
        <v>12.5465</v>
      </c>
      <c r="D2283" s="1" t="n">
        <f aca="false">LN(B2283/B2282)</f>
        <v>-0.00692697878080845</v>
      </c>
      <c r="E2283" s="1" t="n">
        <f aca="false">LN(C2283/C2282)</f>
        <v>5.57940085351122E-005</v>
      </c>
      <c r="F2283" s="1" t="n">
        <f aca="false">B2283/B2282-1</f>
        <v>-0.00690304256373842</v>
      </c>
      <c r="G2283" s="1" t="n">
        <f aca="false">C2283/C2282-1</f>
        <v>5.57955650497544E-005</v>
      </c>
    </row>
    <row r="2284" customFormat="false" ht="15" hidden="false" customHeight="false" outlineLevel="0" collapsed="false">
      <c r="A2284" s="1" t="s">
        <v>2291</v>
      </c>
      <c r="B2284" s="5" t="n">
        <v>29.7475</v>
      </c>
      <c r="C2284" s="5" t="n">
        <v>12.5473</v>
      </c>
      <c r="D2284" s="1" t="n">
        <f aca="false">LN(B2284/B2283)</f>
        <v>0.00327285141077913</v>
      </c>
      <c r="E2284" s="1" t="n">
        <f aca="false">LN(C2284/C2283)</f>
        <v>6.37607696141149E-005</v>
      </c>
      <c r="F2284" s="1" t="n">
        <f aca="false">B2284/B2283-1</f>
        <v>0.00327821303663023</v>
      </c>
      <c r="G2284" s="1" t="n">
        <f aca="false">C2284/C2283-1</f>
        <v>6.37628023751891E-005</v>
      </c>
    </row>
    <row r="2285" customFormat="false" ht="15" hidden="false" customHeight="false" outlineLevel="0" collapsed="false">
      <c r="A2285" s="1" t="s">
        <v>2292</v>
      </c>
      <c r="B2285" s="5" t="n">
        <v>29.4494</v>
      </c>
      <c r="C2285" s="5" t="n">
        <v>12.5489</v>
      </c>
      <c r="D2285" s="1" t="n">
        <f aca="false">LN(B2285/B2284)</f>
        <v>-0.0100715584715498</v>
      </c>
      <c r="E2285" s="1" t="n">
        <f aca="false">LN(C2285/C2284)</f>
        <v>0.000127509344216883</v>
      </c>
      <c r="F2285" s="1" t="n">
        <f aca="false">B2285/B2284-1</f>
        <v>-0.0100210101689217</v>
      </c>
      <c r="G2285" s="1" t="n">
        <f aca="false">C2285/C2284-1</f>
        <v>0.000127517473878847</v>
      </c>
    </row>
    <row r="2286" customFormat="false" ht="15" hidden="false" customHeight="false" outlineLevel="0" collapsed="false">
      <c r="A2286" s="1" t="s">
        <v>2293</v>
      </c>
      <c r="B2286" s="5" t="n">
        <v>29.3871</v>
      </c>
      <c r="C2286" s="5" t="n">
        <v>12.5494</v>
      </c>
      <c r="D2286" s="1" t="n">
        <f aca="false">LN(B2286/B2285)</f>
        <v>-0.00211773383133145</v>
      </c>
      <c r="E2286" s="1" t="n">
        <f aca="false">LN(C2286/C2285)</f>
        <v>3.98433360081785E-005</v>
      </c>
      <c r="F2286" s="1" t="n">
        <f aca="false">B2286/B2285-1</f>
        <v>-0.0021154930151378</v>
      </c>
      <c r="G2286" s="1" t="n">
        <f aca="false">C2286/C2285-1</f>
        <v>3.98441297644325E-005</v>
      </c>
    </row>
    <row r="2287" customFormat="false" ht="15" hidden="false" customHeight="false" outlineLevel="0" collapsed="false">
      <c r="A2287" s="1" t="s">
        <v>2294</v>
      </c>
      <c r="B2287" s="5" t="n">
        <v>29.4884</v>
      </c>
      <c r="C2287" s="5" t="n">
        <v>12.5498</v>
      </c>
      <c r="D2287" s="1" t="n">
        <f aca="false">LN(B2287/B2286)</f>
        <v>0.00344116313111057</v>
      </c>
      <c r="E2287" s="1" t="n">
        <f aca="false">LN(C2287/C2286)</f>
        <v>3.18735258521023E-005</v>
      </c>
      <c r="F2287" s="1" t="n">
        <f aca="false">B2287/B2286-1</f>
        <v>0.00344709073028637</v>
      </c>
      <c r="G2287" s="1" t="n">
        <f aca="false">C2287/C2286-1</f>
        <v>3.18740338183243E-005</v>
      </c>
    </row>
    <row r="2288" customFormat="false" ht="15" hidden="false" customHeight="false" outlineLevel="0" collapsed="false">
      <c r="A2288" s="1" t="s">
        <v>2295</v>
      </c>
      <c r="B2288" s="5" t="n">
        <v>29.4095</v>
      </c>
      <c r="C2288" s="5" t="n">
        <v>12.5508</v>
      </c>
      <c r="D2288" s="1" t="n">
        <f aca="false">LN(B2288/B2287)</f>
        <v>-0.00267921427407718</v>
      </c>
      <c r="E2288" s="1" t="n">
        <f aca="false">LN(C2288/C2287)</f>
        <v>7.96793702564417E-005</v>
      </c>
      <c r="F2288" s="1" t="n">
        <f aca="false">B2288/B2287-1</f>
        <v>-0.00267562838268598</v>
      </c>
      <c r="G2288" s="1" t="n">
        <f aca="false">C2288/C2287-1</f>
        <v>7.96825447417771E-005</v>
      </c>
    </row>
    <row r="2289" customFormat="false" ht="15" hidden="false" customHeight="false" outlineLevel="0" collapsed="false">
      <c r="A2289" s="1" t="s">
        <v>2296</v>
      </c>
      <c r="B2289" s="5" t="n">
        <v>29.3441</v>
      </c>
      <c r="C2289" s="5" t="n">
        <v>12.5511</v>
      </c>
      <c r="D2289" s="1" t="n">
        <f aca="false">LN(B2289/B2288)</f>
        <v>-0.00222624748138556</v>
      </c>
      <c r="E2289" s="1" t="n">
        <f aca="false">LN(C2289/C2288)</f>
        <v>2.39025731130667E-005</v>
      </c>
      <c r="F2289" s="1" t="n">
        <f aca="false">B2289/B2288-1</f>
        <v>-0.00222377123038475</v>
      </c>
      <c r="G2289" s="1" t="n">
        <f aca="false">C2289/C2288-1</f>
        <v>2.39028587818435E-005</v>
      </c>
    </row>
    <row r="2290" customFormat="false" ht="15" hidden="false" customHeight="false" outlineLevel="0" collapsed="false">
      <c r="A2290" s="1" t="s">
        <v>2297</v>
      </c>
      <c r="B2290" s="5" t="n">
        <v>29.1123</v>
      </c>
      <c r="C2290" s="5" t="n">
        <v>12.5532</v>
      </c>
      <c r="D2290" s="1" t="n">
        <f aca="false">LN(B2290/B2289)</f>
        <v>-0.00793073863432162</v>
      </c>
      <c r="E2290" s="1" t="n">
        <f aca="false">LN(C2290/C2289)</f>
        <v>0.000167302016379644</v>
      </c>
      <c r="F2290" s="1" t="n">
        <f aca="false">B2290/B2289-1</f>
        <v>-0.00789937329820989</v>
      </c>
      <c r="G2290" s="1" t="n">
        <f aca="false">C2290/C2289-1</f>
        <v>0.000167316012142482</v>
      </c>
    </row>
    <row r="2291" customFormat="false" ht="15" hidden="false" customHeight="false" outlineLevel="0" collapsed="false">
      <c r="A2291" s="1" t="s">
        <v>2298</v>
      </c>
      <c r="B2291" s="5" t="n">
        <v>29.1104</v>
      </c>
      <c r="C2291" s="5" t="n">
        <v>12.5539</v>
      </c>
      <c r="D2291" s="1" t="n">
        <f aca="false">LN(B2291/B2290)</f>
        <v>-6.52666400107686E-005</v>
      </c>
      <c r="E2291" s="1" t="n">
        <f aca="false">LN(C2291/C2290)</f>
        <v>5.57611193790426E-005</v>
      </c>
      <c r="F2291" s="1" t="n">
        <f aca="false">B2291/B2290-1</f>
        <v>-6.52645101899552E-005</v>
      </c>
      <c r="G2291" s="1" t="n">
        <f aca="false">C2291/C2290-1</f>
        <v>5.57626740591566E-005</v>
      </c>
    </row>
    <row r="2292" customFormat="false" ht="15" hidden="false" customHeight="false" outlineLevel="0" collapsed="false">
      <c r="A2292" s="1" t="s">
        <v>2299</v>
      </c>
      <c r="B2292" s="5" t="n">
        <v>29.4255</v>
      </c>
      <c r="C2292" s="5" t="n">
        <v>12.5543</v>
      </c>
      <c r="D2292" s="1" t="n">
        <f aca="false">LN(B2292/B2291)</f>
        <v>0.0107661467098073</v>
      </c>
      <c r="E2292" s="1" t="n">
        <f aca="false">LN(C2292/C2291)</f>
        <v>3.18621008302279E-005</v>
      </c>
      <c r="F2292" s="1" t="n">
        <f aca="false">B2292/B2291-1</f>
        <v>0.0108243102121579</v>
      </c>
      <c r="G2292" s="1" t="n">
        <f aca="false">C2292/C2291-1</f>
        <v>3.18626084323537E-005</v>
      </c>
    </row>
    <row r="2293" customFormat="false" ht="15" hidden="false" customHeight="false" outlineLevel="0" collapsed="false">
      <c r="A2293" s="1" t="s">
        <v>2300</v>
      </c>
      <c r="B2293" s="5" t="n">
        <v>29.2832</v>
      </c>
      <c r="C2293" s="5" t="n">
        <v>12.5547</v>
      </c>
      <c r="D2293" s="1" t="n">
        <f aca="false">LN(B2293/B2292)</f>
        <v>-0.00484767261649098</v>
      </c>
      <c r="E2293" s="1" t="n">
        <f aca="false">LN(C2293/C2292)</f>
        <v>3.18610856693103E-005</v>
      </c>
      <c r="F2293" s="1" t="n">
        <f aca="false">B2293/B2292-1</f>
        <v>-0.00483594161526568</v>
      </c>
      <c r="G2293" s="1" t="n">
        <f aca="false">C2293/C2292-1</f>
        <v>3.18615932390909E-005</v>
      </c>
    </row>
    <row r="2294" customFormat="false" ht="15" hidden="false" customHeight="false" outlineLevel="0" collapsed="false">
      <c r="A2294" s="1" t="s">
        <v>2301</v>
      </c>
      <c r="B2294" s="5" t="n">
        <v>29.3393</v>
      </c>
      <c r="C2294" s="5" t="n">
        <v>12.5556</v>
      </c>
      <c r="D2294" s="1" t="n">
        <f aca="false">LN(B2294/B2293)</f>
        <v>0.00191394147725971</v>
      </c>
      <c r="E2294" s="1" t="n">
        <f aca="false">LN(C2294/C2293)</f>
        <v>7.16837314078746E-005</v>
      </c>
      <c r="F2294" s="1" t="n">
        <f aca="false">B2294/B2293-1</f>
        <v>0.00191577423232436</v>
      </c>
      <c r="G2294" s="1" t="n">
        <f aca="false">C2294/C2293-1</f>
        <v>7.16863007479418E-005</v>
      </c>
    </row>
    <row r="2295" customFormat="false" ht="15" hidden="false" customHeight="false" outlineLevel="0" collapsed="false">
      <c r="A2295" s="1" t="s">
        <v>2302</v>
      </c>
      <c r="B2295" s="5" t="n">
        <v>29.5821</v>
      </c>
      <c r="C2295" s="5" t="n">
        <v>12.5573</v>
      </c>
      <c r="D2295" s="1" t="n">
        <f aca="false">LN(B2295/B2294)</f>
        <v>0.00824153446133061</v>
      </c>
      <c r="E2295" s="1" t="n">
        <f aca="false">LN(C2295/C2294)</f>
        <v>0.000135388585356139</v>
      </c>
      <c r="F2295" s="1" t="n">
        <f aca="false">B2295/B2294-1</f>
        <v>0.00827558939715667</v>
      </c>
      <c r="G2295" s="1" t="n">
        <f aca="false">C2295/C2294-1</f>
        <v>0.000135397750804289</v>
      </c>
    </row>
    <row r="2296" customFormat="false" ht="15" hidden="false" customHeight="false" outlineLevel="0" collapsed="false">
      <c r="A2296" s="1" t="s">
        <v>2303</v>
      </c>
      <c r="B2296" s="5" t="n">
        <v>29.619</v>
      </c>
      <c r="C2296" s="5" t="n">
        <v>12.5579</v>
      </c>
      <c r="D2296" s="1" t="n">
        <f aca="false">LN(B2296/B2295)</f>
        <v>0.00124659861990995</v>
      </c>
      <c r="E2296" s="1" t="n">
        <f aca="false">LN(C2296/C2295)</f>
        <v>4.77798305500082E-005</v>
      </c>
      <c r="F2296" s="1" t="n">
        <f aca="false">B2296/B2295-1</f>
        <v>0.00124737594694091</v>
      </c>
      <c r="G2296" s="1" t="n">
        <f aca="false">C2296/C2295-1</f>
        <v>4.77809720242917E-005</v>
      </c>
    </row>
    <row r="2297" customFormat="false" ht="15" hidden="false" customHeight="false" outlineLevel="0" collapsed="false">
      <c r="A2297" s="1" t="s">
        <v>2304</v>
      </c>
      <c r="B2297" s="5" t="n">
        <v>29.6557</v>
      </c>
      <c r="C2297" s="5" t="n">
        <v>12.5584</v>
      </c>
      <c r="D2297" s="1" t="n">
        <f aca="false">LN(B2297/B2296)</f>
        <v>0.00123830250307904</v>
      </c>
      <c r="E2297" s="1" t="n">
        <f aca="false">LN(C2297/C2296)</f>
        <v>3.98147816410892E-005</v>
      </c>
      <c r="F2297" s="1" t="n">
        <f aca="false">B2297/B2296-1</f>
        <v>0.00123906951618902</v>
      </c>
      <c r="G2297" s="1" t="n">
        <f aca="false">C2297/C2296-1</f>
        <v>3.9815574260027E-005</v>
      </c>
    </row>
    <row r="2298" customFormat="false" ht="15" hidden="false" customHeight="false" outlineLevel="0" collapsed="false">
      <c r="A2298" s="1" t="s">
        <v>2305</v>
      </c>
      <c r="B2298" s="5" t="n">
        <v>33.9958</v>
      </c>
      <c r="C2298" s="5" t="n">
        <v>12.6454</v>
      </c>
      <c r="D2298" s="1" t="n">
        <f aca="false">LN(B2298/B2297)</f>
        <v>0.136582637773509</v>
      </c>
      <c r="E2298" s="1" t="n">
        <f aca="false">LN(C2298/C2297)</f>
        <v>0.00690374828774584</v>
      </c>
      <c r="F2298" s="1" t="n">
        <f aca="false">B2298/B2297-1</f>
        <v>0.146349605640737</v>
      </c>
      <c r="G2298" s="1" t="n">
        <f aca="false">C2298/C2297-1</f>
        <v>0.00692763409351516</v>
      </c>
    </row>
    <row r="2299" customFormat="false" ht="15" hidden="false" customHeight="false" outlineLevel="0" collapsed="false">
      <c r="A2299" s="1" t="s">
        <v>2306</v>
      </c>
      <c r="B2299" s="5" t="n">
        <v>34.2615</v>
      </c>
      <c r="C2299" s="5" t="n">
        <v>12.6468</v>
      </c>
      <c r="D2299" s="1" t="n">
        <f aca="false">LN(B2299/B2298)</f>
        <v>0.00778528720065063</v>
      </c>
      <c r="E2299" s="1" t="n">
        <f aca="false">LN(C2299/C2298)</f>
        <v>0.000110706067596264</v>
      </c>
      <c r="F2299" s="1" t="n">
        <f aca="false">B2299/B2298-1</f>
        <v>0.00781567134763694</v>
      </c>
      <c r="G2299" s="1" t="n">
        <f aca="false">C2299/C2298-1</f>
        <v>0.000110712195739104</v>
      </c>
    </row>
    <row r="2300" customFormat="false" ht="15" hidden="false" customHeight="false" outlineLevel="0" collapsed="false">
      <c r="A2300" s="1" t="s">
        <v>2307</v>
      </c>
      <c r="B2300" s="5" t="n">
        <v>34.471</v>
      </c>
      <c r="C2300" s="5" t="n">
        <v>12.6475</v>
      </c>
      <c r="D2300" s="1" t="n">
        <f aca="false">LN(B2300/B2299)</f>
        <v>0.00609611606728113</v>
      </c>
      <c r="E2300" s="1" t="n">
        <f aca="false">LN(C2300/C2299)</f>
        <v>5.53484381998681E-005</v>
      </c>
      <c r="F2300" s="1" t="n">
        <f aca="false">B2300/B2299-1</f>
        <v>0.00611473519840056</v>
      </c>
      <c r="G2300" s="1" t="n">
        <f aca="false">C2300/C2299-1</f>
        <v>5.53499699529336E-005</v>
      </c>
    </row>
    <row r="2301" customFormat="false" ht="15" hidden="false" customHeight="false" outlineLevel="0" collapsed="false">
      <c r="A2301" s="1" t="s">
        <v>2308</v>
      </c>
      <c r="B2301" s="5" t="n">
        <v>34.5881</v>
      </c>
      <c r="C2301" s="5" t="n">
        <v>12.648</v>
      </c>
      <c r="D2301" s="1" t="n">
        <f aca="false">LN(B2301/B2300)</f>
        <v>0.00339130142819248</v>
      </c>
      <c r="E2301" s="1" t="n">
        <f aca="false">LN(C2301/C2300)</f>
        <v>3.95327232166287E-005</v>
      </c>
      <c r="F2301" s="1" t="n">
        <f aca="false">B2301/B2300-1</f>
        <v>0.0033970583969134</v>
      </c>
      <c r="G2301" s="1" t="n">
        <f aca="false">C2301/C2300-1</f>
        <v>3.95335046450285E-005</v>
      </c>
    </row>
    <row r="2302" customFormat="false" ht="15" hidden="false" customHeight="false" outlineLevel="0" collapsed="false">
      <c r="A2302" s="1" t="s">
        <v>2309</v>
      </c>
      <c r="B2302" s="5" t="n">
        <v>33.9053</v>
      </c>
      <c r="C2302" s="5" t="n">
        <v>12.6487</v>
      </c>
      <c r="D2302" s="1" t="n">
        <f aca="false">LN(B2302/B2301)</f>
        <v>-0.0199383479210048</v>
      </c>
      <c r="E2302" s="1" t="n">
        <f aca="false">LN(C2302/C2301)</f>
        <v>5.53431870700946E-005</v>
      </c>
      <c r="F2302" s="1" t="n">
        <f aca="false">B2302/B2301-1</f>
        <v>-0.0197408935443115</v>
      </c>
      <c r="G2302" s="1" t="n">
        <f aca="false">C2302/C2301-1</f>
        <v>5.5344718532524E-005</v>
      </c>
    </row>
    <row r="2303" customFormat="false" ht="15" hidden="false" customHeight="false" outlineLevel="0" collapsed="false">
      <c r="A2303" s="1" t="s">
        <v>2310</v>
      </c>
      <c r="B2303" s="5" t="n">
        <v>34.0689</v>
      </c>
      <c r="C2303" s="5" t="n">
        <v>12.6496</v>
      </c>
      <c r="D2303" s="1" t="n">
        <f aca="false">LN(B2303/B2302)</f>
        <v>0.00481360033349165</v>
      </c>
      <c r="E2303" s="1" t="n">
        <f aca="false">LN(C2303/C2302)</f>
        <v>7.11510259883155E-005</v>
      </c>
      <c r="F2303" s="1" t="n">
        <f aca="false">B2303/B2302-1</f>
        <v>0.00482520431908884</v>
      </c>
      <c r="G2303" s="1" t="n">
        <f aca="false">C2303/C2302-1</f>
        <v>7.11535572825994E-005</v>
      </c>
    </row>
    <row r="2304" customFormat="false" ht="15" hidden="false" customHeight="false" outlineLevel="0" collapsed="false">
      <c r="A2304" s="1" t="s">
        <v>2311</v>
      </c>
      <c r="B2304" s="5" t="n">
        <v>34.0003</v>
      </c>
      <c r="C2304" s="5" t="n">
        <v>12.6514</v>
      </c>
      <c r="D2304" s="1" t="n">
        <f aca="false">LN(B2304/B2303)</f>
        <v>-0.00201559657597545</v>
      </c>
      <c r="E2304" s="1" t="n">
        <f aca="false">LN(C2304/C2303)</f>
        <v>0.000142286866372009</v>
      </c>
      <c r="F2304" s="1" t="n">
        <f aca="false">B2304/B2303-1</f>
        <v>-0.00201356662527985</v>
      </c>
      <c r="G2304" s="1" t="n">
        <f aca="false">C2304/C2303-1</f>
        <v>0.00014229698962831</v>
      </c>
    </row>
    <row r="2305" customFormat="false" ht="15" hidden="false" customHeight="false" outlineLevel="0" collapsed="false">
      <c r="A2305" s="1" t="s">
        <v>2312</v>
      </c>
      <c r="B2305" s="5" t="n">
        <v>33.8856</v>
      </c>
      <c r="C2305" s="5" t="n">
        <v>12.6521</v>
      </c>
      <c r="D2305" s="1" t="n">
        <f aca="false">LN(B2305/B2304)</f>
        <v>-0.00337920272535825</v>
      </c>
      <c r="E2305" s="1" t="n">
        <f aca="false">LN(C2305/C2304)</f>
        <v>5.53283142789963E-005</v>
      </c>
      <c r="F2305" s="1" t="n">
        <f aca="false">B2305/B2304-1</f>
        <v>-0.00337349964559153</v>
      </c>
      <c r="G2305" s="1" t="n">
        <f aca="false">C2305/C2304-1</f>
        <v>5.53298449184059E-005</v>
      </c>
    </row>
    <row r="2306" customFormat="false" ht="15" hidden="false" customHeight="false" outlineLevel="0" collapsed="false">
      <c r="A2306" s="1" t="s">
        <v>2313</v>
      </c>
      <c r="B2306" s="5" t="n">
        <v>33.691</v>
      </c>
      <c r="C2306" s="5" t="n">
        <v>12.6531</v>
      </c>
      <c r="D2306" s="1" t="n">
        <f aca="false">LN(B2306/B2305)</f>
        <v>-0.00575940600500221</v>
      </c>
      <c r="E2306" s="1" t="n">
        <f aca="false">LN(C2306/C2305)</f>
        <v>7.9035139063838E-005</v>
      </c>
      <c r="F2306" s="1" t="n">
        <f aca="false">B2306/B2305-1</f>
        <v>-0.0057428524210873</v>
      </c>
      <c r="G2306" s="1" t="n">
        <f aca="false">C2306/C2305-1</f>
        <v>7.90382624227259E-005</v>
      </c>
    </row>
    <row r="2307" customFormat="false" ht="15" hidden="false" customHeight="false" outlineLevel="0" collapsed="false">
      <c r="A2307" s="1" t="s">
        <v>2314</v>
      </c>
      <c r="B2307" s="5" t="n">
        <v>33.6105</v>
      </c>
      <c r="C2307" s="5" t="n">
        <v>12.6539</v>
      </c>
      <c r="D2307" s="1" t="n">
        <f aca="false">LN(B2307/B2306)</f>
        <v>-0.00239222122508195</v>
      </c>
      <c r="E2307" s="1" t="n">
        <f aca="false">LN(C2307/C2306)</f>
        <v>6.32236140409764E-005</v>
      </c>
      <c r="F2307" s="1" t="n">
        <f aca="false">B2307/B2306-1</f>
        <v>-0.00238936214419283</v>
      </c>
      <c r="G2307" s="1" t="n">
        <f aca="false">C2307/C2306-1</f>
        <v>6.32256126957831E-005</v>
      </c>
    </row>
    <row r="2308" customFormat="false" ht="15" hidden="false" customHeight="false" outlineLevel="0" collapsed="false">
      <c r="A2308" s="1" t="s">
        <v>2315</v>
      </c>
      <c r="B2308" s="5" t="n">
        <v>33.5089</v>
      </c>
      <c r="C2308" s="5" t="n">
        <v>12.655</v>
      </c>
      <c r="D2308" s="1" t="n">
        <f aca="false">LN(B2308/B2307)</f>
        <v>-0.00302744296285339</v>
      </c>
      <c r="E2308" s="1" t="n">
        <f aca="false">LN(C2308/C2307)</f>
        <v>8.69259431022909E-005</v>
      </c>
      <c r="F2308" s="1" t="n">
        <f aca="false">B2308/B2307-1</f>
        <v>-0.00302286487853509</v>
      </c>
      <c r="G2308" s="1" t="n">
        <f aca="false">C2308/C2307-1</f>
        <v>8.69297212715559E-005</v>
      </c>
    </row>
    <row r="2309" customFormat="false" ht="15" hidden="false" customHeight="false" outlineLevel="0" collapsed="false">
      <c r="A2309" s="1" t="s">
        <v>2316</v>
      </c>
      <c r="B2309" s="5" t="n">
        <v>33.8037</v>
      </c>
      <c r="C2309" s="5" t="n">
        <v>12.6561</v>
      </c>
      <c r="D2309" s="1" t="n">
        <f aca="false">LN(B2309/B2308)</f>
        <v>0.00875918876511925</v>
      </c>
      <c r="E2309" s="1" t="n">
        <f aca="false">LN(C2309/C2308)</f>
        <v>8.69183876397708E-005</v>
      </c>
      <c r="F2309" s="1" t="n">
        <f aca="false">B2309/B2308-1</f>
        <v>0.00879766271050375</v>
      </c>
      <c r="G2309" s="1" t="n">
        <f aca="false">C2309/C2308-1</f>
        <v>8.692216515227E-005</v>
      </c>
    </row>
    <row r="2310" customFormat="false" ht="15" hidden="false" customHeight="false" outlineLevel="0" collapsed="false">
      <c r="A2310" s="1" t="s">
        <v>2317</v>
      </c>
      <c r="B2310" s="5" t="n">
        <v>34.2878</v>
      </c>
      <c r="C2310" s="5" t="n">
        <v>12.6564</v>
      </c>
      <c r="D2310" s="1" t="n">
        <f aca="false">LN(B2310/B2309)</f>
        <v>0.0142193418162695</v>
      </c>
      <c r="E2310" s="1" t="n">
        <f aca="false">LN(C2310/C2309)</f>
        <v>2.37037037047958E-005</v>
      </c>
      <c r="F2310" s="1" t="n">
        <f aca="false">B2310/B2309-1</f>
        <v>0.0143209175326962</v>
      </c>
      <c r="G2310" s="1" t="n">
        <f aca="false">C2310/C2309-1</f>
        <v>2.37039846398002E-005</v>
      </c>
    </row>
    <row r="2311" customFormat="false" ht="15" hidden="false" customHeight="false" outlineLevel="0" collapsed="false">
      <c r="A2311" s="1" t="s">
        <v>2318</v>
      </c>
      <c r="B2311" s="5" t="n">
        <v>34.1639</v>
      </c>
      <c r="C2311" s="5" t="n">
        <v>12.6575</v>
      </c>
      <c r="D2311" s="1" t="n">
        <f aca="false">LN(B2311/B2310)</f>
        <v>-0.00362007474784375</v>
      </c>
      <c r="E2311" s="1" t="n">
        <f aca="false">LN(C2311/C2310)</f>
        <v>8.69087734954834E-005</v>
      </c>
      <c r="F2311" s="1" t="n">
        <f aca="false">B2311/B2310-1</f>
        <v>-0.00361353017691424</v>
      </c>
      <c r="G2311" s="1" t="n">
        <f aca="false">C2311/C2310-1</f>
        <v>8.69125501723467E-005</v>
      </c>
    </row>
    <row r="2312" customFormat="false" ht="15" hidden="false" customHeight="false" outlineLevel="0" collapsed="false">
      <c r="A2312" s="1" t="s">
        <v>2319</v>
      </c>
      <c r="B2312" s="5" t="n">
        <v>34.208</v>
      </c>
      <c r="C2312" s="5" t="n">
        <v>12.6602</v>
      </c>
      <c r="D2312" s="1" t="n">
        <f aca="false">LN(B2312/B2311)</f>
        <v>0.00129000382073933</v>
      </c>
      <c r="E2312" s="1" t="n">
        <f aca="false">LN(C2312/C2311)</f>
        <v>0.000213289517628863</v>
      </c>
      <c r="F2312" s="1" t="n">
        <f aca="false">B2312/B2311-1</f>
        <v>0.00129083623356818</v>
      </c>
      <c r="G2312" s="1" t="n">
        <f aca="false">C2312/C2311-1</f>
        <v>0.00021331226545529</v>
      </c>
    </row>
    <row r="2313" customFormat="false" ht="15" hidden="false" customHeight="false" outlineLevel="0" collapsed="false">
      <c r="A2313" s="1" t="s">
        <v>2320</v>
      </c>
      <c r="B2313" s="5" t="n">
        <v>34.1383</v>
      </c>
      <c r="C2313" s="5" t="n">
        <v>12.6618</v>
      </c>
      <c r="D2313" s="1" t="n">
        <f aca="false">LN(B2313/B2312)</f>
        <v>-0.00203961367807192</v>
      </c>
      <c r="E2313" s="1" t="n">
        <f aca="false">LN(C2313/C2312)</f>
        <v>0.000126372324629018</v>
      </c>
      <c r="F2313" s="1" t="n">
        <f aca="false">B2313/B2312-1</f>
        <v>-0.00203753507951354</v>
      </c>
      <c r="G2313" s="1" t="n">
        <f aca="false">C2313/C2312-1</f>
        <v>0.000126380309947605</v>
      </c>
    </row>
    <row r="2314" customFormat="false" ht="15" hidden="false" customHeight="false" outlineLevel="0" collapsed="false">
      <c r="A2314" s="1" t="s">
        <v>2321</v>
      </c>
      <c r="B2314" s="5" t="n">
        <v>34.0282</v>
      </c>
      <c r="C2314" s="5" t="n">
        <v>12.6622</v>
      </c>
      <c r="D2314" s="1" t="n">
        <f aca="false">LN(B2314/B2313)</f>
        <v>-0.00323032855556077</v>
      </c>
      <c r="E2314" s="1" t="n">
        <f aca="false">LN(C2314/C2313)</f>
        <v>3.15905860081356E-005</v>
      </c>
      <c r="F2314" s="1" t="n">
        <f aca="false">B2314/B2313-1</f>
        <v>-0.0032251166578301</v>
      </c>
      <c r="G2314" s="1" t="n">
        <f aca="false">C2314/C2313-1</f>
        <v>3.15910849959522E-005</v>
      </c>
    </row>
    <row r="2315" customFormat="false" ht="15" hidden="false" customHeight="false" outlineLevel="0" collapsed="false">
      <c r="A2315" s="1" t="s">
        <v>2322</v>
      </c>
      <c r="B2315" s="5" t="n">
        <v>33.9607</v>
      </c>
      <c r="C2315" s="5" t="n">
        <v>12.663</v>
      </c>
      <c r="D2315" s="1" t="n">
        <f aca="false">LN(B2315/B2314)</f>
        <v>-0.00198561889301285</v>
      </c>
      <c r="E2315" s="1" t="n">
        <f aca="false">LN(C2315/C2314)</f>
        <v>6.31781782782374E-005</v>
      </c>
      <c r="F2315" s="1" t="n">
        <f aca="false">B2315/B2314-1</f>
        <v>-0.00198364885594871</v>
      </c>
      <c r="G2315" s="1" t="n">
        <f aca="false">C2315/C2314-1</f>
        <v>6.31801740613724E-005</v>
      </c>
    </row>
    <row r="2316" customFormat="false" ht="15" hidden="false" customHeight="false" outlineLevel="0" collapsed="false">
      <c r="A2316" s="1" t="s">
        <v>2323</v>
      </c>
      <c r="B2316" s="5" t="n">
        <v>33.7126</v>
      </c>
      <c r="C2316" s="5" t="n">
        <v>12.6633</v>
      </c>
      <c r="D2316" s="1" t="n">
        <f aca="false">LN(B2316/B2315)</f>
        <v>-0.00733231899573398</v>
      </c>
      <c r="E2316" s="1" t="n">
        <f aca="false">LN(C2316/C2315)</f>
        <v>2.36907878382939E-005</v>
      </c>
      <c r="F2316" s="1" t="n">
        <f aca="false">B2316/B2315-1</f>
        <v>-0.0073055031256718</v>
      </c>
      <c r="G2316" s="1" t="n">
        <f aca="false">C2316/C2315-1</f>
        <v>2.36910684672242E-005</v>
      </c>
    </row>
    <row r="2317" customFormat="false" ht="15" hidden="false" customHeight="false" outlineLevel="0" collapsed="false">
      <c r="A2317" s="1" t="s">
        <v>2324</v>
      </c>
      <c r="B2317" s="5" t="n">
        <v>33.5852</v>
      </c>
      <c r="C2317" s="5" t="n">
        <v>12.6647</v>
      </c>
      <c r="D2317" s="1" t="n">
        <f aca="false">LN(B2317/B2316)</f>
        <v>-0.00378616097970631</v>
      </c>
      <c r="E2317" s="1" t="n">
        <f aca="false">LN(C2317/C2316)</f>
        <v>0.000110549589499866</v>
      </c>
      <c r="F2317" s="1" t="n">
        <f aca="false">B2317/B2316-1</f>
        <v>-0.00377900250944752</v>
      </c>
      <c r="G2317" s="1" t="n">
        <f aca="false">C2317/C2316-1</f>
        <v>0.000110555700330917</v>
      </c>
    </row>
    <row r="2318" customFormat="false" ht="15" hidden="false" customHeight="false" outlineLevel="0" collapsed="false">
      <c r="A2318" s="1" t="s">
        <v>2325</v>
      </c>
      <c r="B2318" s="5" t="n">
        <v>32.9667</v>
      </c>
      <c r="C2318" s="5" t="n">
        <v>12.6654</v>
      </c>
      <c r="D2318" s="1" t="n">
        <f aca="false">LN(B2318/B2317)</f>
        <v>-0.0185875326581574</v>
      </c>
      <c r="E2318" s="1" t="n">
        <f aca="false">LN(C2318/C2317)</f>
        <v>5.52702121333442E-005</v>
      </c>
      <c r="F2318" s="1" t="n">
        <f aca="false">B2318/B2317-1</f>
        <v>-0.0184158498386193</v>
      </c>
      <c r="G2318" s="1" t="n">
        <f aca="false">C2318/C2317-1</f>
        <v>5.52717395596591E-005</v>
      </c>
    </row>
    <row r="2319" customFormat="false" ht="15" hidden="false" customHeight="false" outlineLevel="0" collapsed="false">
      <c r="A2319" s="1" t="s">
        <v>2326</v>
      </c>
      <c r="B2319" s="5" t="n">
        <v>33.0648</v>
      </c>
      <c r="C2319" s="5" t="n">
        <v>12.666</v>
      </c>
      <c r="D2319" s="1" t="n">
        <f aca="false">LN(B2319/B2318)</f>
        <v>0.0029713113339704</v>
      </c>
      <c r="E2319" s="1" t="n">
        <f aca="false">LN(C2319/C2318)</f>
        <v>4.73720362959281E-005</v>
      </c>
      <c r="F2319" s="1" t="n">
        <f aca="false">B2319/B2318-1</f>
        <v>0.00297573005487339</v>
      </c>
      <c r="G2319" s="1" t="n">
        <f aca="false">C2319/C2318-1</f>
        <v>4.73731583685577E-005</v>
      </c>
    </row>
    <row r="2320" customFormat="false" ht="15" hidden="false" customHeight="false" outlineLevel="0" collapsed="false">
      <c r="A2320" s="1" t="s">
        <v>2327</v>
      </c>
      <c r="B2320" s="5" t="n">
        <v>32.5297</v>
      </c>
      <c r="C2320" s="5" t="n">
        <v>12.6664</v>
      </c>
      <c r="D2320" s="1" t="n">
        <f aca="false">LN(B2320/B2319)</f>
        <v>-0.0163157542300058</v>
      </c>
      <c r="E2320" s="1" t="n">
        <f aca="false">LN(C2320/C2319)</f>
        <v>3.15801108487494E-005</v>
      </c>
      <c r="F2320" s="1" t="n">
        <f aca="false">B2320/B2319-1</f>
        <v>-0.0161833732549418</v>
      </c>
      <c r="G2320" s="1" t="n">
        <f aca="false">C2320/C2319-1</f>
        <v>3.15806095056992E-005</v>
      </c>
    </row>
    <row r="2321" customFormat="false" ht="15" hidden="false" customHeight="false" outlineLevel="0" collapsed="false">
      <c r="A2321" s="1" t="s">
        <v>2328</v>
      </c>
      <c r="B2321" s="5" t="n">
        <v>32.2646</v>
      </c>
      <c r="C2321" s="5" t="n">
        <v>12.6673</v>
      </c>
      <c r="D2321" s="1" t="n">
        <f aca="false">LN(B2321/B2320)</f>
        <v>-0.00818286420997362</v>
      </c>
      <c r="E2321" s="1" t="n">
        <f aca="false">LN(C2321/C2320)</f>
        <v>7.10516032303951E-005</v>
      </c>
      <c r="F2321" s="1" t="n">
        <f aca="false">B2321/B2320-1</f>
        <v>-0.00814947570988966</v>
      </c>
      <c r="G2321" s="1" t="n">
        <f aca="false">C2321/C2320-1</f>
        <v>7.10541274553389E-005</v>
      </c>
    </row>
    <row r="2322" customFormat="false" ht="15" hidden="false" customHeight="false" outlineLevel="0" collapsed="false">
      <c r="A2322" s="1" t="s">
        <v>2329</v>
      </c>
      <c r="B2322" s="5" t="n">
        <v>32.8554</v>
      </c>
      <c r="C2322" s="5" t="n">
        <v>12.6689</v>
      </c>
      <c r="D2322" s="1" t="n">
        <f aca="false">LN(B2322/B2321)</f>
        <v>0.0181454610063838</v>
      </c>
      <c r="E2322" s="1" t="n">
        <f aca="false">LN(C2322/C2321)</f>
        <v>0.000126301497630095</v>
      </c>
      <c r="F2322" s="1" t="n">
        <f aca="false">B2322/B2321-1</f>
        <v>0.0183110901731309</v>
      </c>
      <c r="G2322" s="1" t="n">
        <f aca="false">C2322/C2321-1</f>
        <v>0.000126309474000053</v>
      </c>
    </row>
    <row r="2323" customFormat="false" ht="15" hidden="false" customHeight="false" outlineLevel="0" collapsed="false">
      <c r="A2323" s="1" t="s">
        <v>2330</v>
      </c>
      <c r="B2323" s="5" t="n">
        <v>33.0184</v>
      </c>
      <c r="C2323" s="5" t="n">
        <v>12.6701</v>
      </c>
      <c r="D2323" s="1" t="n">
        <f aca="false">LN(B2323/B2322)</f>
        <v>0.00494886685368454</v>
      </c>
      <c r="E2323" s="1" t="n">
        <f aca="false">LN(C2323/C2322)</f>
        <v>9.47156557793894E-005</v>
      </c>
      <c r="F2323" s="1" t="n">
        <f aca="false">B2323/B2322-1</f>
        <v>0.00496113272095289</v>
      </c>
      <c r="G2323" s="1" t="n">
        <f aca="false">C2323/C2322-1</f>
        <v>9.47201414487342E-005</v>
      </c>
    </row>
    <row r="2324" customFormat="false" ht="15" hidden="false" customHeight="false" outlineLevel="0" collapsed="false">
      <c r="A2324" s="1" t="s">
        <v>2331</v>
      </c>
      <c r="B2324" s="5" t="n">
        <v>33.1102</v>
      </c>
      <c r="C2324" s="5" t="n">
        <v>12.6703</v>
      </c>
      <c r="D2324" s="1" t="n">
        <f aca="false">LN(B2324/B2323)</f>
        <v>0.00277641017561713</v>
      </c>
      <c r="E2324" s="1" t="n">
        <f aca="false">LN(C2324/C2323)</f>
        <v>1.57850704806291E-005</v>
      </c>
      <c r="F2324" s="1" t="n">
        <f aca="false">B2324/B2323-1</f>
        <v>0.00278026797179742</v>
      </c>
      <c r="G2324" s="1" t="n">
        <f aca="false">C2324/C2323-1</f>
        <v>1.57851950655097E-005</v>
      </c>
    </row>
    <row r="2325" customFormat="false" ht="15" hidden="false" customHeight="false" outlineLevel="0" collapsed="false">
      <c r="A2325" s="1" t="s">
        <v>2332</v>
      </c>
      <c r="B2325" s="5" t="n">
        <v>33.0871</v>
      </c>
      <c r="C2325" s="5" t="n">
        <v>12.6716</v>
      </c>
      <c r="D2325" s="1" t="n">
        <f aca="false">LN(B2325/B2324)</f>
        <v>-0.000697913689459665</v>
      </c>
      <c r="E2325" s="1" t="n">
        <f aca="false">LN(C2325/C2324)</f>
        <v>0.000102596885090832</v>
      </c>
      <c r="F2325" s="1" t="n">
        <f aca="false">B2325/B2324-1</f>
        <v>-0.000697670204347856</v>
      </c>
      <c r="G2325" s="1" t="n">
        <f aca="false">C2325/C2324-1</f>
        <v>0.000102602148331243</v>
      </c>
    </row>
    <row r="2326" customFormat="false" ht="15" hidden="false" customHeight="false" outlineLevel="0" collapsed="false">
      <c r="A2326" s="1" t="s">
        <v>2333</v>
      </c>
      <c r="B2326" s="5" t="n">
        <v>33.1755</v>
      </c>
      <c r="C2326" s="5" t="n">
        <v>12.6717</v>
      </c>
      <c r="D2326" s="1" t="n">
        <f aca="false">LN(B2326/B2325)</f>
        <v>0.00266817337214026</v>
      </c>
      <c r="E2326" s="1" t="n">
        <f aca="false">LN(C2326/C2325)</f>
        <v>7.89163210787338E-006</v>
      </c>
      <c r="F2326" s="1" t="n">
        <f aca="false">B2326/B2325-1</f>
        <v>0.00267173611467908</v>
      </c>
      <c r="G2326" s="1" t="n">
        <f aca="false">C2326/C2325-1</f>
        <v>7.89166324688395E-006</v>
      </c>
    </row>
    <row r="2327" customFormat="false" ht="15" hidden="false" customHeight="false" outlineLevel="0" collapsed="false">
      <c r="A2327" s="1" t="s">
        <v>2334</v>
      </c>
      <c r="B2327" s="5" t="n">
        <v>33.0717</v>
      </c>
      <c r="C2327" s="5" t="n">
        <v>12.674</v>
      </c>
      <c r="D2327" s="1" t="n">
        <f aca="false">LN(B2327/B2326)</f>
        <v>-0.00313371991404069</v>
      </c>
      <c r="E2327" s="1" t="n">
        <f aca="false">LN(C2327/C2326)</f>
        <v>0.000181490351918703</v>
      </c>
      <c r="F2327" s="1" t="n">
        <f aca="false">B2327/B2326-1</f>
        <v>-0.00312881493873485</v>
      </c>
      <c r="G2327" s="1" t="n">
        <f aca="false">C2327/C2326-1</f>
        <v>0.000181506822289013</v>
      </c>
    </row>
    <row r="2328" customFormat="false" ht="15" hidden="false" customHeight="false" outlineLevel="0" collapsed="false">
      <c r="A2328" s="1" t="s">
        <v>2335</v>
      </c>
      <c r="B2328" s="5" t="n">
        <v>32.5421</v>
      </c>
      <c r="C2328" s="5" t="n">
        <v>12.6754</v>
      </c>
      <c r="D2328" s="1" t="n">
        <f aca="false">LN(B2328/B2327)</f>
        <v>-0.0161432961164247</v>
      </c>
      <c r="E2328" s="1" t="n">
        <f aca="false">LN(C2328/C2327)</f>
        <v>0.000110456263376888</v>
      </c>
      <c r="F2328" s="1" t="n">
        <f aca="false">B2328/B2327-1</f>
        <v>-0.0160136914643034</v>
      </c>
      <c r="G2328" s="1" t="n">
        <f aca="false">C2328/C2327-1</f>
        <v>0.000110462363894559</v>
      </c>
    </row>
    <row r="2329" customFormat="false" ht="15" hidden="false" customHeight="false" outlineLevel="0" collapsed="false">
      <c r="A2329" s="1" t="s">
        <v>2336</v>
      </c>
      <c r="B2329" s="5" t="n">
        <v>32.6987</v>
      </c>
      <c r="C2329" s="5" t="n">
        <v>12.6761</v>
      </c>
      <c r="D2329" s="1" t="n">
        <f aca="false">LN(B2329/B2328)</f>
        <v>0.00480068609697763</v>
      </c>
      <c r="E2329" s="1" t="n">
        <f aca="false">LN(C2329/C2328)</f>
        <v>5.52235568056598E-005</v>
      </c>
      <c r="F2329" s="1" t="n">
        <f aca="false">B2329/B2328-1</f>
        <v>0.00481222785253577</v>
      </c>
      <c r="G2329" s="1" t="n">
        <f aca="false">C2329/C2328-1</f>
        <v>5.5225081654342E-005</v>
      </c>
    </row>
    <row r="2330" customFormat="false" ht="15" hidden="false" customHeight="false" outlineLevel="0" collapsed="false">
      <c r="A2330" s="1" t="s">
        <v>2337</v>
      </c>
      <c r="B2330" s="5" t="n">
        <v>32.4283</v>
      </c>
      <c r="C2330" s="5" t="n">
        <v>12.6776</v>
      </c>
      <c r="D2330" s="1" t="n">
        <f aca="false">LN(B2330/B2329)</f>
        <v>-0.00830382341425335</v>
      </c>
      <c r="E2330" s="1" t="n">
        <f aca="false">LN(C2330/C2329)</f>
        <v>0.000118325924953768</v>
      </c>
      <c r="F2330" s="1" t="n">
        <f aca="false">B2330/B2329-1</f>
        <v>-0.00826944190441825</v>
      </c>
      <c r="G2330" s="1" t="n">
        <f aca="false">C2330/C2329-1</f>
        <v>0.000118332925742148</v>
      </c>
    </row>
    <row r="2331" customFormat="false" ht="15" hidden="false" customHeight="false" outlineLevel="0" collapsed="false">
      <c r="A2331" s="1" t="s">
        <v>2338</v>
      </c>
      <c r="B2331" s="5" t="n">
        <v>32.9441</v>
      </c>
      <c r="C2331" s="5" t="n">
        <v>12.6784</v>
      </c>
      <c r="D2331" s="1" t="n">
        <f aca="false">LN(B2331/B2330)</f>
        <v>0.015780687387923</v>
      </c>
      <c r="E2331" s="1" t="n">
        <f aca="false">LN(C2331/C2330)</f>
        <v>6.31014355784797E-005</v>
      </c>
      <c r="F2331" s="1" t="n">
        <f aca="false">B2331/B2330-1</f>
        <v>0.0159058600049955</v>
      </c>
      <c r="G2331" s="1" t="n">
        <f aca="false">C2331/C2330-1</f>
        <v>6.31034265159425E-005</v>
      </c>
    </row>
    <row r="2332" customFormat="false" ht="15" hidden="false" customHeight="false" outlineLevel="0" collapsed="false">
      <c r="A2332" s="1" t="s">
        <v>2339</v>
      </c>
      <c r="B2332" s="5" t="n">
        <v>32.922</v>
      </c>
      <c r="C2332" s="5" t="n">
        <v>12.6793</v>
      </c>
      <c r="D2332" s="1" t="n">
        <f aca="false">LN(B2332/B2331)</f>
        <v>-0.000671058430037341</v>
      </c>
      <c r="E2332" s="1" t="n">
        <f aca="false">LN(C2332/C2331)</f>
        <v>7.09843558664795E-005</v>
      </c>
      <c r="F2332" s="1" t="n">
        <f aca="false">B2332/B2331-1</f>
        <v>-0.000670833320685738</v>
      </c>
      <c r="G2332" s="1" t="n">
        <f aca="false">C2332/C2331-1</f>
        <v>7.09868753154819E-005</v>
      </c>
    </row>
    <row r="2333" customFormat="false" ht="15" hidden="false" customHeight="false" outlineLevel="0" collapsed="false">
      <c r="A2333" s="1" t="s">
        <v>2340</v>
      </c>
      <c r="B2333" s="5" t="n">
        <v>32.3963</v>
      </c>
      <c r="C2333" s="5" t="n">
        <v>12.6802</v>
      </c>
      <c r="D2333" s="1" t="n">
        <f aca="false">LN(B2333/B2332)</f>
        <v>-0.0160969085585083</v>
      </c>
      <c r="E2333" s="1" t="n">
        <f aca="false">LN(C2333/C2332)</f>
        <v>7.0979317445401E-005</v>
      </c>
      <c r="F2333" s="1" t="n">
        <f aca="false">B2333/B2332-1</f>
        <v>-0.0159680456837373</v>
      </c>
      <c r="G2333" s="1" t="n">
        <f aca="false">C2333/C2332-1</f>
        <v>7.09818365367543E-005</v>
      </c>
    </row>
    <row r="2334" customFormat="false" ht="15" hidden="false" customHeight="false" outlineLevel="0" collapsed="false">
      <c r="A2334" s="1" t="s">
        <v>2341</v>
      </c>
      <c r="B2334" s="5" t="n">
        <v>32.5598</v>
      </c>
      <c r="C2334" s="5" t="n">
        <v>12.6808</v>
      </c>
      <c r="D2334" s="1" t="n">
        <f aca="false">LN(B2334/B2333)</f>
        <v>0.00503417986294689</v>
      </c>
      <c r="E2334" s="1" t="n">
        <f aca="false">LN(C2334/C2333)</f>
        <v>4.73167461939301E-005</v>
      </c>
      <c r="F2334" s="1" t="n">
        <f aca="false">B2334/B2333-1</f>
        <v>0.00504687263669013</v>
      </c>
      <c r="G2334" s="1" t="n">
        <f aca="false">C2334/C2333-1</f>
        <v>4.73178656488216E-005</v>
      </c>
    </row>
    <row r="2335" customFormat="false" ht="15" hidden="false" customHeight="false" outlineLevel="0" collapsed="false">
      <c r="A2335" s="1" t="s">
        <v>2342</v>
      </c>
      <c r="B2335" s="5" t="n">
        <v>32.1937</v>
      </c>
      <c r="C2335" s="5" t="n">
        <v>12.681</v>
      </c>
      <c r="D2335" s="1" t="n">
        <f aca="false">LN(B2335/B2334)</f>
        <v>-0.0113076173752658</v>
      </c>
      <c r="E2335" s="1" t="n">
        <f aca="false">LN(C2335/C2334)</f>
        <v>1.57717512165973E-005</v>
      </c>
      <c r="F2335" s="1" t="n">
        <f aca="false">B2335/B2334-1</f>
        <v>-0.0112439265597456</v>
      </c>
      <c r="G2335" s="1" t="n">
        <f aca="false">C2335/C2334-1</f>
        <v>1.57718755913194E-005</v>
      </c>
    </row>
    <row r="2336" customFormat="false" ht="15" hidden="false" customHeight="false" outlineLevel="0" collapsed="false">
      <c r="A2336" s="1" t="s">
        <v>2343</v>
      </c>
      <c r="B2336" s="5" t="n">
        <v>31.9042</v>
      </c>
      <c r="C2336" s="5" t="n">
        <v>12.6842</v>
      </c>
      <c r="D2336" s="1" t="n">
        <f aca="false">LN(B2336/B2335)</f>
        <v>-0.00903311866786799</v>
      </c>
      <c r="E2336" s="1" t="n">
        <f aca="false">LN(C2336/C2335)</f>
        <v>0.000252314195589005</v>
      </c>
      <c r="F2336" s="1" t="n">
        <f aca="false">B2336/B2335-1</f>
        <v>-0.00899244262076127</v>
      </c>
      <c r="G2336" s="1" t="n">
        <f aca="false">C2336/C2335-1</f>
        <v>0.000252346029492978</v>
      </c>
    </row>
    <row r="2337" customFormat="false" ht="15" hidden="false" customHeight="false" outlineLevel="0" collapsed="false">
      <c r="A2337" s="1" t="s">
        <v>2344</v>
      </c>
      <c r="B2337" s="5" t="n">
        <v>32.257</v>
      </c>
      <c r="C2337" s="5" t="n">
        <v>12.6809</v>
      </c>
      <c r="D2337" s="1" t="n">
        <f aca="false">LN(B2337/B2336)</f>
        <v>0.0109974113862807</v>
      </c>
      <c r="E2337" s="1" t="n">
        <f aca="false">LN(C2337/C2336)</f>
        <v>-0.000260200040103852</v>
      </c>
      <c r="F2337" s="1" t="n">
        <f aca="false">B2337/B2336-1</f>
        <v>0.0110581052024499</v>
      </c>
      <c r="G2337" s="1" t="n">
        <f aca="false">C2337/C2336-1</f>
        <v>-0.000260166191009326</v>
      </c>
    </row>
    <row r="2338" customFormat="false" ht="15" hidden="false" customHeight="false" outlineLevel="0" collapsed="false">
      <c r="A2338" s="1" t="s">
        <v>2345</v>
      </c>
      <c r="B2338" s="5" t="n">
        <v>32.2316</v>
      </c>
      <c r="C2338" s="5" t="n">
        <v>12.6816</v>
      </c>
      <c r="D2338" s="1" t="n">
        <f aca="false">LN(B2338/B2337)</f>
        <v>-0.000787736167739697</v>
      </c>
      <c r="E2338" s="1" t="n">
        <f aca="false">LN(C2338/C2337)</f>
        <v>5.51996057311183E-005</v>
      </c>
      <c r="F2338" s="1" t="n">
        <f aca="false">B2338/B2337-1</f>
        <v>-0.000787425985057433</v>
      </c>
      <c r="G2338" s="1" t="n">
        <f aca="false">C2338/C2337-1</f>
        <v>5.52011292573873E-005</v>
      </c>
    </row>
    <row r="2339" customFormat="false" ht="15" hidden="false" customHeight="false" outlineLevel="0" collapsed="false">
      <c r="A2339" s="1" t="s">
        <v>2346</v>
      </c>
      <c r="B2339" s="5" t="n">
        <v>31.9532</v>
      </c>
      <c r="C2339" s="5" t="n">
        <v>12.6825</v>
      </c>
      <c r="D2339" s="1" t="n">
        <f aca="false">LN(B2339/B2338)</f>
        <v>-0.00867500548199941</v>
      </c>
      <c r="E2339" s="1" t="n">
        <f aca="false">LN(C2339/C2338)</f>
        <v>7.09664447291073E-005</v>
      </c>
      <c r="F2339" s="1" t="n">
        <f aca="false">B2339/B2338-1</f>
        <v>-0.00863748619367333</v>
      </c>
      <c r="G2339" s="1" t="n">
        <f aca="false">C2339/C2338-1</f>
        <v>7.09689629068144E-005</v>
      </c>
    </row>
    <row r="2340" customFormat="false" ht="15" hidden="false" customHeight="false" outlineLevel="0" collapsed="false">
      <c r="A2340" s="1" t="s">
        <v>2347</v>
      </c>
      <c r="B2340" s="5" t="n">
        <v>31.9606</v>
      </c>
      <c r="C2340" s="5" t="n">
        <v>12.6843</v>
      </c>
      <c r="D2340" s="1" t="n">
        <f aca="false">LN(B2340/B2339)</f>
        <v>0.00023156188594856</v>
      </c>
      <c r="E2340" s="1" t="n">
        <f aca="false">LN(C2340/C2339)</f>
        <v>0.000141917782536314</v>
      </c>
      <c r="F2340" s="1" t="n">
        <f aca="false">B2340/B2339-1</f>
        <v>0.000231588698471619</v>
      </c>
      <c r="G2340" s="1" t="n">
        <f aca="false">C2340/C2339-1</f>
        <v>0.000141927853341217</v>
      </c>
    </row>
    <row r="2341" customFormat="false" ht="15" hidden="false" customHeight="false" outlineLevel="0" collapsed="false">
      <c r="A2341" s="1" t="s">
        <v>2348</v>
      </c>
      <c r="B2341" s="5" t="n">
        <v>32.2453</v>
      </c>
      <c r="C2341" s="5" t="n">
        <v>12.6847</v>
      </c>
      <c r="D2341" s="1" t="n">
        <f aca="false">LN(B2341/B2340)</f>
        <v>0.00886840199839885</v>
      </c>
      <c r="E2341" s="1" t="n">
        <f aca="false">LN(C2341/C2340)</f>
        <v>3.1534550043904E-005</v>
      </c>
      <c r="F2341" s="1" t="n">
        <f aca="false">B2341/B2340-1</f>
        <v>0.00890784278142465</v>
      </c>
      <c r="G2341" s="1" t="n">
        <f aca="false">C2341/C2340-1</f>
        <v>3.15350472630538E-005</v>
      </c>
    </row>
    <row r="2342" customFormat="false" ht="15" hidden="false" customHeight="false" outlineLevel="0" collapsed="false">
      <c r="A2342" s="1" t="s">
        <v>2349</v>
      </c>
      <c r="B2342" s="5" t="n">
        <v>32.4907</v>
      </c>
      <c r="C2342" s="5" t="n">
        <v>12.685</v>
      </c>
      <c r="D2342" s="1" t="n">
        <f aca="false">LN(B2342/B2341)</f>
        <v>0.00758159835262683</v>
      </c>
      <c r="E2342" s="1" t="n">
        <f aca="false">LN(C2342/C2341)</f>
        <v>2.36502599568936E-005</v>
      </c>
      <c r="F2342" s="1" t="n">
        <f aca="false">B2342/B2341-1</f>
        <v>0.00761041143980656</v>
      </c>
      <c r="G2342" s="1" t="n">
        <f aca="false">C2342/C2341-1</f>
        <v>2.36505396264963E-005</v>
      </c>
    </row>
    <row r="2343" customFormat="false" ht="15" hidden="false" customHeight="false" outlineLevel="0" collapsed="false">
      <c r="A2343" s="1" t="s">
        <v>2350</v>
      </c>
      <c r="B2343" s="5" t="n">
        <v>32.0145</v>
      </c>
      <c r="C2343" s="5" t="n">
        <v>12.6856</v>
      </c>
      <c r="D2343" s="1" t="n">
        <f aca="false">LN(B2343/B2342)</f>
        <v>-0.0147649693701185</v>
      </c>
      <c r="E2343" s="1" t="n">
        <f aca="false">LN(C2343/C2342)</f>
        <v>4.72988419755289E-005</v>
      </c>
      <c r="F2343" s="1" t="n">
        <f aca="false">B2343/B2342-1</f>
        <v>-0.0146565017066421</v>
      </c>
      <c r="G2343" s="1" t="n">
        <f aca="false">C2343/C2342-1</f>
        <v>4.72999605833913E-005</v>
      </c>
    </row>
    <row r="2344" customFormat="false" ht="15" hidden="false" customHeight="false" outlineLevel="0" collapsed="false">
      <c r="A2344" s="1" t="s">
        <v>2351</v>
      </c>
      <c r="B2344" s="5" t="n">
        <v>32.2572</v>
      </c>
      <c r="C2344" s="5" t="n">
        <v>12.6863</v>
      </c>
      <c r="D2344" s="1" t="n">
        <f aca="false">LN(B2344/B2343)</f>
        <v>0.00755234896826889</v>
      </c>
      <c r="E2344" s="1" t="n">
        <f aca="false">LN(C2344/C2343)</f>
        <v>5.51791549056876E-005</v>
      </c>
      <c r="F2344" s="1" t="n">
        <f aca="false">B2344/B2343-1</f>
        <v>0.00758093988661379</v>
      </c>
      <c r="G2344" s="1" t="n">
        <f aca="false">C2344/C2343-1</f>
        <v>5.5180677303257E-005</v>
      </c>
    </row>
    <row r="2345" customFormat="false" ht="15" hidden="false" customHeight="false" outlineLevel="0" collapsed="false">
      <c r="A2345" s="1" t="s">
        <v>2352</v>
      </c>
      <c r="B2345" s="5" t="n">
        <v>31.8777</v>
      </c>
      <c r="C2345" s="5" t="n">
        <v>12.6876</v>
      </c>
      <c r="D2345" s="1" t="n">
        <f aca="false">LN(B2345/B2344)</f>
        <v>-0.0118345683642618</v>
      </c>
      <c r="E2345" s="1" t="n">
        <f aca="false">LN(C2345/C2344)</f>
        <v>0.000102467496217701</v>
      </c>
      <c r="F2345" s="1" t="n">
        <f aca="false">B2345/B2344-1</f>
        <v>-0.0117648152970499</v>
      </c>
      <c r="G2345" s="1" t="n">
        <f aca="false">C2345/C2344-1</f>
        <v>0.000102472746190907</v>
      </c>
    </row>
    <row r="2346" customFormat="false" ht="15" hidden="false" customHeight="false" outlineLevel="0" collapsed="false">
      <c r="A2346" s="1" t="s">
        <v>2353</v>
      </c>
      <c r="B2346" s="5" t="n">
        <v>31.9732</v>
      </c>
      <c r="C2346" s="5" t="n">
        <v>12.6888</v>
      </c>
      <c r="D2346" s="1" t="n">
        <f aca="false">LN(B2346/B2345)</f>
        <v>0.00299134612706669</v>
      </c>
      <c r="E2346" s="1" t="n">
        <f aca="false">LN(C2346/C2345)</f>
        <v>9.45760628690214E-005</v>
      </c>
      <c r="F2346" s="1" t="n">
        <f aca="false">B2346/B2345-1</f>
        <v>0.00299582466740067</v>
      </c>
      <c r="G2346" s="1" t="n">
        <f aca="false">C2346/C2345-1</f>
        <v>9.458053532585E-005</v>
      </c>
    </row>
    <row r="2347" customFormat="false" ht="15" hidden="false" customHeight="false" outlineLevel="0" collapsed="false">
      <c r="A2347" s="1" t="s">
        <v>2354</v>
      </c>
      <c r="B2347" s="5" t="n">
        <v>31.9367</v>
      </c>
      <c r="C2347" s="5" t="n">
        <v>12.6892</v>
      </c>
      <c r="D2347" s="1" t="n">
        <f aca="false">LN(B2347/B2346)</f>
        <v>-0.00114223317415465</v>
      </c>
      <c r="E2347" s="1" t="n">
        <f aca="false">LN(C2347/C2346)</f>
        <v>3.1523366698097E-005</v>
      </c>
      <c r="F2347" s="1" t="n">
        <f aca="false">B2347/B2346-1</f>
        <v>-0.00114158107414963</v>
      </c>
      <c r="G2347" s="1" t="n">
        <f aca="false">C2347/C2346-1</f>
        <v>3.1523863564642E-005</v>
      </c>
    </row>
    <row r="2348" customFormat="false" ht="15" hidden="false" customHeight="false" outlineLevel="0" collapsed="false">
      <c r="A2348" s="1" t="s">
        <v>2355</v>
      </c>
      <c r="B2348" s="5" t="n">
        <v>31.7483</v>
      </c>
      <c r="C2348" s="5" t="n">
        <v>12.6898</v>
      </c>
      <c r="D2348" s="1" t="n">
        <f aca="false">LN(B2348/B2347)</f>
        <v>-0.00591663812839455</v>
      </c>
      <c r="E2348" s="1" t="n">
        <f aca="false">LN(C2348/C2347)</f>
        <v>4.72831868956952E-005</v>
      </c>
      <c r="F2348" s="1" t="n">
        <f aca="false">B2348/B2347-1</f>
        <v>-0.00589916929426015</v>
      </c>
      <c r="G2348" s="1" t="n">
        <f aca="false">C2348/C2347-1</f>
        <v>4.72843047631955E-005</v>
      </c>
    </row>
    <row r="2349" customFormat="false" ht="15" hidden="false" customHeight="false" outlineLevel="0" collapsed="false">
      <c r="A2349" s="1" t="s">
        <v>2356</v>
      </c>
      <c r="B2349" s="5" t="n">
        <v>31.2417</v>
      </c>
      <c r="C2349" s="5" t="n">
        <v>12.6908</v>
      </c>
      <c r="D2349" s="1" t="n">
        <f aca="false">LN(B2349/B2348)</f>
        <v>-0.0160854396936361</v>
      </c>
      <c r="E2349" s="1" t="n">
        <f aca="false">LN(C2349/C2348)</f>
        <v>7.88003436102834E-005</v>
      </c>
      <c r="F2349" s="1" t="n">
        <f aca="false">B2349/B2348-1</f>
        <v>-0.0159567598895058</v>
      </c>
      <c r="G2349" s="1" t="n">
        <f aca="false">C2349/C2348-1</f>
        <v>7.88034484389133E-005</v>
      </c>
    </row>
    <row r="2350" customFormat="false" ht="15" hidden="false" customHeight="false" outlineLevel="0" collapsed="false">
      <c r="A2350" s="1" t="s">
        <v>2357</v>
      </c>
      <c r="B2350" s="5" t="n">
        <v>30.9923</v>
      </c>
      <c r="C2350" s="5" t="n">
        <v>12.6923</v>
      </c>
      <c r="D2350" s="1" t="n">
        <f aca="false">LN(B2350/B2349)</f>
        <v>-0.00801495436929582</v>
      </c>
      <c r="E2350" s="1" t="n">
        <f aca="false">LN(C2350/C2349)</f>
        <v>0.00011818887383699</v>
      </c>
      <c r="F2350" s="1" t="n">
        <f aca="false">B2350/B2349-1</f>
        <v>-0.00798292026362202</v>
      </c>
      <c r="G2350" s="1" t="n">
        <f aca="false">C2350/C2349-1</f>
        <v>0.000118195858417103</v>
      </c>
    </row>
    <row r="2351" customFormat="false" ht="15" hidden="false" customHeight="false" outlineLevel="0" collapsed="false">
      <c r="A2351" s="1" t="s">
        <v>2358</v>
      </c>
      <c r="B2351" s="5" t="n">
        <v>30.9558</v>
      </c>
      <c r="C2351" s="5" t="n">
        <v>12.6928</v>
      </c>
      <c r="D2351" s="1" t="n">
        <f aca="false">LN(B2351/B2350)</f>
        <v>-0.00117840593089314</v>
      </c>
      <c r="E2351" s="1" t="n">
        <f aca="false">LN(C2351/C2350)</f>
        <v>3.93931873472255E-005</v>
      </c>
      <c r="F2351" s="1" t="n">
        <f aca="false">B2351/B2350-1</f>
        <v>-0.0011777118832742</v>
      </c>
      <c r="G2351" s="1" t="n">
        <f aca="false">C2351/C2350-1</f>
        <v>3.93939632690188E-005</v>
      </c>
    </row>
    <row r="2352" customFormat="false" ht="15" hidden="false" customHeight="false" outlineLevel="0" collapsed="false">
      <c r="A2352" s="1" t="s">
        <v>2359</v>
      </c>
      <c r="B2352" s="5" t="n">
        <v>30.5786</v>
      </c>
      <c r="C2352" s="5" t="n">
        <v>12.6933</v>
      </c>
      <c r="D2352" s="1" t="n">
        <f aca="false">LN(B2352/B2351)</f>
        <v>-0.0122599627079589</v>
      </c>
      <c r="E2352" s="1" t="n">
        <f aca="false">LN(C2352/C2351)</f>
        <v>3.93916355852399E-005</v>
      </c>
      <c r="F2352" s="1" t="n">
        <f aca="false">B2352/B2351-1</f>
        <v>-0.0121851155518513</v>
      </c>
      <c r="G2352" s="1" t="n">
        <f aca="false">C2352/C2351-1</f>
        <v>3.93924114459043E-005</v>
      </c>
    </row>
    <row r="2353" customFormat="false" ht="15" hidden="false" customHeight="false" outlineLevel="0" collapsed="false">
      <c r="A2353" s="1" t="s">
        <v>2360</v>
      </c>
      <c r="B2353" s="5" t="n">
        <v>29.9975</v>
      </c>
      <c r="C2353" s="5" t="n">
        <v>12.6959</v>
      </c>
      <c r="D2353" s="1" t="n">
        <f aca="false">LN(B2353/B2352)</f>
        <v>-0.019186373039929</v>
      </c>
      <c r="E2353" s="1" t="n">
        <f aca="false">LN(C2353/C2352)</f>
        <v>0.00020481149536709</v>
      </c>
      <c r="F2353" s="1" t="n">
        <f aca="false">B2353/B2352-1</f>
        <v>-0.019003486098121</v>
      </c>
      <c r="G2353" s="1" t="n">
        <f aca="false">C2353/C2352-1</f>
        <v>0.000204832470673377</v>
      </c>
    </row>
    <row r="2354" customFormat="false" ht="15" hidden="false" customHeight="false" outlineLevel="0" collapsed="false">
      <c r="A2354" s="1" t="s">
        <v>2361</v>
      </c>
      <c r="B2354" s="5" t="n">
        <v>30.5822</v>
      </c>
      <c r="C2354" s="5" t="n">
        <v>12.6963</v>
      </c>
      <c r="D2354" s="1" t="n">
        <f aca="false">LN(B2354/B2353)</f>
        <v>0.0193040955028188</v>
      </c>
      <c r="E2354" s="1" t="n">
        <f aca="false">LN(C2354/C2353)</f>
        <v>3.15057379851773E-005</v>
      </c>
      <c r="F2354" s="1" t="n">
        <f aca="false">B2354/B2353-1</f>
        <v>0.0194916243020251</v>
      </c>
      <c r="G2354" s="1" t="n">
        <f aca="false">C2354/C2353-1</f>
        <v>3.15062342961525E-005</v>
      </c>
    </row>
    <row r="2355" customFormat="false" ht="15" hidden="false" customHeight="false" outlineLevel="0" collapsed="false">
      <c r="A2355" s="1" t="s">
        <v>2362</v>
      </c>
      <c r="B2355" s="5" t="n">
        <v>30.2791</v>
      </c>
      <c r="C2355" s="5" t="n">
        <v>12.6979</v>
      </c>
      <c r="D2355" s="1" t="n">
        <f aca="false">LN(B2355/B2354)</f>
        <v>-0.00996043482087043</v>
      </c>
      <c r="E2355" s="1" t="n">
        <f aca="false">LN(C2355/C2354)</f>
        <v>0.000126013026763449</v>
      </c>
      <c r="F2355" s="1" t="n">
        <f aca="false">B2355/B2354-1</f>
        <v>-0.00991099397688855</v>
      </c>
      <c r="G2355" s="1" t="n">
        <f aca="false">C2355/C2354-1</f>
        <v>0.000126020966738416</v>
      </c>
    </row>
    <row r="2356" customFormat="false" ht="15" hidden="false" customHeight="false" outlineLevel="0" collapsed="false">
      <c r="A2356" s="1" t="s">
        <v>2363</v>
      </c>
      <c r="B2356" s="5" t="n">
        <v>30.5429</v>
      </c>
      <c r="C2356" s="5" t="n">
        <v>12.6982</v>
      </c>
      <c r="D2356" s="1" t="n">
        <f aca="false">LN(B2356/B2355)</f>
        <v>0.00867454717683431</v>
      </c>
      <c r="E2356" s="1" t="n">
        <f aca="false">LN(C2356/C2355)</f>
        <v>2.36256748094792E-005</v>
      </c>
      <c r="F2356" s="1" t="n">
        <f aca="false">B2356/B2355-1</f>
        <v>0.00871228008758518</v>
      </c>
      <c r="G2356" s="1" t="n">
        <f aca="false">C2356/C2355-1</f>
        <v>2.36259538979322E-005</v>
      </c>
    </row>
    <row r="2357" customFormat="false" ht="15" hidden="false" customHeight="false" outlineLevel="0" collapsed="false">
      <c r="A2357" s="1" t="s">
        <v>2364</v>
      </c>
      <c r="B2357" s="5" t="n">
        <v>30.6209</v>
      </c>
      <c r="C2357" s="5" t="n">
        <v>12.7024</v>
      </c>
      <c r="D2357" s="1" t="n">
        <f aca="false">LN(B2357/B2356)</f>
        <v>0.00255052963628183</v>
      </c>
      <c r="E2357" s="1" t="n">
        <f aca="false">LN(C2357/C2356)</f>
        <v>0.000330700852600074</v>
      </c>
      <c r="F2357" s="1" t="n">
        <f aca="false">B2357/B2356-1</f>
        <v>0.00255378500404357</v>
      </c>
      <c r="G2357" s="1" t="n">
        <f aca="false">C2357/C2356-1</f>
        <v>0.00033075554015527</v>
      </c>
    </row>
    <row r="2358" customFormat="false" ht="15" hidden="false" customHeight="false" outlineLevel="0" collapsed="false">
      <c r="A2358" s="1" t="s">
        <v>2365</v>
      </c>
      <c r="B2358" s="5" t="n">
        <v>30.2438</v>
      </c>
      <c r="C2358" s="5" t="n">
        <v>12.7023</v>
      </c>
      <c r="D2358" s="1" t="n">
        <f aca="false">LN(B2358/B2357)</f>
        <v>-0.0123915775592071</v>
      </c>
      <c r="E2358" s="1" t="n">
        <f aca="false">LN(C2358/C2357)</f>
        <v>-7.87255901487614E-006</v>
      </c>
      <c r="F2358" s="1" t="n">
        <f aca="false">B2358/B2357-1</f>
        <v>-0.0123151181056076</v>
      </c>
      <c r="G2358" s="1" t="n">
        <f aca="false">C2358/C2357-1</f>
        <v>-7.87252802636473E-006</v>
      </c>
    </row>
    <row r="2359" customFormat="false" ht="15" hidden="false" customHeight="false" outlineLevel="0" collapsed="false">
      <c r="A2359" s="1" t="s">
        <v>2366</v>
      </c>
      <c r="B2359" s="5" t="n">
        <v>29.5912</v>
      </c>
      <c r="C2359" s="5" t="n">
        <v>12.7039</v>
      </c>
      <c r="D2359" s="1" t="n">
        <f aca="false">LN(B2359/B2358)</f>
        <v>-0.0218141849611493</v>
      </c>
      <c r="E2359" s="1" t="n">
        <f aca="false">LN(C2359/C2358)</f>
        <v>0.000125953507578316</v>
      </c>
      <c r="F2359" s="1" t="n">
        <f aca="false">B2359/B2358-1</f>
        <v>-0.0215779763125004</v>
      </c>
      <c r="G2359" s="1" t="n">
        <f aca="false">C2359/C2358-1</f>
        <v>0.00012596144005439</v>
      </c>
    </row>
    <row r="2360" customFormat="false" ht="15" hidden="false" customHeight="false" outlineLevel="0" collapsed="false">
      <c r="A2360" s="1" t="s">
        <v>2367</v>
      </c>
      <c r="B2360" s="5" t="n">
        <v>29.4966</v>
      </c>
      <c r="C2360" s="5" t="n">
        <v>12.7042</v>
      </c>
      <c r="D2360" s="1" t="n">
        <f aca="false">LN(B2360/B2359)</f>
        <v>-0.00320201736490898</v>
      </c>
      <c r="E2360" s="1" t="n">
        <f aca="false">LN(C2360/C2359)</f>
        <v>2.36145166315354E-005</v>
      </c>
      <c r="F2360" s="1" t="n">
        <f aca="false">B2360/B2359-1</f>
        <v>-0.00319689637459786</v>
      </c>
      <c r="G2360" s="1" t="n">
        <f aca="false">C2360/C2359-1</f>
        <v>2.36147954564281E-005</v>
      </c>
    </row>
    <row r="2361" customFormat="false" ht="15" hidden="false" customHeight="false" outlineLevel="0" collapsed="false">
      <c r="A2361" s="1" t="s">
        <v>2368</v>
      </c>
      <c r="B2361" s="5" t="n">
        <v>29.5963</v>
      </c>
      <c r="C2361" s="5" t="n">
        <v>12.7046</v>
      </c>
      <c r="D2361" s="1" t="n">
        <f aca="false">LN(B2361/B2360)</f>
        <v>0.00337435105065746</v>
      </c>
      <c r="E2361" s="1" t="n">
        <f aca="false">LN(C2361/C2360)</f>
        <v>3.14851547519775E-005</v>
      </c>
      <c r="F2361" s="1" t="n">
        <f aca="false">B2361/B2360-1</f>
        <v>0.00338005058210089</v>
      </c>
      <c r="G2361" s="1" t="n">
        <f aca="false">C2361/C2360-1</f>
        <v>3.14856504146643E-005</v>
      </c>
    </row>
    <row r="2362" customFormat="false" ht="15" hidden="false" customHeight="false" outlineLevel="0" collapsed="false">
      <c r="A2362" s="1" t="s">
        <v>2369</v>
      </c>
      <c r="B2362" s="5" t="n">
        <v>29.1569</v>
      </c>
      <c r="C2362" s="5" t="n">
        <v>12.7056</v>
      </c>
      <c r="D2362" s="1" t="n">
        <f aca="false">LN(B2362/B2361)</f>
        <v>-0.0149577620414337</v>
      </c>
      <c r="E2362" s="1" t="n">
        <f aca="false">LN(C2362/C2361)</f>
        <v>7.87085501504388E-005</v>
      </c>
      <c r="F2362" s="1" t="n">
        <f aca="false">B2362/B2361-1</f>
        <v>-0.0148464504008947</v>
      </c>
      <c r="G2362" s="1" t="n">
        <f aca="false">C2362/C2361-1</f>
        <v>7.87116477496408E-005</v>
      </c>
    </row>
    <row r="2363" customFormat="false" ht="15" hidden="false" customHeight="false" outlineLevel="0" collapsed="false">
      <c r="A2363" s="1" t="s">
        <v>2370</v>
      </c>
      <c r="B2363" s="5" t="n">
        <v>29.1559</v>
      </c>
      <c r="C2363" s="5" t="n">
        <v>12.7066</v>
      </c>
      <c r="D2363" s="1" t="n">
        <f aca="false">LN(B2363/B2362)</f>
        <v>-3.42977871101397E-005</v>
      </c>
      <c r="E2363" s="1" t="n">
        <f aca="false">LN(C2363/C2362)</f>
        <v>7.8702355602185E-005</v>
      </c>
      <c r="F2363" s="1" t="n">
        <f aca="false">B2363/B2362-1</f>
        <v>-3.42971989477636E-005</v>
      </c>
      <c r="G2363" s="1" t="n">
        <f aca="false">C2363/C2362-1</f>
        <v>7.87054527138231E-005</v>
      </c>
    </row>
    <row r="2364" customFormat="false" ht="15" hidden="false" customHeight="false" outlineLevel="0" collapsed="false">
      <c r="A2364" s="1" t="s">
        <v>2371</v>
      </c>
      <c r="B2364" s="5" t="n">
        <v>28.8752</v>
      </c>
      <c r="C2364" s="5" t="n">
        <v>12.7081</v>
      </c>
      <c r="D2364" s="1" t="n">
        <f aca="false">LN(B2364/B2363)</f>
        <v>-0.0096741984634232</v>
      </c>
      <c r="E2364" s="1" t="n">
        <f aca="false">LN(C2364/C2363)</f>
        <v>0.000118041920757838</v>
      </c>
      <c r="F2364" s="1" t="n">
        <f aca="false">B2364/B2363-1</f>
        <v>-0.00962755394276971</v>
      </c>
      <c r="G2364" s="1" t="n">
        <f aca="false">C2364/C2363-1</f>
        <v>0.000118048887979505</v>
      </c>
    </row>
    <row r="2365" customFormat="false" ht="15" hidden="false" customHeight="false" outlineLevel="0" collapsed="false">
      <c r="A2365" s="1" t="s">
        <v>2372</v>
      </c>
      <c r="B2365" s="5" t="n">
        <v>28.2393</v>
      </c>
      <c r="C2365" s="5" t="n">
        <v>12.7085</v>
      </c>
      <c r="D2365" s="1" t="n">
        <f aca="false">LN(B2365/B2364)</f>
        <v>-0.022268470442482</v>
      </c>
      <c r="E2365" s="1" t="n">
        <f aca="false">LN(C2365/C2364)</f>
        <v>3.14754923974831E-005</v>
      </c>
      <c r="F2365" s="1" t="n">
        <f aca="false">B2365/B2364-1</f>
        <v>-0.0220223582866959</v>
      </c>
      <c r="G2365" s="1" t="n">
        <f aca="false">C2365/C2364-1</f>
        <v>3.14759877559911E-005</v>
      </c>
    </row>
    <row r="2366" customFormat="false" ht="15" hidden="false" customHeight="false" outlineLevel="0" collapsed="false">
      <c r="A2366" s="1" t="s">
        <v>2373</v>
      </c>
      <c r="B2366" s="5" t="n">
        <v>28.8356</v>
      </c>
      <c r="C2366" s="5" t="n">
        <v>12.7103</v>
      </c>
      <c r="D2366" s="1" t="n">
        <f aca="false">LN(B2366/B2365)</f>
        <v>0.0208961101142547</v>
      </c>
      <c r="E2366" s="1" t="n">
        <f aca="false">LN(C2366/C2365)</f>
        <v>0.000141627457079573</v>
      </c>
      <c r="F2366" s="1" t="n">
        <f aca="false">B2366/B2365-1</f>
        <v>0.0211159625061528</v>
      </c>
      <c r="G2366" s="1" t="n">
        <f aca="false">C2366/C2365-1</f>
        <v>0.000141637486721358</v>
      </c>
    </row>
    <row r="2367" customFormat="false" ht="15" hidden="false" customHeight="false" outlineLevel="0" collapsed="false">
      <c r="A2367" s="1" t="s">
        <v>2374</v>
      </c>
      <c r="B2367" s="5" t="n">
        <v>28.5119</v>
      </c>
      <c r="C2367" s="5" t="n">
        <v>12.7118</v>
      </c>
      <c r="D2367" s="1" t="n">
        <f aca="false">LN(B2367/B2366)</f>
        <v>-0.011289190909595</v>
      </c>
      <c r="E2367" s="1" t="n">
        <f aca="false">LN(C2367/C2366)</f>
        <v>0.000118007560488054</v>
      </c>
      <c r="F2367" s="1" t="n">
        <f aca="false">B2367/B2366-1</f>
        <v>-0.0112257071120421</v>
      </c>
      <c r="G2367" s="1" t="n">
        <f aca="false">C2367/C2366-1</f>
        <v>0.00011801452365412</v>
      </c>
    </row>
    <row r="2368" customFormat="false" ht="15" hidden="false" customHeight="false" outlineLevel="0" collapsed="false">
      <c r="A2368" s="1" t="s">
        <v>2375</v>
      </c>
      <c r="B2368" s="5" t="n">
        <v>28.197</v>
      </c>
      <c r="C2368" s="5" t="n">
        <v>12.712</v>
      </c>
      <c r="D2368" s="1" t="n">
        <f aca="false">LN(B2368/B2367)</f>
        <v>-0.0111059546808002</v>
      </c>
      <c r="E2368" s="1" t="n">
        <f aca="false">LN(C2368/C2367)</f>
        <v>1.57332892804343E-005</v>
      </c>
      <c r="F2368" s="1" t="n">
        <f aca="false">B2368/B2367-1</f>
        <v>-0.0110445112391668</v>
      </c>
      <c r="G2368" s="1" t="n">
        <f aca="false">C2368/C2367-1</f>
        <v>1.57334130492792E-005</v>
      </c>
    </row>
    <row r="2369" customFormat="false" ht="15" hidden="false" customHeight="false" outlineLevel="0" collapsed="false">
      <c r="A2369" s="1" t="s">
        <v>2376</v>
      </c>
      <c r="B2369" s="5" t="n">
        <v>27.7939</v>
      </c>
      <c r="C2369" s="5" t="n">
        <v>12.713</v>
      </c>
      <c r="D2369" s="1" t="n">
        <f aca="false">LN(B2369/B2368)</f>
        <v>-0.0143990171471833</v>
      </c>
      <c r="E2369" s="1" t="n">
        <f aca="false">LN(C2369/C2368)</f>
        <v>7.8662733570486E-005</v>
      </c>
      <c r="F2369" s="1" t="n">
        <f aca="false">B2369/B2368-1</f>
        <v>-0.01429584707593</v>
      </c>
      <c r="G2369" s="1" t="n">
        <f aca="false">C2369/C2368-1</f>
        <v>7.86658275644392E-005</v>
      </c>
    </row>
    <row r="2370" customFormat="false" ht="15" hidden="false" customHeight="false" outlineLevel="0" collapsed="false">
      <c r="A2370" s="1" t="s">
        <v>2377</v>
      </c>
      <c r="B2370" s="5" t="n">
        <v>27.4608</v>
      </c>
      <c r="C2370" s="5" t="n">
        <v>12.7141</v>
      </c>
      <c r="D2370" s="1" t="n">
        <f aca="false">LN(B2370/B2369)</f>
        <v>-0.0120570389588538</v>
      </c>
      <c r="E2370" s="1" t="n">
        <f aca="false">LN(C2370/C2369)</f>
        <v>8.65218605886728E-005</v>
      </c>
      <c r="F2370" s="1" t="n">
        <f aca="false">B2370/B2369-1</f>
        <v>-0.0119846441125572</v>
      </c>
      <c r="G2370" s="1" t="n">
        <f aca="false">C2370/C2369-1</f>
        <v>8.65256037128059E-005</v>
      </c>
    </row>
    <row r="2371" customFormat="false" ht="15" hidden="false" customHeight="false" outlineLevel="0" collapsed="false">
      <c r="A2371" s="1" t="s">
        <v>2378</v>
      </c>
      <c r="B2371" s="5" t="n">
        <v>28.2126</v>
      </c>
      <c r="C2371" s="5" t="n">
        <v>12.714</v>
      </c>
      <c r="D2371" s="1" t="n">
        <f aca="false">LN(B2371/B2370)</f>
        <v>0.0270091534652699</v>
      </c>
      <c r="E2371" s="1" t="n">
        <f aca="false">LN(C2371/C2370)</f>
        <v>-7.86531435694944E-006</v>
      </c>
      <c r="F2371" s="1" t="n">
        <f aca="false">B2371/B2370-1</f>
        <v>0.027377206782031</v>
      </c>
      <c r="G2371" s="1" t="n">
        <f aca="false">C2371/C2370-1</f>
        <v>-7.86528342544557E-006</v>
      </c>
    </row>
    <row r="2372" customFormat="false" ht="15" hidden="false" customHeight="false" outlineLevel="0" collapsed="false">
      <c r="A2372" s="1" t="s">
        <v>2379</v>
      </c>
      <c r="B2372" s="5" t="n">
        <v>27.8462</v>
      </c>
      <c r="C2372" s="5" t="n">
        <v>12.7146</v>
      </c>
      <c r="D2372" s="1" t="n">
        <f aca="false">LN(B2372/B2371)</f>
        <v>-0.0130721748440826</v>
      </c>
      <c r="E2372" s="1" t="n">
        <f aca="false">LN(C2372/C2371)</f>
        <v>4.71909582211982E-005</v>
      </c>
      <c r="F2372" s="1" t="n">
        <f aca="false">B2372/B2371-1</f>
        <v>-0.0129871050523525</v>
      </c>
      <c r="G2372" s="1" t="n">
        <f aca="false">C2372/C2371-1</f>
        <v>4.71920717319829E-005</v>
      </c>
    </row>
    <row r="2373" customFormat="false" ht="15" hidden="false" customHeight="false" outlineLevel="0" collapsed="false">
      <c r="A2373" s="1" t="s">
        <v>2380</v>
      </c>
      <c r="B2373" s="5" t="n">
        <v>28.1849</v>
      </c>
      <c r="C2373" s="5" t="n">
        <v>12.7151</v>
      </c>
      <c r="D2373" s="1" t="n">
        <f aca="false">LN(B2373/B2372)</f>
        <v>0.0120898617193023</v>
      </c>
      <c r="E2373" s="1" t="n">
        <f aca="false">LN(C2373/C2372)</f>
        <v>3.93240974187395E-005</v>
      </c>
      <c r="F2373" s="1" t="n">
        <f aca="false">B2373/B2372-1</f>
        <v>0.0121632395084428</v>
      </c>
      <c r="G2373" s="1" t="n">
        <f aca="false">C2373/C2372-1</f>
        <v>3.93248706211935E-005</v>
      </c>
    </row>
    <row r="2374" customFormat="false" ht="15" hidden="false" customHeight="false" outlineLevel="0" collapsed="false">
      <c r="A2374" s="1" t="s">
        <v>2381</v>
      </c>
      <c r="B2374" s="5" t="n">
        <v>27.5293</v>
      </c>
      <c r="C2374" s="5" t="n">
        <v>12.7163</v>
      </c>
      <c r="D2374" s="1" t="n">
        <f aca="false">LN(B2374/B2373)</f>
        <v>-0.0235354815165969</v>
      </c>
      <c r="E2374" s="1" t="n">
        <f aca="false">LN(C2374/C2373)</f>
        <v>9.43715250352983E-005</v>
      </c>
      <c r="F2374" s="1" t="n">
        <f aca="false">B2374/B2373-1</f>
        <v>-0.0232606821383081</v>
      </c>
      <c r="G2374" s="1" t="n">
        <f aca="false">C2374/C2373-1</f>
        <v>9.43759781677489E-005</v>
      </c>
    </row>
    <row r="2375" customFormat="false" ht="15" hidden="false" customHeight="false" outlineLevel="0" collapsed="false">
      <c r="A2375" s="1" t="s">
        <v>2382</v>
      </c>
      <c r="B2375" s="5" t="n">
        <v>27.7801</v>
      </c>
      <c r="C2375" s="5" t="n">
        <v>12.7171</v>
      </c>
      <c r="D2375" s="1" t="n">
        <f aca="false">LN(B2375/B2374)</f>
        <v>0.0090690450076122</v>
      </c>
      <c r="E2375" s="1" t="n">
        <f aca="false">LN(C2375/C2374)</f>
        <v>6.29094026172351E-005</v>
      </c>
      <c r="F2375" s="1" t="n">
        <f aca="false">B2375/B2374-1</f>
        <v>0.00911029339649039</v>
      </c>
      <c r="G2375" s="1" t="n">
        <f aca="false">C2375/C2374-1</f>
        <v>6.29113814551996E-005</v>
      </c>
    </row>
    <row r="2376" customFormat="false" ht="15" hidden="false" customHeight="false" outlineLevel="0" collapsed="false">
      <c r="A2376" s="1" t="s">
        <v>2383</v>
      </c>
      <c r="B2376" s="5" t="n">
        <v>27.1109</v>
      </c>
      <c r="C2376" s="5" t="n">
        <v>12.7176</v>
      </c>
      <c r="D2376" s="1" t="n">
        <f aca="false">LN(B2376/B2375)</f>
        <v>-0.0243840759903231</v>
      </c>
      <c r="E2376" s="1" t="n">
        <f aca="false">LN(C2376/C2375)</f>
        <v>3.93163670152991E-005</v>
      </c>
      <c r="F2376" s="1" t="n">
        <f aca="false">B2376/B2375-1</f>
        <v>-0.0240891861440383</v>
      </c>
      <c r="G2376" s="1" t="n">
        <f aca="false">C2376/C2375-1</f>
        <v>3.93171399137859E-005</v>
      </c>
    </row>
    <row r="2377" customFormat="false" ht="15" hidden="false" customHeight="false" outlineLevel="0" collapsed="false">
      <c r="A2377" s="1" t="s">
        <v>2384</v>
      </c>
      <c r="B2377" s="5" t="n">
        <v>27.1079</v>
      </c>
      <c r="C2377" s="5" t="n">
        <v>12.7183</v>
      </c>
      <c r="D2377" s="1" t="n">
        <f aca="false">LN(B2377/B2376)</f>
        <v>-0.000110662722268337</v>
      </c>
      <c r="E2377" s="1" t="n">
        <f aca="false">LN(C2377/C2376)</f>
        <v>5.50403170461278E-005</v>
      </c>
      <c r="F2377" s="1" t="n">
        <f aca="false">B2377/B2376-1</f>
        <v>-0.000110656599375147</v>
      </c>
      <c r="G2377" s="1" t="n">
        <f aca="false">C2377/C2376-1</f>
        <v>5.50418317921686E-005</v>
      </c>
    </row>
    <row r="2378" customFormat="false" ht="15" hidden="false" customHeight="false" outlineLevel="0" collapsed="false">
      <c r="A2378" s="1" t="s">
        <v>2385</v>
      </c>
      <c r="B2378" s="5" t="n">
        <v>27.4753</v>
      </c>
      <c r="C2378" s="5" t="n">
        <v>12.719</v>
      </c>
      <c r="D2378" s="1" t="n">
        <f aca="false">LN(B2378/B2377)</f>
        <v>0.0134622209282112</v>
      </c>
      <c r="E2378" s="1" t="n">
        <f aca="false">LN(C2378/C2377)</f>
        <v>5.50372877763803E-005</v>
      </c>
      <c r="F2378" s="1" t="n">
        <f aca="false">B2378/B2377-1</f>
        <v>0.0135532446261053</v>
      </c>
      <c r="G2378" s="1" t="n">
        <f aca="false">C2378/C2377-1</f>
        <v>5.50388023556891E-005</v>
      </c>
    </row>
    <row r="2379" customFormat="false" ht="15" hidden="false" customHeight="false" outlineLevel="0" collapsed="false">
      <c r="A2379" s="1" t="s">
        <v>2386</v>
      </c>
      <c r="B2379" s="5" t="n">
        <v>27.3932</v>
      </c>
      <c r="C2379" s="5" t="n">
        <v>12.7201</v>
      </c>
      <c r="D2379" s="1" t="n">
        <f aca="false">LN(B2379/B2378)</f>
        <v>-0.00299261183637532</v>
      </c>
      <c r="E2379" s="1" t="n">
        <f aca="false">LN(C2379/C2378)</f>
        <v>8.648104694629E-005</v>
      </c>
      <c r="F2379" s="1" t="n">
        <f aca="false">B2379/B2378-1</f>
        <v>-0.00298813843706891</v>
      </c>
      <c r="G2379" s="1" t="n">
        <f aca="false">C2379/C2378-1</f>
        <v>8.64847865398311E-005</v>
      </c>
    </row>
    <row r="2380" customFormat="false" ht="15" hidden="false" customHeight="false" outlineLevel="0" collapsed="false">
      <c r="A2380" s="1" t="s">
        <v>2387</v>
      </c>
      <c r="B2380" s="5" t="n">
        <v>27.5816</v>
      </c>
      <c r="C2380" s="5" t="n">
        <v>12.7205</v>
      </c>
      <c r="D2380" s="1" t="n">
        <f aca="false">LN(B2380/B2379)</f>
        <v>0.00685407632441442</v>
      </c>
      <c r="E2380" s="1" t="n">
        <f aca="false">LN(C2380/C2379)</f>
        <v>3.14457992367031E-005</v>
      </c>
      <c r="F2380" s="1" t="n">
        <f aca="false">B2380/B2379-1</f>
        <v>0.00687761926317476</v>
      </c>
      <c r="G2380" s="1" t="n">
        <f aca="false">C2380/C2379-1</f>
        <v>3.14462936610305E-005</v>
      </c>
    </row>
    <row r="2381" customFormat="false" ht="15" hidden="false" customHeight="false" outlineLevel="0" collapsed="false">
      <c r="A2381" s="1" t="s">
        <v>2388</v>
      </c>
      <c r="B2381" s="5" t="n">
        <v>27.9139</v>
      </c>
      <c r="C2381" s="5" t="n">
        <v>12.7212</v>
      </c>
      <c r="D2381" s="1" t="n">
        <f aca="false">LN(B2381/B2380)</f>
        <v>0.0119758889128804</v>
      </c>
      <c r="E2381" s="1" t="n">
        <f aca="false">LN(C2381/C2380)</f>
        <v>5.50277693845601E-005</v>
      </c>
      <c r="F2381" s="1" t="n">
        <f aca="false">B2381/B2380-1</f>
        <v>0.0120478869971286</v>
      </c>
      <c r="G2381" s="1" t="n">
        <f aca="false">C2381/C2380-1</f>
        <v>5.50292834400334E-005</v>
      </c>
    </row>
    <row r="2382" customFormat="false" ht="15" hidden="false" customHeight="false" outlineLevel="0" collapsed="false">
      <c r="A2382" s="1" t="s">
        <v>2389</v>
      </c>
      <c r="B2382" s="5" t="n">
        <v>27.6943</v>
      </c>
      <c r="C2382" s="5" t="n">
        <v>12.7218</v>
      </c>
      <c r="D2382" s="1" t="n">
        <f aca="false">LN(B2382/B2381)</f>
        <v>-0.00789815680309508</v>
      </c>
      <c r="E2382" s="1" t="n">
        <f aca="false">LN(C2382/C2381)</f>
        <v>4.71642495077148E-005</v>
      </c>
      <c r="F2382" s="1" t="n">
        <f aca="false">B2382/B2381-1</f>
        <v>-0.00786704831643026</v>
      </c>
      <c r="G2382" s="1" t="n">
        <f aca="false">C2382/C2381-1</f>
        <v>4.71653617584167E-005</v>
      </c>
    </row>
    <row r="2383" customFormat="false" ht="15" hidden="false" customHeight="false" outlineLevel="0" collapsed="false">
      <c r="A2383" s="1" t="s">
        <v>2390</v>
      </c>
      <c r="B2383" s="5" t="n">
        <v>27.9384</v>
      </c>
      <c r="C2383" s="5" t="n">
        <v>12.7223</v>
      </c>
      <c r="D2383" s="1" t="n">
        <f aca="false">LN(B2383/B2382)</f>
        <v>0.00877547077481804</v>
      </c>
      <c r="E2383" s="1" t="n">
        <f aca="false">LN(C2383/C2382)</f>
        <v>3.93018420823617E-005</v>
      </c>
      <c r="F2383" s="1" t="n">
        <f aca="false">B2383/B2382-1</f>
        <v>0.00881408809755091</v>
      </c>
      <c r="G2383" s="1" t="n">
        <f aca="false">C2383/C2382-1</f>
        <v>3.93026144098752E-005</v>
      </c>
    </row>
    <row r="2384" customFormat="false" ht="15" hidden="false" customHeight="false" outlineLevel="0" collapsed="false">
      <c r="A2384" s="1" t="s">
        <v>2391</v>
      </c>
      <c r="B2384" s="5" t="n">
        <v>28.0705</v>
      </c>
      <c r="C2384" s="5" t="n">
        <v>12.7235</v>
      </c>
      <c r="D2384" s="1" t="n">
        <f aca="false">LN(B2384/B2383)</f>
        <v>0.00471711620647331</v>
      </c>
      <c r="E2384" s="1" t="n">
        <f aca="false">LN(C2384/C2383)</f>
        <v>9.43181193664499E-005</v>
      </c>
      <c r="F2384" s="1" t="n">
        <f aca="false">B2384/B2383-1</f>
        <v>0.00472825931334642</v>
      </c>
      <c r="G2384" s="1" t="n">
        <f aca="false">C2384/C2383-1</f>
        <v>9.43225674601145E-005</v>
      </c>
    </row>
    <row r="2385" customFormat="false" ht="15" hidden="false" customHeight="false" outlineLevel="0" collapsed="false">
      <c r="A2385" s="1" t="s">
        <v>2392</v>
      </c>
      <c r="B2385" s="5" t="n">
        <v>27.9566</v>
      </c>
      <c r="C2385" s="5" t="n">
        <v>12.7245</v>
      </c>
      <c r="D2385" s="1" t="n">
        <f aca="false">LN(B2385/B2384)</f>
        <v>-0.00406589514400969</v>
      </c>
      <c r="E2385" s="1" t="n">
        <f aca="false">LN(C2385/C2384)</f>
        <v>7.85916378903321E-005</v>
      </c>
      <c r="F2385" s="1" t="n">
        <f aca="false">B2385/B2384-1</f>
        <v>-0.00405764058353064</v>
      </c>
      <c r="G2385" s="1" t="n">
        <f aca="false">C2385/C2384-1</f>
        <v>7.85947262940123E-005</v>
      </c>
    </row>
    <row r="2386" customFormat="false" ht="15" hidden="false" customHeight="false" outlineLevel="0" collapsed="false">
      <c r="A2386" s="1" t="s">
        <v>2393</v>
      </c>
      <c r="B2386" s="5" t="n">
        <v>28.1065</v>
      </c>
      <c r="C2386" s="5" t="n">
        <v>12.725</v>
      </c>
      <c r="D2386" s="1" t="n">
        <f aca="false">LN(B2386/B2385)</f>
        <v>0.00534755863362241</v>
      </c>
      <c r="E2386" s="1" t="n">
        <f aca="false">LN(C2386/C2385)</f>
        <v>3.92935028241708E-005</v>
      </c>
      <c r="F2386" s="1" t="n">
        <f aca="false">B2386/B2385-1</f>
        <v>0.00536188234620805</v>
      </c>
      <c r="G2386" s="1" t="n">
        <f aca="false">C2386/C2385-1</f>
        <v>3.92942748239644E-005</v>
      </c>
    </row>
    <row r="2387" customFormat="false" ht="15" hidden="false" customHeight="false" outlineLevel="0" collapsed="false">
      <c r="A2387" s="1" t="s">
        <v>2394</v>
      </c>
      <c r="B2387" s="5" t="n">
        <v>28.0954</v>
      </c>
      <c r="C2387" s="5" t="n">
        <v>12.7253</v>
      </c>
      <c r="D2387" s="1" t="n">
        <f aca="false">LN(B2387/B2386)</f>
        <v>-0.0003950044444877</v>
      </c>
      <c r="E2387" s="1" t="n">
        <f aca="false">LN(C2387/C2386)</f>
        <v>2.35753606059697E-005</v>
      </c>
      <c r="F2387" s="1" t="n">
        <f aca="false">B2387/B2386-1</f>
        <v>-0.000394926440503096</v>
      </c>
      <c r="G2387" s="1" t="n">
        <f aca="false">C2387/C2386-1</f>
        <v>2.35756385069674E-005</v>
      </c>
    </row>
    <row r="2388" customFormat="false" ht="15" hidden="false" customHeight="false" outlineLevel="0" collapsed="false">
      <c r="A2388" s="1" t="s">
        <v>2395</v>
      </c>
      <c r="B2388" s="5" t="n">
        <v>27.3896</v>
      </c>
      <c r="C2388" s="5" t="n">
        <v>12.7273</v>
      </c>
      <c r="D2388" s="1" t="n">
        <f aca="false">LN(B2388/B2387)</f>
        <v>-0.0254424825732785</v>
      </c>
      <c r="E2388" s="1" t="n">
        <f aca="false">LN(C2388/C2387)</f>
        <v>0.000157154868588304</v>
      </c>
      <c r="F2388" s="1" t="n">
        <f aca="false">B2388/B2387-1</f>
        <v>-0.0251215501469991</v>
      </c>
      <c r="G2388" s="1" t="n">
        <f aca="false">C2388/C2387-1</f>
        <v>0.000157167218061582</v>
      </c>
    </row>
    <row r="2389" customFormat="false" ht="15" hidden="false" customHeight="false" outlineLevel="0" collapsed="false">
      <c r="A2389" s="1" t="s">
        <v>2396</v>
      </c>
      <c r="B2389" s="5" t="n">
        <v>27.6758</v>
      </c>
      <c r="C2389" s="5" t="n">
        <v>12.7282</v>
      </c>
      <c r="D2389" s="1" t="n">
        <f aca="false">LN(B2389/B2388)</f>
        <v>0.010395005834315</v>
      </c>
      <c r="E2389" s="1" t="n">
        <f aca="false">LN(C2389/C2388)</f>
        <v>7.07116340575E-005</v>
      </c>
      <c r="F2389" s="1" t="n">
        <f aca="false">B2389/B2388-1</f>
        <v>0.0104492216023599</v>
      </c>
      <c r="G2389" s="1" t="n">
        <f aca="false">C2389/C2388-1</f>
        <v>7.07141341840245E-005</v>
      </c>
    </row>
    <row r="2390" customFormat="false" ht="15" hidden="false" customHeight="false" outlineLevel="0" collapsed="false">
      <c r="A2390" s="1" t="s">
        <v>2397</v>
      </c>
      <c r="B2390" s="5" t="n">
        <v>27.8149</v>
      </c>
      <c r="C2390" s="5" t="n">
        <v>12.7288</v>
      </c>
      <c r="D2390" s="1" t="n">
        <f aca="false">LN(B2390/B2389)</f>
        <v>0.00501346320569974</v>
      </c>
      <c r="E2390" s="1" t="n">
        <f aca="false">LN(C2390/C2389)</f>
        <v>4.7138311671623E-005</v>
      </c>
      <c r="F2390" s="1" t="n">
        <f aca="false">B2390/B2389-1</f>
        <v>0.00502605164078385</v>
      </c>
      <c r="G2390" s="1" t="n">
        <f aca="false">C2390/C2389-1</f>
        <v>4.71394226992938E-005</v>
      </c>
    </row>
    <row r="2391" customFormat="false" ht="15" hidden="false" customHeight="false" outlineLevel="0" collapsed="false">
      <c r="A2391" s="1" t="s">
        <v>2398</v>
      </c>
      <c r="B2391" s="5" t="n">
        <v>27.5009</v>
      </c>
      <c r="C2391" s="5" t="n">
        <v>12.7301</v>
      </c>
      <c r="D2391" s="1" t="n">
        <f aca="false">LN(B2391/B2390)</f>
        <v>-0.0113531169286109</v>
      </c>
      <c r="E2391" s="1" t="n">
        <f aca="false">LN(C2391/C2390)</f>
        <v>0.000102125386495987</v>
      </c>
      <c r="F2391" s="1" t="n">
        <f aca="false">B2391/B2390-1</f>
        <v>-0.0112889134960039</v>
      </c>
      <c r="G2391" s="1" t="n">
        <f aca="false">C2391/C2390-1</f>
        <v>0.000102130601470796</v>
      </c>
    </row>
    <row r="2392" customFormat="false" ht="15" hidden="false" customHeight="false" outlineLevel="0" collapsed="false">
      <c r="A2392" s="1" t="s">
        <v>2399</v>
      </c>
      <c r="B2392" s="5" t="n">
        <v>26.5178</v>
      </c>
      <c r="C2392" s="5" t="n">
        <v>12.7309</v>
      </c>
      <c r="D2392" s="1" t="n">
        <f aca="false">LN(B2392/B2391)</f>
        <v>-0.0364025257925532</v>
      </c>
      <c r="E2392" s="1" t="n">
        <f aca="false">LN(C2392/C2391)</f>
        <v>6.28412081429252E-005</v>
      </c>
      <c r="F2392" s="1" t="n">
        <f aca="false">B2392/B2391-1</f>
        <v>-0.0357479209771316</v>
      </c>
      <c r="G2392" s="1" t="n">
        <f aca="false">C2392/C2391-1</f>
        <v>6.28431826930065E-005</v>
      </c>
    </row>
    <row r="2393" customFormat="false" ht="15" hidden="false" customHeight="false" outlineLevel="0" collapsed="false">
      <c r="A2393" s="1" t="s">
        <v>2400</v>
      </c>
      <c r="B2393" s="5" t="n">
        <v>25.3367</v>
      </c>
      <c r="C2393" s="5" t="n">
        <v>12.7319</v>
      </c>
      <c r="D2393" s="1" t="n">
        <f aca="false">LN(B2393/B2392)</f>
        <v>-0.045562268091834</v>
      </c>
      <c r="E2393" s="1" t="n">
        <f aca="false">LN(C2393/C2392)</f>
        <v>7.85459572800093E-005</v>
      </c>
      <c r="F2393" s="1" t="n">
        <f aca="false">B2393/B2392-1</f>
        <v>-0.0445398939580207</v>
      </c>
      <c r="G2393" s="1" t="n">
        <f aca="false">C2393/C2392-1</f>
        <v>7.85490420944779E-005</v>
      </c>
    </row>
    <row r="2394" customFormat="false" ht="15" hidden="false" customHeight="false" outlineLevel="0" collapsed="false">
      <c r="A2394" s="1" t="s">
        <v>2401</v>
      </c>
      <c r="B2394" s="5" t="n">
        <v>25.7946</v>
      </c>
      <c r="C2394" s="5" t="n">
        <v>12.7316</v>
      </c>
      <c r="D2394" s="1" t="n">
        <f aca="false">LN(B2394/B2393)</f>
        <v>0.0179112301698616</v>
      </c>
      <c r="E2394" s="1" t="n">
        <f aca="false">LN(C2394/C2393)</f>
        <v>-2.3563139396651E-005</v>
      </c>
      <c r="F2394" s="1" t="n">
        <f aca="false">B2394/B2393-1</f>
        <v>0.018072598246812</v>
      </c>
      <c r="G2394" s="1" t="n">
        <f aca="false">C2394/C2393-1</f>
        <v>-2.35628617880623E-005</v>
      </c>
    </row>
    <row r="2395" customFormat="false" ht="15" hidden="false" customHeight="false" outlineLevel="0" collapsed="false">
      <c r="A2395" s="1" t="s">
        <v>2402</v>
      </c>
      <c r="B2395" s="5" t="n">
        <v>27.041</v>
      </c>
      <c r="C2395" s="5" t="n">
        <v>12.7324</v>
      </c>
      <c r="D2395" s="1" t="n">
        <f aca="false">LN(B2395/B2394)</f>
        <v>0.0471890650442558</v>
      </c>
      <c r="E2395" s="1" t="n">
        <f aca="false">LN(C2395/C2394)</f>
        <v>6.28338046076358E-005</v>
      </c>
      <c r="F2395" s="1" t="n">
        <f aca="false">B2395/B2394-1</f>
        <v>0.0483201910477387</v>
      </c>
      <c r="G2395" s="1" t="n">
        <f aca="false">C2395/C2394-1</f>
        <v>6.28357786924827E-005</v>
      </c>
    </row>
    <row r="2396" customFormat="false" ht="15" hidden="false" customHeight="false" outlineLevel="0" collapsed="false">
      <c r="A2396" s="1" t="s">
        <v>2403</v>
      </c>
      <c r="B2396" s="5" t="n">
        <v>26.9339</v>
      </c>
      <c r="C2396" s="5" t="n">
        <v>12.7331</v>
      </c>
      <c r="D2396" s="1" t="n">
        <f aca="false">LN(B2396/B2395)</f>
        <v>-0.00396851649788651</v>
      </c>
      <c r="E2396" s="1" t="n">
        <f aca="false">LN(C2396/C2395)</f>
        <v>5.49763405530654E-005</v>
      </c>
      <c r="F2396" s="1" t="n">
        <f aca="false">B2396/B2395-1</f>
        <v>-0.00396065234273879</v>
      </c>
      <c r="G2396" s="1" t="n">
        <f aca="false">C2396/C2395-1</f>
        <v>5.49778517797694E-005</v>
      </c>
    </row>
    <row r="2397" customFormat="false" ht="15" hidden="false" customHeight="false" outlineLevel="0" collapsed="false">
      <c r="A2397" s="1" t="s">
        <v>2404</v>
      </c>
      <c r="B2397" s="5" t="n">
        <v>27.2036</v>
      </c>
      <c r="C2397" s="5" t="n">
        <v>12.735</v>
      </c>
      <c r="D2397" s="1" t="n">
        <f aca="false">LN(B2397/B2396)</f>
        <v>0.00996360124367941</v>
      </c>
      <c r="E2397" s="1" t="n">
        <f aca="false">LN(C2397/C2396)</f>
        <v>0.000149206262227857</v>
      </c>
      <c r="F2397" s="1" t="n">
        <f aca="false">B2397/B2396-1</f>
        <v>0.010013403183349</v>
      </c>
      <c r="G2397" s="1" t="n">
        <f aca="false">C2397/C2396-1</f>
        <v>0.000149217394035839</v>
      </c>
    </row>
    <row r="2398" customFormat="false" ht="15" hidden="false" customHeight="false" outlineLevel="0" collapsed="false">
      <c r="A2398" s="1" t="s">
        <v>2405</v>
      </c>
      <c r="B2398" s="5" t="n">
        <v>27.2244</v>
      </c>
      <c r="C2398" s="5" t="n">
        <v>12.7365</v>
      </c>
      <c r="D2398" s="1" t="n">
        <f aca="false">LN(B2398/B2397)</f>
        <v>0.000764312523427938</v>
      </c>
      <c r="E2398" s="1" t="n">
        <f aca="false">LN(C2398/C2397)</f>
        <v>0.000117778693970392</v>
      </c>
      <c r="F2398" s="1" t="n">
        <f aca="false">B2398/B2397-1</f>
        <v>0.000764604684674097</v>
      </c>
      <c r="G2398" s="1" t="n">
        <f aca="false">C2398/C2397-1</f>
        <v>0.000117785630153078</v>
      </c>
    </row>
    <row r="2399" customFormat="false" ht="15" hidden="false" customHeight="false" outlineLevel="0" collapsed="false">
      <c r="A2399" s="1" t="s">
        <v>2406</v>
      </c>
      <c r="B2399" s="5" t="n">
        <v>27.4557</v>
      </c>
      <c r="C2399" s="5" t="n">
        <v>12.7369</v>
      </c>
      <c r="D2399" s="1" t="n">
        <f aca="false">LN(B2399/B2398)</f>
        <v>0.00846016666375152</v>
      </c>
      <c r="E2399" s="1" t="n">
        <f aca="false">LN(C2399/C2398)</f>
        <v>3.14053090700585E-005</v>
      </c>
      <c r="F2399" s="1" t="n">
        <f aca="false">B2399/B2398-1</f>
        <v>0.00849605500947681</v>
      </c>
      <c r="G2399" s="1" t="n">
        <f aca="false">C2399/C2398-1</f>
        <v>3.14058022219399E-005</v>
      </c>
    </row>
    <row r="2400" customFormat="false" ht="15" hidden="false" customHeight="false" outlineLevel="0" collapsed="false">
      <c r="A2400" s="1" t="s">
        <v>2407</v>
      </c>
      <c r="B2400" s="5" t="n">
        <v>27.0282</v>
      </c>
      <c r="C2400" s="5" t="n">
        <v>12.7384</v>
      </c>
      <c r="D2400" s="1" t="n">
        <f aca="false">LN(B2400/B2399)</f>
        <v>-0.01569303127627</v>
      </c>
      <c r="E2400" s="1" t="n">
        <f aca="false">LN(C2400/C2399)</f>
        <v>0.000117761125618419</v>
      </c>
      <c r="F2400" s="1" t="n">
        <f aca="false">B2400/B2399-1</f>
        <v>-0.015570537265486</v>
      </c>
      <c r="G2400" s="1" t="n">
        <f aca="false">C2400/C2399-1</f>
        <v>0.00011776805973196</v>
      </c>
    </row>
    <row r="2401" customFormat="false" ht="15" hidden="false" customHeight="false" outlineLevel="0" collapsed="false">
      <c r="A2401" s="1" t="s">
        <v>2408</v>
      </c>
      <c r="B2401" s="5" t="n">
        <v>27.2618</v>
      </c>
      <c r="C2401" s="5" t="n">
        <v>12.7387</v>
      </c>
      <c r="D2401" s="1" t="n">
        <f aca="false">LN(B2401/B2400)</f>
        <v>0.00860568950666865</v>
      </c>
      <c r="E2401" s="1" t="n">
        <f aca="false">LN(C2401/C2400)</f>
        <v>2.35505610932395E-005</v>
      </c>
      <c r="F2401" s="1" t="n">
        <f aca="false">B2401/B2400-1</f>
        <v>0.00864282490139945</v>
      </c>
      <c r="G2401" s="1" t="n">
        <f aca="false">C2401/C2400-1</f>
        <v>2.35508384098804E-005</v>
      </c>
    </row>
    <row r="2402" customFormat="false" ht="15" hidden="false" customHeight="false" outlineLevel="0" collapsed="false">
      <c r="A2402" s="1" t="s">
        <v>2409</v>
      </c>
      <c r="B2402" s="5" t="n">
        <v>27.5911</v>
      </c>
      <c r="C2402" s="5" t="n">
        <v>12.7394</v>
      </c>
      <c r="D2402" s="1" t="n">
        <f aca="false">LN(B2402/B2401)</f>
        <v>0.0120068020495396</v>
      </c>
      <c r="E2402" s="1" t="n">
        <f aca="false">LN(C2402/C2401)</f>
        <v>5.49491524231109E-005</v>
      </c>
      <c r="F2402" s="1" t="n">
        <f aca="false">B2402/B2401-1</f>
        <v>0.0120791730553376</v>
      </c>
      <c r="G2402" s="1" t="n">
        <f aca="false">C2402/C2401-1</f>
        <v>5.49506621554396E-005</v>
      </c>
    </row>
    <row r="2403" customFormat="false" ht="15" hidden="false" customHeight="false" outlineLevel="0" collapsed="false">
      <c r="A2403" s="1" t="s">
        <v>2410</v>
      </c>
      <c r="B2403" s="5" t="n">
        <v>27.3702</v>
      </c>
      <c r="C2403" s="5" t="n">
        <v>12.7399</v>
      </c>
      <c r="D2403" s="1" t="n">
        <f aca="false">LN(B2403/B2402)</f>
        <v>-0.00803842665574376</v>
      </c>
      <c r="E2403" s="1" t="n">
        <f aca="false">LN(C2403/C2402)</f>
        <v>3.92475460522307E-005</v>
      </c>
      <c r="F2403" s="1" t="n">
        <f aca="false">B2403/B2402-1</f>
        <v>-0.00800620489940596</v>
      </c>
      <c r="G2403" s="1" t="n">
        <f aca="false">C2403/C2402-1</f>
        <v>3.92483162472423E-005</v>
      </c>
    </row>
    <row r="2404" customFormat="false" ht="15" hidden="false" customHeight="false" outlineLevel="0" collapsed="false">
      <c r="A2404" s="1" t="s">
        <v>2411</v>
      </c>
      <c r="B2404" s="5" t="n">
        <v>27.7268</v>
      </c>
      <c r="C2404" s="5" t="n">
        <v>12.7409</v>
      </c>
      <c r="D2404" s="1" t="n">
        <f aca="false">LN(B2404/B2403)</f>
        <v>0.0129446241867502</v>
      </c>
      <c r="E2404" s="1" t="n">
        <f aca="false">LN(C2404/C2403)</f>
        <v>7.84904712969621E-005</v>
      </c>
      <c r="F2404" s="1" t="n">
        <f aca="false">B2404/B2403-1</f>
        <v>0.0130287685146619</v>
      </c>
      <c r="G2404" s="1" t="n">
        <f aca="false">C2404/C2403-1</f>
        <v>7.84935517545993E-005</v>
      </c>
    </row>
    <row r="2405" customFormat="false" ht="15" hidden="false" customHeight="false" outlineLevel="0" collapsed="false">
      <c r="A2405" s="1" t="s">
        <v>2412</v>
      </c>
      <c r="B2405" s="5" t="n">
        <v>27.7933</v>
      </c>
      <c r="C2405" s="5" t="n">
        <v>12.742</v>
      </c>
      <c r="D2405" s="1" t="n">
        <f aca="false">LN(B2405/B2404)</f>
        <v>0.00239552997207154</v>
      </c>
      <c r="E2405" s="1" t="n">
        <f aca="false">LN(C2405/C2404)</f>
        <v>8.63324033514928E-005</v>
      </c>
      <c r="F2405" s="1" t="n">
        <f aca="false">B2405/B2404-1</f>
        <v>0.00239840154651816</v>
      </c>
      <c r="G2405" s="1" t="n">
        <f aca="false">C2405/C2404-1</f>
        <v>8.63361301006727E-005</v>
      </c>
    </row>
    <row r="2406" customFormat="false" ht="15" hidden="false" customHeight="false" outlineLevel="0" collapsed="false">
      <c r="A2406" s="1" t="s">
        <v>2413</v>
      </c>
      <c r="B2406" s="5" t="n">
        <v>28.1993</v>
      </c>
      <c r="C2406" s="5" t="n">
        <v>12.7428</v>
      </c>
      <c r="D2406" s="1" t="n">
        <f aca="false">LN(B2406/B2405)</f>
        <v>0.0145021704854986</v>
      </c>
      <c r="E2406" s="1" t="n">
        <f aca="false">LN(C2406/C2405)</f>
        <v>6.27825213667769E-005</v>
      </c>
      <c r="F2406" s="1" t="n">
        <f aca="false">B2406/B2405-1</f>
        <v>0.014607837140606</v>
      </c>
      <c r="G2406" s="1" t="n">
        <f aca="false">C2406/C2405-1</f>
        <v>6.27844922305165E-005</v>
      </c>
    </row>
    <row r="2407" customFormat="false" ht="15" hidden="false" customHeight="false" outlineLevel="0" collapsed="false">
      <c r="A2407" s="1" t="s">
        <v>2414</v>
      </c>
      <c r="B2407" s="5" t="n">
        <v>28.9947</v>
      </c>
      <c r="C2407" s="5" t="n">
        <v>12.7433</v>
      </c>
      <c r="D2407" s="1" t="n">
        <f aca="false">LN(B2407/B2406)</f>
        <v>0.0278158997224484</v>
      </c>
      <c r="E2407" s="1" t="n">
        <f aca="false">LN(C2407/C2406)</f>
        <v>3.9237074331789E-005</v>
      </c>
      <c r="F2407" s="1" t="n">
        <f aca="false">B2407/B2406-1</f>
        <v>0.028206373917083</v>
      </c>
      <c r="G2407" s="1" t="n">
        <f aca="false">C2407/C2406-1</f>
        <v>3.92378441158581E-005</v>
      </c>
    </row>
    <row r="2408" customFormat="false" ht="15" hidden="false" customHeight="false" outlineLevel="0" collapsed="false">
      <c r="A2408" s="1" t="s">
        <v>2415</v>
      </c>
      <c r="B2408" s="5" t="n">
        <v>29.027</v>
      </c>
      <c r="C2408" s="5" t="n">
        <v>12.7455</v>
      </c>
      <c r="D2408" s="1" t="n">
        <f aca="false">LN(B2408/B2407)</f>
        <v>0.00111337666206304</v>
      </c>
      <c r="E2408" s="1" t="n">
        <f aca="false">LN(C2408/C2407)</f>
        <v>0.000172624839573728</v>
      </c>
      <c r="F2408" s="1" t="n">
        <f aca="false">B2408/B2407-1</f>
        <v>0.00111399669594792</v>
      </c>
      <c r="G2408" s="1" t="n">
        <f aca="false">C2408/C2407-1</f>
        <v>0.000172639740098735</v>
      </c>
    </row>
    <row r="2409" customFormat="false" ht="15" hidden="false" customHeight="false" outlineLevel="0" collapsed="false">
      <c r="A2409" s="1" t="s">
        <v>2416</v>
      </c>
      <c r="B2409" s="5" t="n">
        <v>28.7914</v>
      </c>
      <c r="C2409" s="5" t="n">
        <v>12.747</v>
      </c>
      <c r="D2409" s="1" t="n">
        <f aca="false">LN(B2409/B2408)</f>
        <v>-0.00814969988784193</v>
      </c>
      <c r="E2409" s="1" t="n">
        <f aca="false">LN(C2409/C2408)</f>
        <v>0.000117681671215545</v>
      </c>
      <c r="F2409" s="1" t="n">
        <f aca="false">B2409/B2408-1</f>
        <v>-0.00811658111413516</v>
      </c>
      <c r="G2409" s="1" t="n">
        <f aca="false">C2409/C2408-1</f>
        <v>0.000117688595975052</v>
      </c>
    </row>
    <row r="2410" customFormat="false" ht="15" hidden="false" customHeight="false" outlineLevel="0" collapsed="false">
      <c r="A2410" s="1" t="s">
        <v>2417</v>
      </c>
      <c r="B2410" s="5" t="n">
        <v>29.7177</v>
      </c>
      <c r="C2410" s="5" t="n">
        <v>12.7477</v>
      </c>
      <c r="D2410" s="1" t="n">
        <f aca="false">LN(B2410/B2409)</f>
        <v>0.0316660964536034</v>
      </c>
      <c r="E2410" s="1" t="n">
        <f aca="false">LN(C2410/C2409)</f>
        <v>5.49133741661692E-005</v>
      </c>
      <c r="F2410" s="1" t="n">
        <f aca="false">B2410/B2409-1</f>
        <v>0.0321728016004779</v>
      </c>
      <c r="G2410" s="1" t="n">
        <f aca="false">C2410/C2409-1</f>
        <v>5.49148819330991E-005</v>
      </c>
    </row>
    <row r="2411" customFormat="false" ht="15" hidden="false" customHeight="false" outlineLevel="0" collapsed="false">
      <c r="A2411" s="1" t="s">
        <v>2418</v>
      </c>
      <c r="B2411" s="5" t="n">
        <v>29.3692</v>
      </c>
      <c r="C2411" s="5" t="n">
        <v>12.7483</v>
      </c>
      <c r="D2411" s="1" t="n">
        <f aca="false">LN(B2411/B2410)</f>
        <v>-0.0117963217305922</v>
      </c>
      <c r="E2411" s="1" t="n">
        <f aca="false">LN(C2411/C2410)</f>
        <v>4.70662064724816E-005</v>
      </c>
      <c r="F2411" s="1" t="n">
        <f aca="false">B2411/B2410-1</f>
        <v>-0.0117270179051542</v>
      </c>
      <c r="G2411" s="1" t="n">
        <f aca="false">C2411/C2410-1</f>
        <v>4.70673141037548E-005</v>
      </c>
    </row>
    <row r="2412" customFormat="false" ht="15" hidden="false" customHeight="false" outlineLevel="0" collapsed="false">
      <c r="A2412" s="1" t="s">
        <v>2419</v>
      </c>
      <c r="B2412" s="5" t="n">
        <v>29.5846</v>
      </c>
      <c r="C2412" s="5" t="n">
        <v>12.749</v>
      </c>
      <c r="D2412" s="1" t="n">
        <f aca="false">LN(B2412/B2411)</f>
        <v>0.00730744951158138</v>
      </c>
      <c r="E2412" s="1" t="n">
        <f aca="false">LN(C2412/C2411)</f>
        <v>5.49077745624537E-005</v>
      </c>
      <c r="F2412" s="1" t="n">
        <f aca="false">B2412/B2411-1</f>
        <v>0.00733421407460866</v>
      </c>
      <c r="G2412" s="1" t="n">
        <f aca="false">C2412/C2411-1</f>
        <v>5.49092820218977E-005</v>
      </c>
    </row>
    <row r="2413" customFormat="false" ht="15" hidden="false" customHeight="false" outlineLevel="0" collapsed="false">
      <c r="A2413" s="1" t="s">
        <v>2420</v>
      </c>
      <c r="B2413" s="5" t="n">
        <v>29.5979</v>
      </c>
      <c r="C2413" s="5" t="n">
        <v>12.7495</v>
      </c>
      <c r="D2413" s="1" t="n">
        <f aca="false">LN(B2413/B2412)</f>
        <v>0.000449457195079632</v>
      </c>
      <c r="E2413" s="1" t="n">
        <f aca="false">LN(C2413/C2412)</f>
        <v>3.92179932202166E-005</v>
      </c>
      <c r="F2413" s="1" t="n">
        <f aca="false">B2413/B2412-1</f>
        <v>0.000449558216099044</v>
      </c>
      <c r="G2413" s="1" t="n">
        <f aca="false">C2413/C2412-1</f>
        <v>3.9218762255766E-005</v>
      </c>
    </row>
    <row r="2414" customFormat="false" ht="15" hidden="false" customHeight="false" outlineLevel="0" collapsed="false">
      <c r="A2414" s="1" t="s">
        <v>2421</v>
      </c>
      <c r="B2414" s="5" t="n">
        <v>29.7389</v>
      </c>
      <c r="C2414" s="5" t="n">
        <v>12.7496</v>
      </c>
      <c r="D2414" s="1" t="n">
        <f aca="false">LN(B2414/B2413)</f>
        <v>0.00475254025808304</v>
      </c>
      <c r="E2414" s="1" t="n">
        <f aca="false">LN(C2414/C2413)</f>
        <v>7.84341408129659E-006</v>
      </c>
      <c r="F2414" s="1" t="n">
        <f aca="false">B2414/B2413-1</f>
        <v>0.0047638514894639</v>
      </c>
      <c r="G2414" s="1" t="n">
        <f aca="false">C2414/C2413-1</f>
        <v>7.84344484094923E-006</v>
      </c>
    </row>
    <row r="2415" customFormat="false" ht="15" hidden="false" customHeight="false" outlineLevel="0" collapsed="false">
      <c r="A2415" s="1" t="s">
        <v>2422</v>
      </c>
      <c r="B2415" s="5" t="n">
        <v>29.1731</v>
      </c>
      <c r="C2415" s="5" t="n">
        <v>12.7513</v>
      </c>
      <c r="D2415" s="1" t="n">
        <f aca="false">LN(B2415/B2414)</f>
        <v>-0.0192089013236396</v>
      </c>
      <c r="E2415" s="1" t="n">
        <f aca="false">LN(C2415/C2414)</f>
        <v>0.000133328627814624</v>
      </c>
      <c r="F2415" s="1" t="n">
        <f aca="false">B2415/B2414-1</f>
        <v>-0.0190255860169677</v>
      </c>
      <c r="G2415" s="1" t="n">
        <f aca="false">C2415/C2414-1</f>
        <v>0.000133337516471155</v>
      </c>
    </row>
    <row r="2416" customFormat="false" ht="15" hidden="false" customHeight="false" outlineLevel="0" collapsed="false">
      <c r="A2416" s="1" t="s">
        <v>2423</v>
      </c>
      <c r="B2416" s="5" t="n">
        <v>29.2079</v>
      </c>
      <c r="C2416" s="5" t="n">
        <v>12.7515</v>
      </c>
      <c r="D2416" s="1" t="n">
        <f aca="false">LN(B2416/B2415)</f>
        <v>0.00119216882621647</v>
      </c>
      <c r="E2416" s="1" t="n">
        <f aca="false">LN(C2416/C2415)</f>
        <v>1.56845522846637E-005</v>
      </c>
      <c r="F2416" s="1" t="n">
        <f aca="false">B2416/B2415-1</f>
        <v>0.00119287974195403</v>
      </c>
      <c r="G2416" s="1" t="n">
        <f aca="false">C2416/C2415-1</f>
        <v>1.5684675287897E-005</v>
      </c>
    </row>
    <row r="2417" customFormat="false" ht="15" hidden="false" customHeight="false" outlineLevel="0" collapsed="false">
      <c r="A2417" s="1" t="s">
        <v>2424</v>
      </c>
      <c r="B2417" s="5" t="n">
        <v>28.9554</v>
      </c>
      <c r="C2417" s="5" t="n">
        <v>12.7525</v>
      </c>
      <c r="D2417" s="1" t="n">
        <f aca="false">LN(B2417/B2416)</f>
        <v>-0.00868250550580939</v>
      </c>
      <c r="E2417" s="1" t="n">
        <f aca="false">LN(C2417/C2416)</f>
        <v>7.84190715583027E-005</v>
      </c>
      <c r="F2417" s="1" t="n">
        <f aca="false">B2417/B2416-1</f>
        <v>-0.00864492140824902</v>
      </c>
      <c r="G2417" s="1" t="n">
        <f aca="false">C2417/C2416-1</f>
        <v>7.842214641407E-005</v>
      </c>
    </row>
    <row r="2418" customFormat="false" ht="15" hidden="false" customHeight="false" outlineLevel="0" collapsed="false">
      <c r="A2418" s="1" t="s">
        <v>2425</v>
      </c>
      <c r="B2418" s="5" t="n">
        <v>29.0503</v>
      </c>
      <c r="C2418" s="5" t="n">
        <v>12.7525</v>
      </c>
      <c r="D2418" s="1" t="n">
        <f aca="false">LN(B2418/B2417)</f>
        <v>0.00327209514483571</v>
      </c>
      <c r="E2418" s="1" t="n">
        <f aca="false">LN(C2418/C2417)</f>
        <v>0</v>
      </c>
      <c r="F2418" s="1" t="n">
        <f aca="false">B2418/B2417-1</f>
        <v>0.00327745429177284</v>
      </c>
      <c r="G2418" s="1" t="n">
        <f aca="false">C2418/C2417-1</f>
        <v>0</v>
      </c>
    </row>
    <row r="2419" customFormat="false" ht="15" hidden="false" customHeight="false" outlineLevel="0" collapsed="false">
      <c r="A2419" s="1" t="s">
        <v>2426</v>
      </c>
      <c r="B2419" s="5" t="n">
        <v>28.8526</v>
      </c>
      <c r="C2419" s="5" t="n">
        <v>12.7539</v>
      </c>
      <c r="D2419" s="1" t="n">
        <f aca="false">LN(B2419/B2418)</f>
        <v>-0.00682870005638786</v>
      </c>
      <c r="E2419" s="1" t="n">
        <f aca="false">LN(C2419/C2418)</f>
        <v>0.000109776369962469</v>
      </c>
      <c r="F2419" s="1" t="n">
        <f aca="false">B2419/B2418-1</f>
        <v>-0.00680543746536189</v>
      </c>
      <c r="G2419" s="1" t="n">
        <f aca="false">C2419/C2418-1</f>
        <v>0.00010978239560866</v>
      </c>
    </row>
    <row r="2420" customFormat="false" ht="15" hidden="false" customHeight="false" outlineLevel="0" collapsed="false">
      <c r="A2420" s="1" t="s">
        <v>2427</v>
      </c>
      <c r="B2420" s="5" t="n">
        <v>28.7482</v>
      </c>
      <c r="C2420" s="5" t="n">
        <v>12.7541</v>
      </c>
      <c r="D2420" s="1" t="n">
        <f aca="false">LN(B2420/B2419)</f>
        <v>-0.00362495362288326</v>
      </c>
      <c r="E2420" s="1" t="n">
        <f aca="false">LN(C2420/C2419)</f>
        <v>1.56813548694054E-005</v>
      </c>
      <c r="F2420" s="1" t="n">
        <f aca="false">B2420/B2419-1</f>
        <v>-0.00361839141013287</v>
      </c>
      <c r="G2420" s="1" t="n">
        <f aca="false">C2420/C2419-1</f>
        <v>1.56814778224934E-005</v>
      </c>
    </row>
    <row r="2421" customFormat="false" ht="15" hidden="false" customHeight="false" outlineLevel="0" collapsed="false">
      <c r="A2421" s="1" t="s">
        <v>2428</v>
      </c>
      <c r="B2421" s="5" t="n">
        <v>28.8122</v>
      </c>
      <c r="C2421" s="5" t="n">
        <v>12.7553</v>
      </c>
      <c r="D2421" s="1" t="n">
        <f aca="false">LN(B2421/B2420)</f>
        <v>0.00222375196745394</v>
      </c>
      <c r="E2421" s="1" t="n">
        <f aca="false">LN(C2421/C2420)</f>
        <v>9.40829655646207E-005</v>
      </c>
      <c r="F2421" s="1" t="n">
        <f aca="false">B2421/B2420-1</f>
        <v>0.00222622633764891</v>
      </c>
      <c r="G2421" s="1" t="n">
        <f aca="false">C2421/C2420-1</f>
        <v>9.40873915056262E-005</v>
      </c>
    </row>
    <row r="2422" customFormat="false" ht="15" hidden="false" customHeight="false" outlineLevel="0" collapsed="false">
      <c r="A2422" s="1" t="s">
        <v>2429</v>
      </c>
      <c r="B2422" s="5" t="n">
        <v>28.8755</v>
      </c>
      <c r="C2422" s="5" t="n">
        <v>12.7557</v>
      </c>
      <c r="D2422" s="1" t="n">
        <f aca="false">LN(B2422/B2421)</f>
        <v>0.00219457615419806</v>
      </c>
      <c r="E2422" s="1" t="n">
        <f aca="false">LN(C2422/C2421)</f>
        <v>3.13590216010976E-005</v>
      </c>
      <c r="F2422" s="1" t="n">
        <f aca="false">B2422/B2421-1</f>
        <v>0.00219698599898655</v>
      </c>
      <c r="G2422" s="1" t="n">
        <f aca="false">C2422/C2421-1</f>
        <v>3.13595133003552E-005</v>
      </c>
    </row>
    <row r="2423" customFormat="false" ht="15" hidden="false" customHeight="false" outlineLevel="0" collapsed="false">
      <c r="A2423" s="1" t="s">
        <v>2430</v>
      </c>
      <c r="B2423" s="5" t="n">
        <v>28.4377</v>
      </c>
      <c r="C2423" s="5" t="n">
        <v>12.7562</v>
      </c>
      <c r="D2423" s="1" t="n">
        <f aca="false">LN(B2423/B2422)</f>
        <v>-0.0152777550558822</v>
      </c>
      <c r="E2423" s="1" t="n">
        <f aca="false">LN(C2423/C2422)</f>
        <v>3.91973941622829E-005</v>
      </c>
      <c r="F2423" s="1" t="n">
        <f aca="false">B2423/B2422-1</f>
        <v>-0.0151616422226455</v>
      </c>
      <c r="G2423" s="1" t="n">
        <f aca="false">C2423/C2422-1</f>
        <v>3.91981623901749E-005</v>
      </c>
    </row>
    <row r="2424" customFormat="false" ht="15" hidden="false" customHeight="false" outlineLevel="0" collapsed="false">
      <c r="A2424" s="1" t="s">
        <v>2431</v>
      </c>
      <c r="B2424" s="5" t="n">
        <v>28.3325</v>
      </c>
      <c r="C2424" s="5" t="n">
        <v>12.7566</v>
      </c>
      <c r="D2424" s="1" t="n">
        <f aca="false">LN(B2424/B2423)</f>
        <v>-0.00370617402850452</v>
      </c>
      <c r="E2424" s="1" t="n">
        <f aca="false">LN(C2424/C2423)</f>
        <v>3.13568091336567E-005</v>
      </c>
      <c r="F2424" s="1" t="n">
        <f aca="false">B2424/B2423-1</f>
        <v>-0.00369931464218276</v>
      </c>
      <c r="G2424" s="1" t="n">
        <f aca="false">C2424/C2423-1</f>
        <v>3.13573007635348E-005</v>
      </c>
    </row>
    <row r="2425" customFormat="false" ht="15" hidden="false" customHeight="false" outlineLevel="0" collapsed="false">
      <c r="A2425" s="1" t="s">
        <v>2432</v>
      </c>
      <c r="B2425" s="5" t="n">
        <v>28.414</v>
      </c>
      <c r="C2425" s="5" t="n">
        <v>12.7586</v>
      </c>
      <c r="D2425" s="1" t="n">
        <f aca="false">LN(B2425/B2424)</f>
        <v>0.00287242582491895</v>
      </c>
      <c r="E2425" s="1" t="n">
        <f aca="false">LN(C2425/C2424)</f>
        <v>0.000156769298621602</v>
      </c>
      <c r="F2425" s="1" t="n">
        <f aca="false">B2425/B2424-1</f>
        <v>0.00287655519279983</v>
      </c>
      <c r="G2425" s="1" t="n">
        <f aca="false">C2425/C2424-1</f>
        <v>0.000156781587570265</v>
      </c>
    </row>
    <row r="2426" customFormat="false" ht="15" hidden="false" customHeight="false" outlineLevel="0" collapsed="false">
      <c r="A2426" s="1" t="s">
        <v>2433</v>
      </c>
      <c r="B2426" s="5" t="n">
        <v>27.9644</v>
      </c>
      <c r="C2426" s="5" t="n">
        <v>12.7587</v>
      </c>
      <c r="D2426" s="1" t="n">
        <f aca="false">LN(B2426/B2425)</f>
        <v>-0.0159497087971712</v>
      </c>
      <c r="E2426" s="1" t="n">
        <f aca="false">LN(C2426/C2425)</f>
        <v>7.8378198321303E-006</v>
      </c>
      <c r="F2426" s="1" t="n">
        <f aca="false">B2426/B2425-1</f>
        <v>-0.0158231857535018</v>
      </c>
      <c r="G2426" s="1" t="n">
        <f aca="false">C2426/C2425-1</f>
        <v>7.83785054792041E-006</v>
      </c>
    </row>
    <row r="2427" customFormat="false" ht="15" hidden="false" customHeight="false" outlineLevel="0" collapsed="false">
      <c r="A2427" s="1" t="s">
        <v>2434</v>
      </c>
      <c r="B2427" s="5" t="n">
        <v>27.5259</v>
      </c>
      <c r="C2427" s="5" t="n">
        <v>12.7599</v>
      </c>
      <c r="D2427" s="1" t="n">
        <f aca="false">LN(B2427/B2426)</f>
        <v>-0.0158048930308399</v>
      </c>
      <c r="E2427" s="1" t="n">
        <f aca="false">LN(C2427/C2426)</f>
        <v>9.40490466471543E-005</v>
      </c>
      <c r="F2427" s="1" t="n">
        <f aca="false">B2427/B2426-1</f>
        <v>-0.0156806511135588</v>
      </c>
      <c r="G2427" s="1" t="n">
        <f aca="false">C2427/C2426-1</f>
        <v>9.40534693973927E-005</v>
      </c>
    </row>
    <row r="2428" customFormat="false" ht="15" hidden="false" customHeight="false" outlineLevel="0" collapsed="false">
      <c r="A2428" s="1" t="s">
        <v>2435</v>
      </c>
      <c r="B2428" s="5" t="n">
        <v>27.7843</v>
      </c>
      <c r="C2428" s="5" t="n">
        <v>12.7611</v>
      </c>
      <c r="D2428" s="1" t="n">
        <f aca="false">LN(B2428/B2427)</f>
        <v>0.00934373334294684</v>
      </c>
      <c r="E2428" s="1" t="n">
        <f aca="false">LN(C2428/C2427)</f>
        <v>9.40402022557404E-005</v>
      </c>
      <c r="F2428" s="1" t="n">
        <f aca="false">B2428/B2427-1</f>
        <v>0.00938752229718198</v>
      </c>
      <c r="G2428" s="1" t="n">
        <f aca="false">C2428/C2427-1</f>
        <v>9.40446241741721E-005</v>
      </c>
    </row>
    <row r="2429" customFormat="false" ht="15" hidden="false" customHeight="false" outlineLevel="0" collapsed="false">
      <c r="A2429" s="1" t="s">
        <v>2436</v>
      </c>
      <c r="B2429" s="5" t="n">
        <v>27.6394</v>
      </c>
      <c r="C2429" s="5" t="n">
        <v>12.7606</v>
      </c>
      <c r="D2429" s="1" t="n">
        <f aca="false">LN(B2429/B2428)</f>
        <v>-0.00522882197101049</v>
      </c>
      <c r="E2429" s="1" t="n">
        <f aca="false">LN(C2429/C2428)</f>
        <v>-3.91823428740351E-005</v>
      </c>
      <c r="F2429" s="1" t="n">
        <f aca="false">B2429/B2428-1</f>
        <v>-0.00521517547679817</v>
      </c>
      <c r="G2429" s="1" t="n">
        <f aca="false">C2429/C2428-1</f>
        <v>-3.91815752560643E-005</v>
      </c>
    </row>
    <row r="2430" customFormat="false" ht="15" hidden="false" customHeight="false" outlineLevel="0" collapsed="false">
      <c r="A2430" s="1" t="s">
        <v>2437</v>
      </c>
      <c r="B2430" s="5" t="n">
        <v>27.5816</v>
      </c>
      <c r="C2430" s="5" t="n">
        <v>12.7617</v>
      </c>
      <c r="D2430" s="1" t="n">
        <f aca="false">LN(B2430/B2429)</f>
        <v>-0.0020934072584101</v>
      </c>
      <c r="E2430" s="1" t="n">
        <f aca="false">LN(C2430/C2429)</f>
        <v>8.61991278747533E-005</v>
      </c>
      <c r="F2430" s="1" t="n">
        <f aca="false">B2430/B2429-1</f>
        <v>-0.00209121760964404</v>
      </c>
      <c r="G2430" s="1" t="n">
        <f aca="false">C2430/C2429-1</f>
        <v>8.62028431263262E-005</v>
      </c>
    </row>
    <row r="2431" customFormat="false" ht="15" hidden="false" customHeight="false" outlineLevel="0" collapsed="false">
      <c r="A2431" s="1" t="s">
        <v>2438</v>
      </c>
      <c r="B2431" s="5" t="n">
        <v>27.7049</v>
      </c>
      <c r="C2431" s="5" t="n">
        <v>12.7633</v>
      </c>
      <c r="D2431" s="1" t="n">
        <f aca="false">LN(B2431/B2430)</f>
        <v>0.00446040912062144</v>
      </c>
      <c r="E2431" s="1" t="n">
        <f aca="false">LN(C2431/C2430)</f>
        <v>0.000125367287137711</v>
      </c>
      <c r="F2431" s="1" t="n">
        <f aca="false">B2431/B2430-1</f>
        <v>0.0044703715520491</v>
      </c>
      <c r="G2431" s="1" t="n">
        <f aca="false">C2431/C2430-1</f>
        <v>0.000125375145944462</v>
      </c>
    </row>
    <row r="2432" customFormat="false" ht="15" hidden="false" customHeight="false" outlineLevel="0" collapsed="false">
      <c r="A2432" s="1" t="s">
        <v>2439</v>
      </c>
      <c r="B2432" s="5" t="n">
        <v>27.8038</v>
      </c>
      <c r="C2432" s="5" t="n">
        <v>12.7625</v>
      </c>
      <c r="D2432" s="1" t="n">
        <f aca="false">LN(B2432/B2431)</f>
        <v>0.00356340914673603</v>
      </c>
      <c r="E2432" s="1" t="n">
        <f aca="false">LN(C2432/C2431)</f>
        <v>-6.2681678949311E-005</v>
      </c>
      <c r="F2432" s="1" t="n">
        <f aca="false">B2432/B2431-1</f>
        <v>0.00356976563712563</v>
      </c>
      <c r="G2432" s="1" t="n">
        <f aca="false">C2432/C2431-1</f>
        <v>-6.26797144939184E-005</v>
      </c>
    </row>
    <row r="2433" customFormat="false" ht="15" hidden="false" customHeight="false" outlineLevel="0" collapsed="false">
      <c r="A2433" s="1" t="s">
        <v>2440</v>
      </c>
      <c r="B2433" s="5" t="n">
        <v>27.4631</v>
      </c>
      <c r="C2433" s="5" t="n">
        <v>12.7636</v>
      </c>
      <c r="D2433" s="1" t="n">
        <f aca="false">LN(B2433/B2432)</f>
        <v>-0.0123294165561822</v>
      </c>
      <c r="E2433" s="1" t="n">
        <f aca="false">LN(C2433/C2432)</f>
        <v>8.61862956488926E-005</v>
      </c>
      <c r="F2433" s="1" t="n">
        <f aca="false">B2433/B2432-1</f>
        <v>-0.0122537207144346</v>
      </c>
      <c r="G2433" s="1" t="n">
        <f aca="false">C2433/C2432-1</f>
        <v>8.61900097943735E-005</v>
      </c>
    </row>
    <row r="2434" customFormat="false" ht="15" hidden="false" customHeight="false" outlineLevel="0" collapsed="false">
      <c r="A2434" s="1" t="s">
        <v>2441</v>
      </c>
      <c r="B2434" s="5" t="n">
        <v>27.3497</v>
      </c>
      <c r="C2434" s="5" t="n">
        <v>12.7644</v>
      </c>
      <c r="D2434" s="1" t="n">
        <f aca="false">LN(B2434/B2433)</f>
        <v>-0.00413772556013412</v>
      </c>
      <c r="E2434" s="1" t="n">
        <f aca="false">LN(C2434/C2433)</f>
        <v>6.26762770496155E-005</v>
      </c>
      <c r="F2434" s="1" t="n">
        <f aca="false">B2434/B2433-1</f>
        <v>-0.00412917696836856</v>
      </c>
      <c r="G2434" s="1" t="n">
        <f aca="false">C2434/C2433-1</f>
        <v>6.26782412485039E-005</v>
      </c>
    </row>
    <row r="2435" customFormat="false" ht="15" hidden="false" customHeight="false" outlineLevel="0" collapsed="false">
      <c r="A2435" s="1" t="s">
        <v>2442</v>
      </c>
      <c r="B2435" s="5" t="n">
        <v>27.1883</v>
      </c>
      <c r="C2435" s="5" t="n">
        <v>12.7648</v>
      </c>
      <c r="D2435" s="1" t="n">
        <f aca="false">LN(B2435/B2434)</f>
        <v>-0.00591882618309776</v>
      </c>
      <c r="E2435" s="1" t="n">
        <f aca="false">LN(C2435/C2434)</f>
        <v>3.13366654679855E-005</v>
      </c>
      <c r="F2435" s="1" t="n">
        <f aca="false">B2435/B2434-1</f>
        <v>-0.00590134443887858</v>
      </c>
      <c r="G2435" s="1" t="n">
        <f aca="false">C2435/C2434-1</f>
        <v>3.13371564664156E-005</v>
      </c>
    </row>
    <row r="2436" customFormat="false" ht="15" hidden="false" customHeight="false" outlineLevel="0" collapsed="false">
      <c r="A2436" s="1" t="s">
        <v>2443</v>
      </c>
      <c r="B2436" s="5" t="n">
        <v>27.1247</v>
      </c>
      <c r="C2436" s="5" t="n">
        <v>12.7656</v>
      </c>
      <c r="D2436" s="1" t="n">
        <f aca="false">LN(B2436/B2435)</f>
        <v>-0.00234198181171567</v>
      </c>
      <c r="E2436" s="1" t="n">
        <f aca="false">LN(C2436/C2435)</f>
        <v>6.26703851300142E-005</v>
      </c>
      <c r="F2436" s="1" t="n">
        <f aca="false">B2436/B2435-1</f>
        <v>-0.00233924151197396</v>
      </c>
      <c r="G2436" s="1" t="n">
        <f aca="false">C2436/C2435-1</f>
        <v>6.26723489596248E-005</v>
      </c>
    </row>
    <row r="2437" customFormat="false" ht="15" hidden="false" customHeight="false" outlineLevel="0" collapsed="false">
      <c r="A2437" s="1" t="s">
        <v>2444</v>
      </c>
      <c r="B2437" s="5" t="n">
        <v>26.5935</v>
      </c>
      <c r="C2437" s="5" t="n">
        <v>12.7661</v>
      </c>
      <c r="D2437" s="1" t="n">
        <f aca="false">LN(B2437/B2436)</f>
        <v>-0.0197779268672205</v>
      </c>
      <c r="E2437" s="1" t="n">
        <f aca="false">LN(C2437/C2436)</f>
        <v>3.9166996327175E-005</v>
      </c>
      <c r="F2437" s="1" t="n">
        <f aca="false">B2437/B2436-1</f>
        <v>-0.0195836267313556</v>
      </c>
      <c r="G2437" s="1" t="n">
        <f aca="false">C2437/C2436-1</f>
        <v>3.91677633639898E-005</v>
      </c>
    </row>
    <row r="2438" customFormat="false" ht="15" hidden="false" customHeight="false" outlineLevel="0" collapsed="false">
      <c r="A2438" s="1" t="s">
        <v>2445</v>
      </c>
      <c r="B2438" s="5" t="n">
        <v>25.9341</v>
      </c>
      <c r="C2438" s="5" t="n">
        <v>12.7677</v>
      </c>
      <c r="D2438" s="1" t="n">
        <f aca="false">LN(B2438/B2437)</f>
        <v>-0.0251081199631427</v>
      </c>
      <c r="E2438" s="1" t="n">
        <f aca="false">LN(C2438/C2437)</f>
        <v>0.000125324080402859</v>
      </c>
      <c r="F2438" s="1" t="n">
        <f aca="false">B2438/B2437-1</f>
        <v>-0.0247955327429634</v>
      </c>
      <c r="G2438" s="1" t="n">
        <f aca="false">C2438/C2437-1</f>
        <v>0.000125331933793493</v>
      </c>
    </row>
    <row r="2439" customFormat="false" ht="15" hidden="false" customHeight="false" outlineLevel="0" collapsed="false">
      <c r="A2439" s="1" t="s">
        <v>2446</v>
      </c>
      <c r="B2439" s="5" t="n">
        <v>25.9466</v>
      </c>
      <c r="C2439" s="5" t="n">
        <v>12.7677</v>
      </c>
      <c r="D2439" s="1" t="n">
        <f aca="false">LN(B2439/B2438)</f>
        <v>0.000481874772001155</v>
      </c>
      <c r="E2439" s="1" t="n">
        <f aca="false">LN(C2439/C2438)</f>
        <v>0</v>
      </c>
      <c r="F2439" s="1" t="n">
        <f aca="false">B2439/B2438-1</f>
        <v>0.000481990892300166</v>
      </c>
      <c r="G2439" s="1" t="n">
        <f aca="false">C2439/C2438-1</f>
        <v>0</v>
      </c>
    </row>
    <row r="2440" customFormat="false" ht="15" hidden="false" customHeight="false" outlineLevel="0" collapsed="false">
      <c r="A2440" s="1" t="s">
        <v>2447</v>
      </c>
      <c r="B2440" s="5" t="n">
        <v>25.9257</v>
      </c>
      <c r="C2440" s="5" t="n">
        <v>12.7685</v>
      </c>
      <c r="D2440" s="1" t="n">
        <f aca="false">LN(B2440/B2439)</f>
        <v>-0.000805825117874429</v>
      </c>
      <c r="E2440" s="1" t="n">
        <f aca="false">LN(C2440/C2439)</f>
        <v>6.2656150896483E-005</v>
      </c>
      <c r="F2440" s="1" t="n">
        <f aca="false">B2440/B2439-1</f>
        <v>-0.000805500528007541</v>
      </c>
      <c r="G2440" s="1" t="n">
        <f aca="false">C2440/C2439-1</f>
        <v>6.2658113834102E-005</v>
      </c>
    </row>
    <row r="2441" customFormat="false" ht="15" hidden="false" customHeight="false" outlineLevel="0" collapsed="false">
      <c r="A2441" s="1" t="s">
        <v>2448</v>
      </c>
      <c r="B2441" s="5" t="n">
        <v>26.9647</v>
      </c>
      <c r="C2441" s="5" t="n">
        <v>12.7693</v>
      </c>
      <c r="D2441" s="1" t="n">
        <f aca="false">LN(B2441/B2440)</f>
        <v>0.039293848478811</v>
      </c>
      <c r="E2441" s="1" t="n">
        <f aca="false">LN(C2441/C2440)</f>
        <v>6.26522253491966E-005</v>
      </c>
      <c r="F2441" s="1" t="n">
        <f aca="false">B2441/B2440-1</f>
        <v>0.0400760635199822</v>
      </c>
      <c r="G2441" s="1" t="n">
        <f aca="false">C2441/C2440-1</f>
        <v>6.2654188040856E-005</v>
      </c>
    </row>
    <row r="2442" customFormat="false" ht="15" hidden="false" customHeight="false" outlineLevel="0" collapsed="false">
      <c r="A2442" s="1" t="s">
        <v>2449</v>
      </c>
      <c r="B2442" s="5" t="n">
        <v>27.1534</v>
      </c>
      <c r="C2442" s="5" t="n">
        <v>12.769</v>
      </c>
      <c r="D2442" s="1" t="n">
        <f aca="false">LN(B2442/B2441)</f>
        <v>0.00697366554767273</v>
      </c>
      <c r="E2442" s="1" t="n">
        <f aca="false">LN(C2442/C2441)</f>
        <v>-2.34941245120715E-005</v>
      </c>
      <c r="F2442" s="1" t="n">
        <f aca="false">B2442/B2441-1</f>
        <v>0.00699803817583722</v>
      </c>
      <c r="G2442" s="1" t="n">
        <f aca="false">C2442/C2441-1</f>
        <v>-2.34938485272895E-005</v>
      </c>
    </row>
    <row r="2443" customFormat="false" ht="15" hidden="false" customHeight="false" outlineLevel="0" collapsed="false">
      <c r="A2443" s="1" t="s">
        <v>2450</v>
      </c>
      <c r="B2443" s="5" t="n">
        <v>27.0482</v>
      </c>
      <c r="C2443" s="5" t="n">
        <v>12.7708</v>
      </c>
      <c r="D2443" s="1" t="n">
        <f aca="false">LN(B2443/B2442)</f>
        <v>-0.00388180910157542</v>
      </c>
      <c r="E2443" s="1" t="n">
        <f aca="false">LN(C2443/C2442)</f>
        <v>0.000140956468177455</v>
      </c>
      <c r="F2443" s="1" t="n">
        <f aca="false">B2443/B2442-1</f>
        <v>-0.00387428461997397</v>
      </c>
      <c r="G2443" s="1" t="n">
        <f aca="false">C2443/C2442-1</f>
        <v>0.000140966403007203</v>
      </c>
    </row>
    <row r="2444" customFormat="false" ht="15" hidden="false" customHeight="false" outlineLevel="0" collapsed="false">
      <c r="A2444" s="1" t="s">
        <v>2451</v>
      </c>
      <c r="B2444" s="5" t="n">
        <v>26.3488</v>
      </c>
      <c r="C2444" s="5" t="n">
        <v>12.7704</v>
      </c>
      <c r="D2444" s="1" t="n">
        <f aca="false">LN(B2444/B2443)</f>
        <v>-0.0261977264869063</v>
      </c>
      <c r="E2444" s="1" t="n">
        <f aca="false">LN(C2444/C2443)</f>
        <v>-3.13219425893385E-005</v>
      </c>
      <c r="F2444" s="1" t="n">
        <f aca="false">B2444/B2443-1</f>
        <v>-0.0258575432006566</v>
      </c>
      <c r="G2444" s="1" t="n">
        <f aca="false">C2444/C2443-1</f>
        <v>-3.13214520624161E-005</v>
      </c>
    </row>
    <row r="2445" customFormat="false" ht="15" hidden="false" customHeight="false" outlineLevel="0" collapsed="false">
      <c r="A2445" s="1" t="s">
        <v>2452</v>
      </c>
      <c r="B2445" s="5" t="n">
        <v>26.5123</v>
      </c>
      <c r="C2445" s="5" t="n">
        <v>12.7707</v>
      </c>
      <c r="D2445" s="1" t="n">
        <f aca="false">LN(B2445/B2444)</f>
        <v>0.00618604309744984</v>
      </c>
      <c r="E2445" s="1" t="n">
        <f aca="false">LN(C2445/C2444)</f>
        <v>2.34915489163608E-005</v>
      </c>
      <c r="F2445" s="1" t="n">
        <f aca="false">B2445/B2444-1</f>
        <v>0.00620521617682779</v>
      </c>
      <c r="G2445" s="1" t="n">
        <f aca="false">C2445/C2444-1</f>
        <v>2.34918248449567E-005</v>
      </c>
    </row>
    <row r="2446" customFormat="false" ht="15" hidden="false" customHeight="false" outlineLevel="0" collapsed="false">
      <c r="A2446" s="1" t="s">
        <v>2453</v>
      </c>
      <c r="B2446" s="5" t="n">
        <v>27.0779</v>
      </c>
      <c r="C2446" s="5" t="n">
        <v>12.7712</v>
      </c>
      <c r="D2446" s="1" t="n">
        <f aca="false">LN(B2446/B2445)</f>
        <v>0.0211091207803202</v>
      </c>
      <c r="E2446" s="1" t="n">
        <f aca="false">LN(C2446/C2445)</f>
        <v>3.91513552293081E-005</v>
      </c>
      <c r="F2446" s="1" t="n">
        <f aca="false">B2446/B2445-1</f>
        <v>0.0213334942649261</v>
      </c>
      <c r="G2446" s="1" t="n">
        <f aca="false">C2446/C2445-1</f>
        <v>3.91521216536184E-005</v>
      </c>
    </row>
    <row r="2447" customFormat="false" ht="15" hidden="false" customHeight="false" outlineLevel="0" collapsed="false">
      <c r="A2447" s="1" t="s">
        <v>2454</v>
      </c>
      <c r="B2447" s="5" t="n">
        <v>27.1767</v>
      </c>
      <c r="C2447" s="5" t="n">
        <v>12.7707</v>
      </c>
      <c r="D2447" s="1" t="n">
        <f aca="false">LN(B2447/B2446)</f>
        <v>0.00364209151717089</v>
      </c>
      <c r="E2447" s="1" t="n">
        <f aca="false">LN(C2447/C2446)</f>
        <v>-3.91513552291717E-005</v>
      </c>
      <c r="F2447" s="1" t="n">
        <f aca="false">B2447/B2446-1</f>
        <v>0.00364873199177196</v>
      </c>
      <c r="G2447" s="1" t="n">
        <f aca="false">C2447/C2446-1</f>
        <v>-3.91505888248656E-005</v>
      </c>
    </row>
    <row r="2448" customFormat="false" ht="15" hidden="false" customHeight="false" outlineLevel="0" collapsed="false">
      <c r="A2448" s="1" t="s">
        <v>2455</v>
      </c>
      <c r="B2448" s="5" t="n">
        <v>27.3952</v>
      </c>
      <c r="C2448" s="5" t="n">
        <v>12.7713</v>
      </c>
      <c r="D2448" s="1" t="n">
        <f aca="false">LN(B2448/B2447)</f>
        <v>0.00800782701769479</v>
      </c>
      <c r="E2448" s="1" t="n">
        <f aca="false">LN(C2448/C2447)</f>
        <v>4.69814423388743E-005</v>
      </c>
      <c r="F2448" s="1" t="n">
        <f aca="false">B2448/B2447-1</f>
        <v>0.0080399754201208</v>
      </c>
      <c r="G2448" s="1" t="n">
        <f aca="false">C2448/C2447-1</f>
        <v>4.698254598412E-005</v>
      </c>
    </row>
    <row r="2449" customFormat="false" ht="15" hidden="false" customHeight="false" outlineLevel="0" collapsed="false">
      <c r="A2449" s="1" t="s">
        <v>2456</v>
      </c>
      <c r="B2449" s="5" t="n">
        <v>27.1704</v>
      </c>
      <c r="C2449" s="5" t="n">
        <v>12.7725</v>
      </c>
      <c r="D2449" s="1" t="n">
        <f aca="false">LN(B2449/B2448)</f>
        <v>-0.00823967011615711</v>
      </c>
      <c r="E2449" s="1" t="n">
        <f aca="false">LN(C2449/C2448)</f>
        <v>9.39562634286354E-005</v>
      </c>
      <c r="F2449" s="1" t="n">
        <f aca="false">B2449/B2448-1</f>
        <v>-0.00820581707744417</v>
      </c>
      <c r="G2449" s="1" t="n">
        <f aca="false">C2449/C2448-1</f>
        <v>9.39606774565949E-005</v>
      </c>
    </row>
    <row r="2450" customFormat="false" ht="15" hidden="false" customHeight="false" outlineLevel="0" collapsed="false">
      <c r="A2450" s="1" t="s">
        <v>2457</v>
      </c>
      <c r="B2450" s="5" t="n">
        <v>27.2837</v>
      </c>
      <c r="C2450" s="5" t="n">
        <v>12.7738</v>
      </c>
      <c r="D2450" s="1" t="n">
        <f aca="false">LN(B2450/B2449)</f>
        <v>0.00416130882693815</v>
      </c>
      <c r="E2450" s="1" t="n">
        <f aca="false">LN(C2450/C2449)</f>
        <v>0.000101775991131422</v>
      </c>
      <c r="F2450" s="1" t="n">
        <f aca="false">B2450/B2449-1</f>
        <v>0.00416997909489725</v>
      </c>
      <c r="G2450" s="1" t="n">
        <f aca="false">C2450/C2449-1</f>
        <v>0.000101781170483317</v>
      </c>
    </row>
    <row r="2451" customFormat="false" ht="15" hidden="false" customHeight="false" outlineLevel="0" collapsed="false">
      <c r="A2451" s="1" t="s">
        <v>2458</v>
      </c>
      <c r="B2451" s="5" t="n">
        <v>27.0913</v>
      </c>
      <c r="C2451" s="5" t="n">
        <v>12.7745</v>
      </c>
      <c r="D2451" s="1" t="n">
        <f aca="false">LN(B2451/B2450)</f>
        <v>-0.00707681114367994</v>
      </c>
      <c r="E2451" s="1" t="n">
        <f aca="false">LN(C2451/C2450)</f>
        <v>5.47981666236906E-005</v>
      </c>
      <c r="F2451" s="1" t="n">
        <f aca="false">B2451/B2450-1</f>
        <v>-0.00705182948060557</v>
      </c>
      <c r="G2451" s="1" t="n">
        <f aca="false">C2451/C2450-1</f>
        <v>5.47996680706486E-005</v>
      </c>
    </row>
    <row r="2452" customFormat="false" ht="15" hidden="false" customHeight="false" outlineLevel="0" collapsed="false">
      <c r="A2452" s="1" t="s">
        <v>2459</v>
      </c>
      <c r="B2452" s="5" t="n">
        <v>26.9738</v>
      </c>
      <c r="C2452" s="5" t="n">
        <v>12.775</v>
      </c>
      <c r="D2452" s="1" t="n">
        <f aca="false">LN(B2452/B2451)</f>
        <v>-0.00434661861329444</v>
      </c>
      <c r="E2452" s="1" t="n">
        <f aca="false">LN(C2452/C2451)</f>
        <v>3.91397091969889E-005</v>
      </c>
      <c r="F2452" s="1" t="n">
        <f aca="false">B2452/B2451-1</f>
        <v>-0.00433718573859498</v>
      </c>
      <c r="G2452" s="1" t="n">
        <f aca="false">C2452/C2451-1</f>
        <v>3.91404751654001E-005</v>
      </c>
    </row>
    <row r="2453" customFormat="false" ht="15" hidden="false" customHeight="false" outlineLevel="0" collapsed="false">
      <c r="A2453" s="1" t="s">
        <v>2460</v>
      </c>
      <c r="B2453" s="5" t="n">
        <v>27.2376</v>
      </c>
      <c r="C2453" s="5" t="n">
        <v>12.7761</v>
      </c>
      <c r="D2453" s="1" t="n">
        <f aca="false">LN(B2453/B2452)</f>
        <v>0.00973234715306575</v>
      </c>
      <c r="E2453" s="1" t="n">
        <f aca="false">LN(C2453/C2452)</f>
        <v>8.6101968265805E-005</v>
      </c>
      <c r="F2453" s="1" t="n">
        <f aca="false">B2453/B2452-1</f>
        <v>0.00977986045718438</v>
      </c>
      <c r="G2453" s="1" t="n">
        <f aca="false">C2453/C2452-1</f>
        <v>8.61056751466638E-005</v>
      </c>
    </row>
    <row r="2454" customFormat="false" ht="15" hidden="false" customHeight="false" outlineLevel="0" collapsed="false">
      <c r="A2454" s="1" t="s">
        <v>2461</v>
      </c>
      <c r="B2454" s="5" t="n">
        <v>27.83</v>
      </c>
      <c r="C2454" s="5" t="n">
        <v>12.7773</v>
      </c>
      <c r="D2454" s="1" t="n">
        <f aca="false">LN(B2454/B2453)</f>
        <v>0.0215162038648976</v>
      </c>
      <c r="E2454" s="1" t="n">
        <f aca="false">LN(C2454/C2453)</f>
        <v>9.39209655766336E-005</v>
      </c>
      <c r="F2454" s="1" t="n">
        <f aca="false">B2454/B2453-1</f>
        <v>0.0217493464916145</v>
      </c>
      <c r="G2454" s="1" t="n">
        <f aca="false">C2454/C2453-1</f>
        <v>9.39253762886061E-005</v>
      </c>
    </row>
    <row r="2455" customFormat="false" ht="15" hidden="false" customHeight="false" outlineLevel="0" collapsed="false">
      <c r="A2455" s="1" t="s">
        <v>2462</v>
      </c>
      <c r="B2455" s="5" t="n">
        <v>28.2489</v>
      </c>
      <c r="C2455" s="5" t="n">
        <v>12.7779</v>
      </c>
      <c r="D2455" s="1" t="n">
        <f aca="false">LN(B2455/B2454)</f>
        <v>0.0149399432434476</v>
      </c>
      <c r="E2455" s="1" t="n">
        <f aca="false">LN(C2455/C2454)</f>
        <v>4.69571750649951E-005</v>
      </c>
      <c r="F2455" s="1" t="n">
        <f aca="false">B2455/B2454-1</f>
        <v>0.0150521020481496</v>
      </c>
      <c r="G2455" s="1" t="n">
        <f aca="false">C2455/C2454-1</f>
        <v>4.69582775703969E-005</v>
      </c>
    </row>
    <row r="2456" customFormat="false" ht="15" hidden="false" customHeight="false" outlineLevel="0" collapsed="false">
      <c r="A2456" s="1" t="s">
        <v>2463</v>
      </c>
      <c r="B2456" s="5" t="n">
        <v>28.1742</v>
      </c>
      <c r="C2456" s="5" t="n">
        <v>12.778</v>
      </c>
      <c r="D2456" s="1" t="n">
        <f aca="false">LN(B2456/B2455)</f>
        <v>-0.00264785322480541</v>
      </c>
      <c r="E2456" s="1" t="n">
        <f aca="false">LN(C2456/C2455)</f>
        <v>7.82598147595964E-006</v>
      </c>
      <c r="F2456" s="1" t="n">
        <f aca="false">B2456/B2455-1</f>
        <v>-0.00264435075348068</v>
      </c>
      <c r="G2456" s="1" t="n">
        <f aca="false">C2456/C2455-1</f>
        <v>7.82601209903255E-006</v>
      </c>
    </row>
    <row r="2457" customFormat="false" ht="15" hidden="false" customHeight="false" outlineLevel="0" collapsed="false">
      <c r="A2457" s="1" t="s">
        <v>2464</v>
      </c>
      <c r="B2457" s="5" t="n">
        <v>29.2855</v>
      </c>
      <c r="C2457" s="5" t="n">
        <v>12.7786</v>
      </c>
      <c r="D2457" s="1" t="n">
        <f aca="false">LN(B2457/B2456)</f>
        <v>0.0386858474267126</v>
      </c>
      <c r="E2457" s="1" t="n">
        <f aca="false">LN(C2457/C2456)</f>
        <v>4.69546027335329E-005</v>
      </c>
      <c r="F2457" s="1" t="n">
        <f aca="false">B2457/B2456-1</f>
        <v>0.0394438883801491</v>
      </c>
      <c r="G2457" s="1" t="n">
        <f aca="false">C2457/C2456-1</f>
        <v>4.69557051181457E-005</v>
      </c>
    </row>
    <row r="2458" customFormat="false" ht="15" hidden="false" customHeight="false" outlineLevel="0" collapsed="false">
      <c r="A2458" s="1" t="s">
        <v>2465</v>
      </c>
      <c r="B2458" s="5" t="n">
        <v>29.5315</v>
      </c>
      <c r="C2458" s="5" t="n">
        <v>12.7796</v>
      </c>
      <c r="D2458" s="1" t="n">
        <f aca="false">LN(B2458/B2457)</f>
        <v>0.00836497728349456</v>
      </c>
      <c r="E2458" s="1" t="n">
        <f aca="false">LN(C2458/C2457)</f>
        <v>7.82527721444346E-005</v>
      </c>
      <c r="F2458" s="1" t="n">
        <f aca="false">B2458/B2457-1</f>
        <v>0.00840006146386441</v>
      </c>
      <c r="G2458" s="1" t="n">
        <f aca="false">C2458/C2457-1</f>
        <v>7.82558339724737E-005</v>
      </c>
    </row>
    <row r="2459" customFormat="false" ht="15" hidden="false" customHeight="false" outlineLevel="0" collapsed="false">
      <c r="A2459" s="1" t="s">
        <v>2466</v>
      </c>
      <c r="B2459" s="5" t="n">
        <v>29.5512</v>
      </c>
      <c r="C2459" s="5" t="n">
        <v>12.7795</v>
      </c>
      <c r="D2459" s="1" t="n">
        <f aca="false">LN(B2459/B2458)</f>
        <v>0.000666861897985699</v>
      </c>
      <c r="E2459" s="1" t="n">
        <f aca="false">LN(C2459/C2458)</f>
        <v>-7.82500166281096E-006</v>
      </c>
      <c r="F2459" s="1" t="n">
        <f aca="false">B2459/B2458-1</f>
        <v>0.000667084299815546</v>
      </c>
      <c r="G2459" s="1" t="n">
        <f aca="false">C2459/C2458-1</f>
        <v>-7.8249710475653E-006</v>
      </c>
    </row>
    <row r="2460" customFormat="false" ht="15" hidden="false" customHeight="false" outlineLevel="0" collapsed="false">
      <c r="A2460" s="1" t="s">
        <v>2467</v>
      </c>
      <c r="B2460" s="5" t="n">
        <v>29.1525</v>
      </c>
      <c r="C2460" s="5" t="n">
        <v>12.7805</v>
      </c>
      <c r="D2460" s="1" t="n">
        <f aca="false">LN(B2460/B2459)</f>
        <v>-0.0135836797522835</v>
      </c>
      <c r="E2460" s="1" t="n">
        <f aca="false">LN(C2460/C2459)</f>
        <v>7.82472613857196E-005</v>
      </c>
      <c r="F2460" s="1" t="n">
        <f aca="false">B2460/B2459-1</f>
        <v>-0.0134918378949078</v>
      </c>
      <c r="G2460" s="1" t="n">
        <f aca="false">C2460/C2459-1</f>
        <v>7.82503227825249E-005</v>
      </c>
    </row>
    <row r="2461" customFormat="false" ht="15" hidden="false" customHeight="false" outlineLevel="0" collapsed="false">
      <c r="A2461" s="1" t="s">
        <v>2468</v>
      </c>
      <c r="B2461" s="5" t="n">
        <v>29.8683</v>
      </c>
      <c r="C2461" s="5" t="n">
        <v>12.7818</v>
      </c>
      <c r="D2461" s="1" t="n">
        <f aca="false">LN(B2461/B2460)</f>
        <v>0.0242570449051175</v>
      </c>
      <c r="E2461" s="1" t="n">
        <f aca="false">LN(C2461/C2460)</f>
        <v>0.000101712287323308</v>
      </c>
      <c r="F2461" s="1" t="n">
        <f aca="false">B2461/B2460-1</f>
        <v>0.0245536403395936</v>
      </c>
      <c r="G2461" s="1" t="n">
        <f aca="false">C2461/C2460-1</f>
        <v>0.000101717460193385</v>
      </c>
    </row>
    <row r="2462" customFormat="false" ht="15" hidden="false" customHeight="false" outlineLevel="0" collapsed="false">
      <c r="A2462" s="1" t="s">
        <v>2469</v>
      </c>
      <c r="B2462" s="5" t="n">
        <v>29.7005</v>
      </c>
      <c r="C2462" s="5" t="n">
        <v>12.7832</v>
      </c>
      <c r="D2462" s="1" t="n">
        <f aca="false">LN(B2462/B2461)</f>
        <v>-0.00563383663368667</v>
      </c>
      <c r="E2462" s="1" t="n">
        <f aca="false">LN(C2462/C2461)</f>
        <v>0.000109524740966118</v>
      </c>
      <c r="F2462" s="1" t="n">
        <f aca="false">B2462/B2461-1</f>
        <v>-0.00561799633725391</v>
      </c>
      <c r="G2462" s="1" t="n">
        <f aca="false">C2462/C2461-1</f>
        <v>0.000109530739019537</v>
      </c>
    </row>
    <row r="2463" customFormat="false" ht="15" hidden="false" customHeight="false" outlineLevel="0" collapsed="false">
      <c r="A2463" s="1" t="s">
        <v>2470</v>
      </c>
      <c r="B2463" s="5" t="n">
        <v>29.8517</v>
      </c>
      <c r="C2463" s="5" t="n">
        <v>12.7832</v>
      </c>
      <c r="D2463" s="1" t="n">
        <f aca="false">LN(B2463/B2462)</f>
        <v>0.00507790895694427</v>
      </c>
      <c r="E2463" s="1" t="n">
        <f aca="false">LN(C2463/C2462)</f>
        <v>0</v>
      </c>
      <c r="F2463" s="1" t="n">
        <f aca="false">B2463/B2462-1</f>
        <v>0.00509082338681166</v>
      </c>
      <c r="G2463" s="1" t="n">
        <f aca="false">C2463/C2462-1</f>
        <v>0</v>
      </c>
    </row>
    <row r="2464" customFormat="false" ht="15" hidden="false" customHeight="false" outlineLevel="0" collapsed="false">
      <c r="A2464" s="1" t="s">
        <v>2471</v>
      </c>
      <c r="B2464" s="5" t="n">
        <v>30.2976</v>
      </c>
      <c r="C2464" s="5" t="n">
        <v>12.7841</v>
      </c>
      <c r="D2464" s="1" t="n">
        <f aca="false">LN(B2464/B2463)</f>
        <v>0.0148267118166925</v>
      </c>
      <c r="E2464" s="1" t="n">
        <f aca="false">LN(C2464/C2463)</f>
        <v>7.04024281306223E-005</v>
      </c>
      <c r="F2464" s="1" t="n">
        <f aca="false">B2464/B2463-1</f>
        <v>0.0149371727573304</v>
      </c>
      <c r="G2464" s="1" t="n">
        <f aca="false">C2464/C2463-1</f>
        <v>7.0404906439725E-005</v>
      </c>
    </row>
    <row r="2465" customFormat="false" ht="15" hidden="false" customHeight="false" outlineLevel="0" collapsed="false">
      <c r="A2465" s="1" t="s">
        <v>2472</v>
      </c>
      <c r="B2465" s="5" t="n">
        <v>30.4932</v>
      </c>
      <c r="C2465" s="5" t="n">
        <v>12.7839</v>
      </c>
      <c r="D2465" s="1" t="n">
        <f aca="false">LN(B2465/B2464)</f>
        <v>0.00643520647904673</v>
      </c>
      <c r="E2465" s="1" t="n">
        <f aca="false">LN(C2465/C2464)</f>
        <v>-1.5644555695007E-005</v>
      </c>
      <c r="F2465" s="1" t="n">
        <f aca="false">B2465/B2464-1</f>
        <v>0.0064559569074778</v>
      </c>
      <c r="G2465" s="1" t="n">
        <f aca="false">C2465/C2464-1</f>
        <v>-1.56444333195838E-005</v>
      </c>
    </row>
    <row r="2466" customFormat="false" ht="15" hidden="false" customHeight="false" outlineLevel="0" collapsed="false">
      <c r="A2466" s="1" t="s">
        <v>2473</v>
      </c>
      <c r="B2466" s="5" t="n">
        <v>30.4708</v>
      </c>
      <c r="C2466" s="5" t="n">
        <v>12.7851</v>
      </c>
      <c r="D2466" s="1" t="n">
        <f aca="false">LN(B2466/B2465)</f>
        <v>-0.000734859950398176</v>
      </c>
      <c r="E2466" s="1" t="n">
        <f aca="false">LN(C2466/C2465)</f>
        <v>9.38636630984678E-005</v>
      </c>
      <c r="F2466" s="1" t="n">
        <f aca="false">B2466/B2465-1</f>
        <v>-0.000734590006952418</v>
      </c>
      <c r="G2466" s="1" t="n">
        <f aca="false">C2466/C2465-1</f>
        <v>9.38680684299253E-005</v>
      </c>
    </row>
    <row r="2467" customFormat="false" ht="15" hidden="false" customHeight="false" outlineLevel="0" collapsed="false">
      <c r="A2467" s="1" t="s">
        <v>2474</v>
      </c>
      <c r="B2467" s="5" t="n">
        <v>29.7881</v>
      </c>
      <c r="C2467" s="5" t="n">
        <v>12.7854</v>
      </c>
      <c r="D2467" s="1" t="n">
        <f aca="false">LN(B2467/B2466)</f>
        <v>-0.0226598630867699</v>
      </c>
      <c r="E2467" s="1" t="n">
        <f aca="false">LN(C2467/C2466)</f>
        <v>2.34645392160896E-005</v>
      </c>
      <c r="F2467" s="1" t="n">
        <f aca="false">B2467/B2466-1</f>
        <v>-0.022405056644394</v>
      </c>
      <c r="G2467" s="1" t="n">
        <f aca="false">C2467/C2466-1</f>
        <v>2.34648145105432E-005</v>
      </c>
    </row>
    <row r="2468" customFormat="false" ht="15" hidden="false" customHeight="false" outlineLevel="0" collapsed="false">
      <c r="A2468" s="1" t="s">
        <v>2475</v>
      </c>
      <c r="B2468" s="5" t="n">
        <v>30.1602</v>
      </c>
      <c r="C2468" s="5" t="n">
        <v>12.7861</v>
      </c>
      <c r="D2468" s="1" t="n">
        <f aca="false">LN(B2468/B2467)</f>
        <v>0.012414189518206</v>
      </c>
      <c r="E2468" s="1" t="n">
        <f aca="false">LN(C2468/C2467)</f>
        <v>5.47484504370072E-005</v>
      </c>
      <c r="F2468" s="1" t="n">
        <f aca="false">B2468/B2467-1</f>
        <v>0.0124915654237765</v>
      </c>
      <c r="G2468" s="1" t="n">
        <f aca="false">C2468/C2467-1</f>
        <v>5.47499491607706E-005</v>
      </c>
    </row>
    <row r="2469" customFormat="false" ht="15" hidden="false" customHeight="false" outlineLevel="0" collapsed="false">
      <c r="A2469" s="1" t="s">
        <v>2476</v>
      </c>
      <c r="B2469" s="5" t="n">
        <v>30.5008</v>
      </c>
      <c r="C2469" s="5" t="n">
        <v>12.7868</v>
      </c>
      <c r="D2469" s="1" t="n">
        <f aca="false">LN(B2469/B2468)</f>
        <v>0.0112297383600721</v>
      </c>
      <c r="E2469" s="1" t="n">
        <f aca="false">LN(C2469/C2468)</f>
        <v>5.47454532083224E-005</v>
      </c>
      <c r="F2469" s="1" t="n">
        <f aca="false">B2469/B2468-1</f>
        <v>0.0112930285608186</v>
      </c>
      <c r="G2469" s="1" t="n">
        <f aca="false">C2469/C2468-1</f>
        <v>5.47469517679922E-005</v>
      </c>
    </row>
    <row r="2470" customFormat="false" ht="15" hidden="false" customHeight="false" outlineLevel="0" collapsed="false">
      <c r="A2470" s="1" t="s">
        <v>2477</v>
      </c>
      <c r="B2470" s="5" t="n">
        <v>30.7969</v>
      </c>
      <c r="C2470" s="5" t="n">
        <v>12.7896</v>
      </c>
      <c r="D2470" s="1" t="n">
        <f aca="false">LN(B2470/B2469)</f>
        <v>0.00966112278581854</v>
      </c>
      <c r="E2470" s="1" t="n">
        <f aca="false">LN(C2470/C2469)</f>
        <v>0.000218951847107945</v>
      </c>
      <c r="F2470" s="1" t="n">
        <f aca="false">B2470/B2469-1</f>
        <v>0.00970794208676495</v>
      </c>
      <c r="G2470" s="1" t="n">
        <f aca="false">C2470/C2469-1</f>
        <v>0.000218975818813139</v>
      </c>
    </row>
    <row r="2471" customFormat="false" ht="15" hidden="false" customHeight="false" outlineLevel="0" collapsed="false">
      <c r="A2471" s="1" t="s">
        <v>2478</v>
      </c>
      <c r="B2471" s="5" t="n">
        <v>30.8524</v>
      </c>
      <c r="C2471" s="5" t="n">
        <v>12.79</v>
      </c>
      <c r="D2471" s="1" t="n">
        <f aca="false">LN(B2471/B2470)</f>
        <v>0.00180050754812944</v>
      </c>
      <c r="E2471" s="1" t="n">
        <f aca="false">LN(C2471/C2470)</f>
        <v>3.12749222062027E-005</v>
      </c>
      <c r="F2471" s="1" t="n">
        <f aca="false">B2471/B2470-1</f>
        <v>0.00180212943510538</v>
      </c>
      <c r="G2471" s="1" t="n">
        <f aca="false">C2471/C2470-1</f>
        <v>3.12754112716807E-005</v>
      </c>
    </row>
    <row r="2472" customFormat="false" ht="15" hidden="false" customHeight="false" outlineLevel="0" collapsed="false">
      <c r="A2472" s="1" t="s">
        <v>2479</v>
      </c>
      <c r="B2472" s="5" t="n">
        <v>30.6379</v>
      </c>
      <c r="C2472" s="5" t="n">
        <v>12.7905</v>
      </c>
      <c r="D2472" s="1" t="n">
        <f aca="false">LN(B2472/B2471)</f>
        <v>-0.00697673844696686</v>
      </c>
      <c r="E2472" s="1" t="n">
        <f aca="false">LN(C2472/C2471)</f>
        <v>3.90922773256457E-005</v>
      </c>
      <c r="F2472" s="1" t="n">
        <f aca="false">B2472/B2471-1</f>
        <v>-0.00695245750735762</v>
      </c>
      <c r="G2472" s="1" t="n">
        <f aca="false">C2472/C2471-1</f>
        <v>3.90930414386759E-005</v>
      </c>
    </row>
    <row r="2473" customFormat="false" ht="15" hidden="false" customHeight="false" outlineLevel="0" collapsed="false">
      <c r="A2473" s="1" t="s">
        <v>2480</v>
      </c>
      <c r="B2473" s="5" t="n">
        <v>31.0933</v>
      </c>
      <c r="C2473" s="5" t="n">
        <v>12.7934</v>
      </c>
      <c r="D2473" s="1" t="n">
        <f aca="false">LN(B2473/B2472)</f>
        <v>0.0147545572277752</v>
      </c>
      <c r="E2473" s="1" t="n">
        <f aca="false">LN(C2473/C2472)</f>
        <v>0.000226705077210233</v>
      </c>
      <c r="F2473" s="1" t="n">
        <f aca="false">B2473/B2472-1</f>
        <v>0.0148639430248156</v>
      </c>
      <c r="G2473" s="1" t="n">
        <f aca="false">C2473/C2472-1</f>
        <v>0.000226730776748285</v>
      </c>
    </row>
    <row r="2474" customFormat="false" ht="15" hidden="false" customHeight="false" outlineLevel="0" collapsed="false">
      <c r="A2474" s="1" t="s">
        <v>2481</v>
      </c>
      <c r="B2474" s="5" t="n">
        <v>30.7385</v>
      </c>
      <c r="C2474" s="5" t="n">
        <v>12.7941</v>
      </c>
      <c r="D2474" s="1" t="n">
        <f aca="false">LN(B2474/B2473)</f>
        <v>-0.0114764213290014</v>
      </c>
      <c r="E2474" s="1" t="n">
        <f aca="false">LN(C2474/C2473)</f>
        <v>5.47142159394646E-005</v>
      </c>
      <c r="F2474" s="1" t="n">
        <f aca="false">B2474/B2473-1</f>
        <v>-0.0114108184078242</v>
      </c>
      <c r="G2474" s="1" t="n">
        <f aca="false">C2474/C2473-1</f>
        <v>5.47157127894771E-005</v>
      </c>
    </row>
    <row r="2475" customFormat="false" ht="15" hidden="false" customHeight="false" outlineLevel="0" collapsed="false">
      <c r="A2475" s="1" t="s">
        <v>2482</v>
      </c>
      <c r="B2475" s="5" t="n">
        <v>30.6216</v>
      </c>
      <c r="C2475" s="5" t="n">
        <v>12.7945</v>
      </c>
      <c r="D2475" s="1" t="n">
        <f aca="false">LN(B2475/B2474)</f>
        <v>-0.00381029826982401</v>
      </c>
      <c r="E2475" s="1" t="n">
        <f aca="false">LN(C2475/C2474)</f>
        <v>3.12639222177486E-005</v>
      </c>
      <c r="F2475" s="1" t="n">
        <f aca="false">B2475/B2474-1</f>
        <v>-0.00380304829448408</v>
      </c>
      <c r="G2475" s="1" t="n">
        <f aca="false">C2475/C2474-1</f>
        <v>3.12644109392579E-005</v>
      </c>
    </row>
    <row r="2476" customFormat="false" ht="15" hidden="false" customHeight="false" outlineLevel="0" collapsed="false">
      <c r="A2476" s="1" t="s">
        <v>2483</v>
      </c>
      <c r="B2476" s="5" t="n">
        <v>30.2857</v>
      </c>
      <c r="C2476" s="5" t="n">
        <v>12.7956</v>
      </c>
      <c r="D2476" s="1" t="n">
        <f aca="false">LN(B2476/B2475)</f>
        <v>-0.0110299883750315</v>
      </c>
      <c r="E2476" s="1" t="n">
        <f aca="false">LN(C2476/C2475)</f>
        <v>8.59707465525537E-005</v>
      </c>
      <c r="F2476" s="1" t="n">
        <f aca="false">B2476/B2475-1</f>
        <v>-0.0109693810904722</v>
      </c>
      <c r="G2476" s="1" t="n">
        <f aca="false">C2476/C2475-1</f>
        <v>8.59744421430886E-005</v>
      </c>
    </row>
    <row r="2477" customFormat="false" ht="15" hidden="false" customHeight="false" outlineLevel="0" collapsed="false">
      <c r="A2477" s="1" t="s">
        <v>2484</v>
      </c>
      <c r="B2477" s="5" t="n">
        <v>30.1683</v>
      </c>
      <c r="C2477" s="5" t="n">
        <v>12.796</v>
      </c>
      <c r="D2477" s="1" t="n">
        <f aca="false">LN(B2477/B2476)</f>
        <v>-0.00388394970000938</v>
      </c>
      <c r="E2477" s="1" t="n">
        <f aca="false">LN(C2477/C2476)</f>
        <v>3.12602572742893E-005</v>
      </c>
      <c r="F2477" s="1" t="n">
        <f aca="false">B2477/B2476-1</f>
        <v>-0.00387641692283813</v>
      </c>
      <c r="G2477" s="1" t="n">
        <f aca="false">C2477/C2476-1</f>
        <v>3.12607458812231E-005</v>
      </c>
    </row>
    <row r="2478" customFormat="false" ht="15" hidden="false" customHeight="false" outlineLevel="0" collapsed="false">
      <c r="A2478" s="1" t="s">
        <v>2485</v>
      </c>
      <c r="B2478" s="5" t="n">
        <v>30.5637</v>
      </c>
      <c r="C2478" s="5" t="n">
        <v>12.796</v>
      </c>
      <c r="D2478" s="1" t="n">
        <f aca="false">LN(B2478/B2477)</f>
        <v>0.0130213260495035</v>
      </c>
      <c r="E2478" s="1" t="n">
        <f aca="false">LN(C2478/C2477)</f>
        <v>0</v>
      </c>
      <c r="F2478" s="1" t="n">
        <f aca="false">B2478/B2477-1</f>
        <v>0.0131064726882191</v>
      </c>
      <c r="G2478" s="1" t="n">
        <f aca="false">C2478/C2477-1</f>
        <v>0</v>
      </c>
    </row>
    <row r="2479" customFormat="false" ht="15" hidden="false" customHeight="false" outlineLevel="0" collapsed="false">
      <c r="A2479" s="1" t="s">
        <v>2486</v>
      </c>
      <c r="B2479" s="5" t="n">
        <v>30.5853</v>
      </c>
      <c r="C2479" s="5" t="n">
        <v>12.796</v>
      </c>
      <c r="D2479" s="1" t="n">
        <f aca="false">LN(B2479/B2478)</f>
        <v>0.000706471108223501</v>
      </c>
      <c r="E2479" s="1" t="n">
        <f aca="false">LN(C2479/C2478)</f>
        <v>0</v>
      </c>
      <c r="F2479" s="1" t="n">
        <f aca="false">B2479/B2478-1</f>
        <v>0.000706720717714049</v>
      </c>
      <c r="G2479" s="1" t="n">
        <f aca="false">C2479/C2478-1</f>
        <v>0</v>
      </c>
    </row>
    <row r="2480" customFormat="false" ht="15" hidden="false" customHeight="false" outlineLevel="0" collapsed="false">
      <c r="A2480" s="1" t="s">
        <v>2487</v>
      </c>
      <c r="B2480" s="5" t="n">
        <v>30.755</v>
      </c>
      <c r="C2480" s="5" t="n">
        <v>12.7971</v>
      </c>
      <c r="D2480" s="1" t="n">
        <f aca="false">LN(B2480/B2479)</f>
        <v>0.00553308128413905</v>
      </c>
      <c r="E2480" s="1" t="n">
        <f aca="false">LN(C2480/C2479)</f>
        <v>8.59606691395807E-005</v>
      </c>
      <c r="F2480" s="1" t="n">
        <f aca="false">B2480/B2479-1</f>
        <v>0.00554841705002063</v>
      </c>
      <c r="G2480" s="1" t="n">
        <f aca="false">C2480/C2479-1</f>
        <v>8.59643638637664E-005</v>
      </c>
    </row>
    <row r="2481" customFormat="false" ht="15" hidden="false" customHeight="false" outlineLevel="0" collapsed="false">
      <c r="A2481" s="1" t="s">
        <v>2488</v>
      </c>
      <c r="B2481" s="5" t="n">
        <v>30.9885</v>
      </c>
      <c r="C2481" s="5" t="n">
        <v>12.7973</v>
      </c>
      <c r="D2481" s="1" t="n">
        <f aca="false">LN(B2481/B2480)</f>
        <v>0.00756358525732451</v>
      </c>
      <c r="E2481" s="1" t="n">
        <f aca="false">LN(C2481/C2480)</f>
        <v>1.56284187168784E-005</v>
      </c>
      <c r="F2481" s="1" t="n">
        <f aca="false">B2481/B2480-1</f>
        <v>0.00759226142090719</v>
      </c>
      <c r="G2481" s="1" t="n">
        <f aca="false">C2481/C2480-1</f>
        <v>1.56285408412504E-005</v>
      </c>
    </row>
    <row r="2482" customFormat="false" ht="15" hidden="false" customHeight="false" outlineLevel="0" collapsed="false">
      <c r="A2482" s="1" t="s">
        <v>2489</v>
      </c>
      <c r="B2482" s="5" t="n">
        <v>30.7247</v>
      </c>
      <c r="C2482" s="5" t="n">
        <v>12.7977</v>
      </c>
      <c r="D2482" s="1" t="n">
        <f aca="false">LN(B2482/B2481)</f>
        <v>-0.00854927654902754</v>
      </c>
      <c r="E2482" s="1" t="n">
        <f aca="false">LN(C2482/C2481)</f>
        <v>3.12561047105706E-005</v>
      </c>
      <c r="F2482" s="1" t="n">
        <f aca="false">B2482/B2481-1</f>
        <v>-0.00851283540668313</v>
      </c>
      <c r="G2482" s="1" t="n">
        <f aca="false">C2482/C2481-1</f>
        <v>3.12565931877007E-005</v>
      </c>
    </row>
    <row r="2483" customFormat="false" ht="15" hidden="false" customHeight="false" outlineLevel="0" collapsed="false">
      <c r="A2483" s="1" t="s">
        <v>2490</v>
      </c>
      <c r="B2483" s="5" t="n">
        <v>30.6747</v>
      </c>
      <c r="C2483" s="5" t="n">
        <v>12.7985</v>
      </c>
      <c r="D2483" s="1" t="n">
        <f aca="false">LN(B2483/B2482)</f>
        <v>-0.00162868077057765</v>
      </c>
      <c r="E2483" s="1" t="n">
        <f aca="false">LN(C2483/C2482)</f>
        <v>6.25092787413437E-005</v>
      </c>
      <c r="F2483" s="1" t="n">
        <f aca="false">B2483/B2482-1</f>
        <v>-0.0016273551897984</v>
      </c>
      <c r="G2483" s="1" t="n">
        <f aca="false">C2483/C2482-1</f>
        <v>6.2511232487017E-005</v>
      </c>
    </row>
    <row r="2484" customFormat="false" ht="15" hidden="false" customHeight="false" outlineLevel="0" collapsed="false">
      <c r="A2484" s="1" t="s">
        <v>2491</v>
      </c>
      <c r="B2484" s="5" t="n">
        <v>30.691</v>
      </c>
      <c r="C2484" s="5" t="n">
        <v>12.7989</v>
      </c>
      <c r="D2484" s="1" t="n">
        <f aca="false">LN(B2484/B2483)</f>
        <v>0.000531241406301595</v>
      </c>
      <c r="E2484" s="1" t="n">
        <f aca="false">LN(C2484/C2483)</f>
        <v>3.12531741528867E-005</v>
      </c>
      <c r="F2484" s="1" t="n">
        <f aca="false">B2484/B2483-1</f>
        <v>0.000531382540008396</v>
      </c>
      <c r="G2484" s="1" t="n">
        <f aca="false">C2484/C2483-1</f>
        <v>3.12536625384219E-005</v>
      </c>
    </row>
    <row r="2485" customFormat="false" ht="15" hidden="false" customHeight="false" outlineLevel="0" collapsed="false">
      <c r="A2485" s="1" t="s">
        <v>2492</v>
      </c>
      <c r="B2485" s="5" t="n">
        <v>30.3653</v>
      </c>
      <c r="C2485" s="5" t="n">
        <v>12.7993</v>
      </c>
      <c r="D2485" s="1" t="n">
        <f aca="false">LN(B2485/B2484)</f>
        <v>-0.0106689429078011</v>
      </c>
      <c r="E2485" s="1" t="n">
        <f aca="false">LN(C2485/C2484)</f>
        <v>3.12521974227403E-005</v>
      </c>
      <c r="F2485" s="1" t="n">
        <f aca="false">B2485/B2484-1</f>
        <v>-0.01061223159884</v>
      </c>
      <c r="G2485" s="1" t="n">
        <f aca="false">C2485/C2484-1</f>
        <v>3.12526857777495E-005</v>
      </c>
    </row>
    <row r="2486" customFormat="false" ht="15" hidden="false" customHeight="false" outlineLevel="0" collapsed="false">
      <c r="A2486" s="1" t="s">
        <v>2493</v>
      </c>
      <c r="B2486" s="5" t="n">
        <v>30.5887</v>
      </c>
      <c r="C2486" s="5" t="n">
        <v>12.8004</v>
      </c>
      <c r="D2486" s="1" t="n">
        <f aca="false">LN(B2486/B2485)</f>
        <v>0.00733015061499593</v>
      </c>
      <c r="E2486" s="1" t="n">
        <f aca="false">LN(C2486/C2485)</f>
        <v>8.59385071446503E-005</v>
      </c>
      <c r="F2486" s="1" t="n">
        <f aca="false">B2486/B2485-1</f>
        <v>0.0073570819323372</v>
      </c>
      <c r="G2486" s="1" t="n">
        <f aca="false">C2486/C2485-1</f>
        <v>8.59421999639398E-005</v>
      </c>
    </row>
    <row r="2487" customFormat="false" ht="15" hidden="false" customHeight="false" outlineLevel="0" collapsed="false">
      <c r="A2487" s="1" t="s">
        <v>2494</v>
      </c>
      <c r="B2487" s="5" t="n">
        <v>30.7163</v>
      </c>
      <c r="C2487" s="5" t="n">
        <v>12.8009</v>
      </c>
      <c r="D2487" s="1" t="n">
        <f aca="false">LN(B2487/B2486)</f>
        <v>0.0041627986057854</v>
      </c>
      <c r="E2487" s="1" t="n">
        <f aca="false">LN(C2487/C2486)</f>
        <v>3.90605164631561E-005</v>
      </c>
      <c r="F2487" s="1" t="n">
        <f aca="false">B2487/B2486-1</f>
        <v>0.0041714750872055</v>
      </c>
      <c r="G2487" s="1" t="n">
        <f aca="false">C2487/C2486-1</f>
        <v>3.9061279335062E-005</v>
      </c>
    </row>
    <row r="2488" customFormat="false" ht="15" hidden="false" customHeight="false" outlineLevel="0" collapsed="false">
      <c r="A2488" s="1" t="s">
        <v>2495</v>
      </c>
      <c r="B2488" s="5" t="n">
        <v>30.9603</v>
      </c>
      <c r="C2488" s="5" t="n">
        <v>12.8014</v>
      </c>
      <c r="D2488" s="1" t="n">
        <f aca="false">LN(B2488/B2487)</f>
        <v>0.00791228027972727</v>
      </c>
      <c r="E2488" s="1" t="n">
        <f aca="false">LN(C2488/C2487)</f>
        <v>3.90589907987578E-005</v>
      </c>
      <c r="F2488" s="1" t="n">
        <f aca="false">B2488/B2487-1</f>
        <v>0.00794366508987077</v>
      </c>
      <c r="G2488" s="1" t="n">
        <f aca="false">C2488/C2487-1</f>
        <v>3.90597536110704E-005</v>
      </c>
    </row>
    <row r="2489" customFormat="false" ht="15" hidden="false" customHeight="false" outlineLevel="0" collapsed="false">
      <c r="A2489" s="1" t="s">
        <v>2496</v>
      </c>
      <c r="B2489" s="5" t="n">
        <v>30.679</v>
      </c>
      <c r="C2489" s="5" t="n">
        <v>12.8018</v>
      </c>
      <c r="D2489" s="1" t="n">
        <f aca="false">LN(B2489/B2488)</f>
        <v>-0.00912735715333759</v>
      </c>
      <c r="E2489" s="1" t="n">
        <f aca="false">LN(C2489/C2488)</f>
        <v>3.12460942407664E-005</v>
      </c>
      <c r="F2489" s="1" t="n">
        <f aca="false">B2489/B2488-1</f>
        <v>-0.00908582927168022</v>
      </c>
      <c r="G2489" s="1" t="n">
        <f aca="false">C2489/C2488-1</f>
        <v>3.12465824050534E-005</v>
      </c>
    </row>
    <row r="2490" customFormat="false" ht="15" hidden="false" customHeight="false" outlineLevel="0" collapsed="false">
      <c r="A2490" s="1" t="s">
        <v>2497</v>
      </c>
      <c r="B2490" s="5" t="n">
        <v>30.9416</v>
      </c>
      <c r="C2490" s="5" t="n">
        <v>12.8023</v>
      </c>
      <c r="D2490" s="1" t="n">
        <f aca="false">LN(B2490/B2489)</f>
        <v>0.00852317535701645</v>
      </c>
      <c r="E2490" s="1" t="n">
        <f aca="false">LN(C2490/C2489)</f>
        <v>3.90562449032495E-005</v>
      </c>
      <c r="F2490" s="1" t="n">
        <f aca="false">B2490/B2489-1</f>
        <v>0.00855960103002063</v>
      </c>
      <c r="G2490" s="1" t="n">
        <f aca="false">C2490/C2489-1</f>
        <v>3.90570076083119E-005</v>
      </c>
    </row>
    <row r="2491" customFormat="false" ht="15" hidden="false" customHeight="false" outlineLevel="0" collapsed="false">
      <c r="A2491" s="1" t="s">
        <v>2498</v>
      </c>
      <c r="B2491" s="5" t="n">
        <v>30.8615</v>
      </c>
      <c r="C2491" s="5" t="n">
        <v>12.8023</v>
      </c>
      <c r="D2491" s="1" t="n">
        <f aca="false">LN(B2491/B2490)</f>
        <v>-0.00259210443648809</v>
      </c>
      <c r="E2491" s="1" t="n">
        <f aca="false">LN(C2491/C2490)</f>
        <v>0</v>
      </c>
      <c r="F2491" s="1" t="n">
        <f aca="false">B2491/B2490-1</f>
        <v>-0.00258874783463048</v>
      </c>
      <c r="G2491" s="1" t="n">
        <f aca="false">C2491/C2490-1</f>
        <v>0</v>
      </c>
    </row>
    <row r="2492" customFormat="false" ht="15" hidden="false" customHeight="false" outlineLevel="0" collapsed="false">
      <c r="A2492" s="1" t="s">
        <v>2499</v>
      </c>
      <c r="B2492" s="5" t="n">
        <v>31.1067</v>
      </c>
      <c r="C2492" s="5" t="n">
        <v>12.8034</v>
      </c>
      <c r="D2492" s="1" t="n">
        <f aca="false">LN(B2492/B2491)</f>
        <v>0.0079137777019491</v>
      </c>
      <c r="E2492" s="1" t="n">
        <f aca="false">LN(C2492/C2491)</f>
        <v>8.59183697906959E-005</v>
      </c>
      <c r="F2492" s="1" t="n">
        <f aca="false">B2492/B2491-1</f>
        <v>0.00794517440824327</v>
      </c>
      <c r="G2492" s="1" t="n">
        <f aca="false">C2492/C2491-1</f>
        <v>8.59220608795397E-005</v>
      </c>
    </row>
    <row r="2493" customFormat="false" ht="15" hidden="false" customHeight="false" outlineLevel="0" collapsed="false">
      <c r="A2493" s="1" t="s">
        <v>2500</v>
      </c>
      <c r="B2493" s="5" t="n">
        <v>31.1393</v>
      </c>
      <c r="C2493" s="5" t="n">
        <v>12.8035</v>
      </c>
      <c r="D2493" s="1" t="n">
        <f aca="false">LN(B2493/B2492)</f>
        <v>0.00104745696046755</v>
      </c>
      <c r="E2493" s="1" t="n">
        <f aca="false">LN(C2493/C2492)</f>
        <v>7.81039485458982E-006</v>
      </c>
      <c r="F2493" s="1" t="n">
        <f aca="false">B2493/B2492-1</f>
        <v>0.00104800573509878</v>
      </c>
      <c r="G2493" s="1" t="n">
        <f aca="false">C2493/C2492-1</f>
        <v>7.81042535580312E-006</v>
      </c>
    </row>
    <row r="2494" customFormat="false" ht="15" hidden="false" customHeight="false" outlineLevel="0" collapsed="false">
      <c r="A2494" s="1" t="s">
        <v>2501</v>
      </c>
      <c r="B2494" s="5" t="n">
        <v>31.4274</v>
      </c>
      <c r="C2494" s="5" t="n">
        <v>12.8039</v>
      </c>
      <c r="D2494" s="1" t="n">
        <f aca="false">LN(B2494/B2493)</f>
        <v>0.0092094368484627</v>
      </c>
      <c r="E2494" s="1" t="n">
        <f aca="false">LN(C2494/C2493)</f>
        <v>3.12409694097885E-005</v>
      </c>
      <c r="F2494" s="1" t="n">
        <f aca="false">B2494/B2493-1</f>
        <v>0.00925197419338275</v>
      </c>
      <c r="G2494" s="1" t="n">
        <f aca="false">C2494/C2493-1</f>
        <v>3.12414574139552E-005</v>
      </c>
    </row>
    <row r="2495" customFormat="false" ht="15" hidden="false" customHeight="false" outlineLevel="0" collapsed="false">
      <c r="A2495" s="1" t="s">
        <v>2502</v>
      </c>
      <c r="B2495" s="5" t="n">
        <v>31.544</v>
      </c>
      <c r="C2495" s="5" t="n">
        <v>12.8038</v>
      </c>
      <c r="D2495" s="1" t="n">
        <f aca="false">LN(B2495/B2494)</f>
        <v>0.00370327270019604</v>
      </c>
      <c r="E2495" s="1" t="n">
        <f aca="false">LN(C2495/C2494)</f>
        <v>-7.81015085303928E-006</v>
      </c>
      <c r="F2495" s="1" t="n">
        <f aca="false">B2495/B2494-1</f>
        <v>0.00371013828697264</v>
      </c>
      <c r="G2495" s="1" t="n">
        <f aca="false">C2495/C2494-1</f>
        <v>-7.8101203538905E-006</v>
      </c>
    </row>
    <row r="2496" customFormat="false" ht="15" hidden="false" customHeight="false" outlineLevel="0" collapsed="false">
      <c r="A2496" s="1" t="s">
        <v>2503</v>
      </c>
      <c r="B2496" s="5" t="n">
        <v>31.6646</v>
      </c>
      <c r="C2496" s="5" t="n">
        <v>12.8044</v>
      </c>
      <c r="D2496" s="1" t="n">
        <f aca="false">LN(B2496/B2495)</f>
        <v>0.00381594106947787</v>
      </c>
      <c r="E2496" s="1" t="n">
        <f aca="false">LN(C2496/C2495)</f>
        <v>4.68599901678692E-005</v>
      </c>
      <c r="F2496" s="1" t="n">
        <f aca="false">B2496/B2495-1</f>
        <v>0.0038232310423536</v>
      </c>
      <c r="G2496" s="1" t="n">
        <f aca="false">C2496/C2495-1</f>
        <v>4.68610881143583E-005</v>
      </c>
    </row>
    <row r="2497" customFormat="false" ht="15" hidden="false" customHeight="false" outlineLevel="0" collapsed="false">
      <c r="A2497" s="1" t="s">
        <v>2504</v>
      </c>
      <c r="B2497" s="5" t="n">
        <v>31.8311</v>
      </c>
      <c r="C2497" s="5" t="n">
        <v>12.8043</v>
      </c>
      <c r="D2497" s="1" t="n">
        <f aca="false">LN(B2497/B2496)</f>
        <v>0.00524446164458601</v>
      </c>
      <c r="E2497" s="1" t="n">
        <f aca="false">LN(C2497/C2496)</f>
        <v>-7.80984587272559E-006</v>
      </c>
      <c r="F2497" s="1" t="n">
        <f aca="false">B2497/B2496-1</f>
        <v>0.00525823790605284</v>
      </c>
      <c r="G2497" s="1" t="n">
        <f aca="false">C2497/C2496-1</f>
        <v>-7.80981537595871E-006</v>
      </c>
    </row>
    <row r="2498" customFormat="false" ht="15" hidden="false" customHeight="false" outlineLevel="0" collapsed="false">
      <c r="A2498" s="1" t="s">
        <v>2505</v>
      </c>
      <c r="B2498" s="5" t="n">
        <v>31.8084</v>
      </c>
      <c r="C2498" s="5" t="n">
        <v>12.805</v>
      </c>
      <c r="D2498" s="1" t="n">
        <f aca="false">LN(B2498/B2497)</f>
        <v>-0.000713393441580351</v>
      </c>
      <c r="E2498" s="1" t="n">
        <f aca="false">LN(C2498/C2497)</f>
        <v>5.4667640284838E-005</v>
      </c>
      <c r="F2498" s="1" t="n">
        <f aca="false">B2498/B2497-1</f>
        <v>-0.00071313903697956</v>
      </c>
      <c r="G2498" s="1" t="n">
        <f aca="false">C2498/C2497-1</f>
        <v>5.4669134587515E-005</v>
      </c>
    </row>
    <row r="2499" customFormat="false" ht="15" hidden="false" customHeight="false" outlineLevel="0" collapsed="false">
      <c r="A2499" s="1" t="s">
        <v>2506</v>
      </c>
      <c r="B2499" s="5" t="n">
        <v>31.6145</v>
      </c>
      <c r="C2499" s="5" t="n">
        <v>12.8061</v>
      </c>
      <c r="D2499" s="1" t="n">
        <f aca="false">LN(B2499/B2498)</f>
        <v>-0.00611452973985392</v>
      </c>
      <c r="E2499" s="1" t="n">
        <f aca="false">LN(C2499/C2498)</f>
        <v>8.59002542394654E-005</v>
      </c>
      <c r="F2499" s="1" t="n">
        <f aca="false">B2499/B2498-1</f>
        <v>-0.00609587404584955</v>
      </c>
      <c r="G2499" s="1" t="n">
        <f aca="false">C2499/C2498-1</f>
        <v>8.59039437719478E-005</v>
      </c>
    </row>
    <row r="2500" customFormat="false" ht="15" hidden="false" customHeight="false" outlineLevel="0" collapsed="false">
      <c r="A2500" s="1" t="s">
        <v>2507</v>
      </c>
      <c r="B2500" s="5" t="n">
        <v>31.4679</v>
      </c>
      <c r="C2500" s="5" t="n">
        <v>12.8074</v>
      </c>
      <c r="D2500" s="1" t="n">
        <f aca="false">LN(B2500/B2499)</f>
        <v>-0.00464789747745659</v>
      </c>
      <c r="E2500" s="1" t="n">
        <f aca="false">LN(C2500/C2499)</f>
        <v>0.00010150896996625</v>
      </c>
      <c r="F2500" s="1" t="n">
        <f aca="false">B2500/B2499-1</f>
        <v>-0.00463711271726575</v>
      </c>
      <c r="G2500" s="1" t="n">
        <f aca="false">C2500/C2499-1</f>
        <v>0.000101514122176072</v>
      </c>
    </row>
    <row r="2501" customFormat="false" ht="15" hidden="false" customHeight="false" outlineLevel="0" collapsed="false">
      <c r="A2501" s="1" t="s">
        <v>2508</v>
      </c>
      <c r="B2501" s="5" t="n">
        <v>31.2612</v>
      </c>
      <c r="C2501" s="5" t="n">
        <v>12.808</v>
      </c>
      <c r="D2501" s="1" t="n">
        <f aca="false">LN(B2501/B2500)</f>
        <v>-0.00659026665802701</v>
      </c>
      <c r="E2501" s="1" t="n">
        <f aca="false">LN(C2501/C2500)</f>
        <v>4.68468187191284E-005</v>
      </c>
      <c r="F2501" s="1" t="n">
        <f aca="false">B2501/B2500-1</f>
        <v>-0.00656859847654279</v>
      </c>
      <c r="G2501" s="1" t="n">
        <f aca="false">C2501/C2500-1</f>
        <v>4.68479160484758E-005</v>
      </c>
    </row>
    <row r="2502" customFormat="false" ht="15" hidden="false" customHeight="false" outlineLevel="0" collapsed="false">
      <c r="A2502" s="1" t="s">
        <v>2509</v>
      </c>
      <c r="B2502" s="5" t="n">
        <v>31.0767</v>
      </c>
      <c r="C2502" s="5" t="n">
        <v>12.8086</v>
      </c>
      <c r="D2502" s="1" t="n">
        <f aca="false">LN(B2502/B2501)</f>
        <v>-0.00591936971644389</v>
      </c>
      <c r="E2502" s="1" t="n">
        <f aca="false">LN(C2502/C2501)</f>
        <v>4.68446241976746E-005</v>
      </c>
      <c r="F2502" s="1" t="n">
        <f aca="false">B2502/B2501-1</f>
        <v>-0.00590188476450038</v>
      </c>
      <c r="G2502" s="1" t="n">
        <f aca="false">C2502/C2501-1</f>
        <v>4.68457214242157E-005</v>
      </c>
    </row>
    <row r="2503" customFormat="false" ht="15" hidden="false" customHeight="false" outlineLevel="0" collapsed="false">
      <c r="A2503" s="1" t="s">
        <v>2510</v>
      </c>
      <c r="B2503" s="5" t="n">
        <v>31.1254</v>
      </c>
      <c r="C2503" s="5" t="n">
        <v>12.8087</v>
      </c>
      <c r="D2503" s="1" t="n">
        <f aca="false">LN(B2503/B2502)</f>
        <v>0.00156586385188756</v>
      </c>
      <c r="E2503" s="1" t="n">
        <f aca="false">LN(C2503/C2502)</f>
        <v>7.80722402443835E-006</v>
      </c>
      <c r="F2503" s="1" t="n">
        <f aca="false">B2503/B2502-1</f>
        <v>0.00156709045683745</v>
      </c>
      <c r="G2503" s="1" t="n">
        <f aca="false">C2503/C2502-1</f>
        <v>7.80725450089115E-006</v>
      </c>
    </row>
    <row r="2504" customFormat="false" ht="15" hidden="false" customHeight="false" outlineLevel="0" collapsed="false">
      <c r="A2504" s="1" t="s">
        <v>2511</v>
      </c>
      <c r="B2504" s="5" t="n">
        <v>31.3952</v>
      </c>
      <c r="C2504" s="5" t="n">
        <v>12.81</v>
      </c>
      <c r="D2504" s="1" t="n">
        <f aca="false">LN(B2504/B2503)</f>
        <v>0.00863080887901913</v>
      </c>
      <c r="E2504" s="1" t="n">
        <f aca="false">LN(C2504/C2503)</f>
        <v>0.000101488366007431</v>
      </c>
      <c r="F2504" s="1" t="n">
        <f aca="false">B2504/B2503-1</f>
        <v>0.00866816169430762</v>
      </c>
      <c r="G2504" s="1" t="n">
        <f aca="false">C2504/C2503-1</f>
        <v>0.000101493516125872</v>
      </c>
    </row>
    <row r="2505" customFormat="false" ht="15" hidden="false" customHeight="false" outlineLevel="0" collapsed="false">
      <c r="A2505" s="1" t="s">
        <v>2512</v>
      </c>
      <c r="B2505" s="5" t="n">
        <v>31.1175</v>
      </c>
      <c r="C2505" s="5" t="n">
        <v>12.8105</v>
      </c>
      <c r="D2505" s="1" t="n">
        <f aca="false">LN(B2505/B2504)</f>
        <v>-0.00888465309393904</v>
      </c>
      <c r="E2505" s="1" t="n">
        <f aca="false">LN(C2505/C2504)</f>
        <v>3.90312445161753E-005</v>
      </c>
      <c r="F2505" s="1" t="n">
        <f aca="false">B2505/B2504-1</f>
        <v>-0.00884530119253901</v>
      </c>
      <c r="G2505" s="1" t="n">
        <f aca="false">C2505/C2504-1</f>
        <v>3.90320062451099E-005</v>
      </c>
    </row>
    <row r="2506" customFormat="false" ht="15" hidden="false" customHeight="false" outlineLevel="0" collapsed="false">
      <c r="A2506" s="1" t="s">
        <v>2513</v>
      </c>
      <c r="B2506" s="5" t="n">
        <v>31.4421</v>
      </c>
      <c r="C2506" s="5" t="n">
        <v>12.8115</v>
      </c>
      <c r="D2506" s="1" t="n">
        <f aca="false">LN(B2506/B2505)</f>
        <v>0.0103773973305272</v>
      </c>
      <c r="E2506" s="1" t="n">
        <f aca="false">LN(C2506/C2505)</f>
        <v>7.80579190155047E-005</v>
      </c>
      <c r="F2506" s="1" t="n">
        <f aca="false">B2506/B2505-1</f>
        <v>0.0104314292600627</v>
      </c>
      <c r="G2506" s="1" t="n">
        <f aca="false">C2506/C2505-1</f>
        <v>7.80609656141351E-005</v>
      </c>
    </row>
    <row r="2507" customFormat="false" ht="15" hidden="false" customHeight="false" outlineLevel="0" collapsed="false">
      <c r="A2507" s="1" t="s">
        <v>2514</v>
      </c>
      <c r="B2507" s="5" t="n">
        <v>31.1122</v>
      </c>
      <c r="C2507" s="5" t="n">
        <v>12.8118</v>
      </c>
      <c r="D2507" s="1" t="n">
        <f aca="false">LN(B2507/B2506)</f>
        <v>-0.0105477340029782</v>
      </c>
      <c r="E2507" s="1" t="n">
        <f aca="false">LN(C2507/C2506)</f>
        <v>2.34161876114464E-005</v>
      </c>
      <c r="F2507" s="1" t="n">
        <f aca="false">B2507/B2506-1</f>
        <v>-0.0104923017228492</v>
      </c>
      <c r="G2507" s="1" t="n">
        <f aca="false">C2507/C2506-1</f>
        <v>2.34164617725074E-005</v>
      </c>
    </row>
    <row r="2508" customFormat="false" ht="15" hidden="false" customHeight="false" outlineLevel="0" collapsed="false">
      <c r="A2508" s="1" t="s">
        <v>2515</v>
      </c>
      <c r="B2508" s="5" t="n">
        <v>31.142</v>
      </c>
      <c r="C2508" s="5" t="n">
        <v>12.8123</v>
      </c>
      <c r="D2508" s="1" t="n">
        <f aca="false">LN(B2508/B2507)</f>
        <v>0.000957365198688355</v>
      </c>
      <c r="E2508" s="1" t="n">
        <f aca="false">LN(C2508/C2507)</f>
        <v>3.90257609096877E-005</v>
      </c>
      <c r="F2508" s="1" t="n">
        <f aca="false">B2508/B2507-1</f>
        <v>0.000957823619030407</v>
      </c>
      <c r="G2508" s="1" t="n">
        <f aca="false">C2508/C2507-1</f>
        <v>3.90265224246011E-005</v>
      </c>
    </row>
    <row r="2509" customFormat="false" ht="15" hidden="false" customHeight="false" outlineLevel="0" collapsed="false">
      <c r="A2509" s="1" t="s">
        <v>2516</v>
      </c>
      <c r="B2509" s="5" t="n">
        <v>31.4342</v>
      </c>
      <c r="C2509" s="5" t="n">
        <v>12.813</v>
      </c>
      <c r="D2509" s="1" t="n">
        <f aca="false">LN(B2509/B2508)</f>
        <v>0.0093390817520438</v>
      </c>
      <c r="E2509" s="1" t="n">
        <f aca="false">LN(C2509/C2508)</f>
        <v>5.4633506743361E-005</v>
      </c>
      <c r="F2509" s="1" t="n">
        <f aca="false">B2509/B2508-1</f>
        <v>0.00938282705028581</v>
      </c>
      <c r="G2509" s="1" t="n">
        <f aca="false">C2509/C2508-1</f>
        <v>5.46349991805695E-005</v>
      </c>
    </row>
    <row r="2510" customFormat="false" ht="15" hidden="false" customHeight="false" outlineLevel="0" collapsed="false">
      <c r="A2510" s="1" t="s">
        <v>2517</v>
      </c>
      <c r="B2510" s="5" t="n">
        <v>31.5851</v>
      </c>
      <c r="C2510" s="5" t="n">
        <v>12.814</v>
      </c>
      <c r="D2510" s="1" t="n">
        <f aca="false">LN(B2510/B2509)</f>
        <v>0.00478901823421351</v>
      </c>
      <c r="E2510" s="1" t="n">
        <f aca="false">LN(C2510/C2509)</f>
        <v>7.80426893907287E-005</v>
      </c>
      <c r="F2510" s="1" t="n">
        <f aca="false">B2510/B2509-1</f>
        <v>0.00480050390975428</v>
      </c>
      <c r="G2510" s="1" t="n">
        <f aca="false">C2510/C2509-1</f>
        <v>7.80457348006358E-005</v>
      </c>
    </row>
    <row r="2511" customFormat="false" ht="15" hidden="false" customHeight="false" outlineLevel="0" collapsed="false">
      <c r="A2511" s="1" t="s">
        <v>2518</v>
      </c>
      <c r="B2511" s="5" t="n">
        <v>31.3625</v>
      </c>
      <c r="C2511" s="5" t="n">
        <v>12.8147</v>
      </c>
      <c r="D2511" s="1" t="n">
        <f aca="false">LN(B2511/B2510)</f>
        <v>-0.00707257871294966</v>
      </c>
      <c r="E2511" s="1" t="n">
        <f aca="false">LN(C2511/C2510)</f>
        <v>5.46262588562382E-005</v>
      </c>
      <c r="F2511" s="1" t="n">
        <f aca="false">B2511/B2510-1</f>
        <v>-0.00704762688736149</v>
      </c>
      <c r="G2511" s="1" t="n">
        <f aca="false">C2511/C2510-1</f>
        <v>5.46277508974846E-005</v>
      </c>
    </row>
    <row r="2512" customFormat="false" ht="15" hidden="false" customHeight="false" outlineLevel="0" collapsed="false">
      <c r="A2512" s="1" t="s">
        <v>2519</v>
      </c>
      <c r="B2512" s="5" t="n">
        <v>31.8062</v>
      </c>
      <c r="C2512" s="5" t="n">
        <v>12.8154</v>
      </c>
      <c r="D2512" s="1" t="n">
        <f aca="false">LN(B2512/B2511)</f>
        <v>0.0140483276431511</v>
      </c>
      <c r="E2512" s="1" t="n">
        <f aca="false">LN(C2512/C2511)</f>
        <v>5.46232749910999E-005</v>
      </c>
      <c r="F2512" s="1" t="n">
        <f aca="false">B2512/B2511-1</f>
        <v>0.0141474691111996</v>
      </c>
      <c r="G2512" s="1" t="n">
        <f aca="false">C2512/C2511-1</f>
        <v>5.46247668693489E-005</v>
      </c>
    </row>
    <row r="2513" customFormat="false" ht="15" hidden="false" customHeight="false" outlineLevel="0" collapsed="false">
      <c r="A2513" s="1" t="s">
        <v>2520</v>
      </c>
      <c r="B2513" s="5" t="n">
        <v>31.7969</v>
      </c>
      <c r="C2513" s="5" t="n">
        <v>12.8147</v>
      </c>
      <c r="D2513" s="1" t="n">
        <f aca="false">LN(B2513/B2512)</f>
        <v>-0.000292438578191271</v>
      </c>
      <c r="E2513" s="1" t="n">
        <f aca="false">LN(C2513/C2512)</f>
        <v>-5.46232749910972E-005</v>
      </c>
      <c r="F2513" s="1" t="n">
        <f aca="false">B2513/B2512-1</f>
        <v>-0.000292395822198199</v>
      </c>
      <c r="G2513" s="1" t="n">
        <f aca="false">C2513/C2512-1</f>
        <v>-5.46217831671747E-005</v>
      </c>
    </row>
    <row r="2514" customFormat="false" ht="15" hidden="false" customHeight="false" outlineLevel="0" collapsed="false">
      <c r="A2514" s="1" t="s">
        <v>2521</v>
      </c>
      <c r="B2514" s="5" t="n">
        <v>32.1095</v>
      </c>
      <c r="C2514" s="5" t="n">
        <v>12.8148</v>
      </c>
      <c r="D2514" s="1" t="n">
        <f aca="false">LN(B2514/B2513)</f>
        <v>0.0097831357496237</v>
      </c>
      <c r="E2514" s="1" t="n">
        <f aca="false">LN(C2514/C2513)</f>
        <v>7.80350767668403E-006</v>
      </c>
      <c r="F2514" s="1" t="n">
        <f aca="false">B2514/B2513-1</f>
        <v>0.00983114706150579</v>
      </c>
      <c r="G2514" s="1" t="n">
        <f aca="false">C2514/C2513-1</f>
        <v>7.80353812412926E-006</v>
      </c>
    </row>
    <row r="2515" customFormat="false" ht="15" hidden="false" customHeight="false" outlineLevel="0" collapsed="false">
      <c r="A2515" s="1" t="s">
        <v>2522</v>
      </c>
      <c r="B2515" s="5" t="n">
        <v>31.5329</v>
      </c>
      <c r="C2515" s="5" t="n">
        <v>12.815</v>
      </c>
      <c r="D2515" s="1" t="n">
        <f aca="false">LN(B2515/B2514)</f>
        <v>-0.0181204912837063</v>
      </c>
      <c r="E2515" s="1" t="n">
        <f aca="false">LN(C2515/C2514)</f>
        <v>1.56068326715445E-005</v>
      </c>
      <c r="F2515" s="1" t="n">
        <f aca="false">B2515/B2514-1</f>
        <v>-0.0179573023560005</v>
      </c>
      <c r="G2515" s="1" t="n">
        <f aca="false">C2515/C2514-1</f>
        <v>1.56069544587911E-005</v>
      </c>
    </row>
    <row r="2516" customFormat="false" ht="15" hidden="false" customHeight="false" outlineLevel="0" collapsed="false">
      <c r="A2516" s="1" t="s">
        <v>2523</v>
      </c>
      <c r="B2516" s="5" t="n">
        <v>31.0302</v>
      </c>
      <c r="C2516" s="5" t="n">
        <v>12.8154</v>
      </c>
      <c r="D2516" s="1" t="n">
        <f aca="false">LN(B2516/B2515)</f>
        <v>-0.0160705214084576</v>
      </c>
      <c r="E2516" s="1" t="n">
        <f aca="false">LN(C2516/C2515)</f>
        <v>3.12129346427683E-005</v>
      </c>
      <c r="F2516" s="1" t="n">
        <f aca="false">B2516/B2515-1</f>
        <v>-0.0159420795423193</v>
      </c>
      <c r="G2516" s="1" t="n">
        <f aca="false">C2516/C2515-1</f>
        <v>3.1213421771481E-005</v>
      </c>
    </row>
    <row r="2517" customFormat="false" ht="15" hidden="false" customHeight="false" outlineLevel="0" collapsed="false">
      <c r="A2517" s="1" t="s">
        <v>2524</v>
      </c>
      <c r="B2517" s="5" t="n">
        <v>31.5358</v>
      </c>
      <c r="C2517" s="5" t="n">
        <v>12.8157</v>
      </c>
      <c r="D2517" s="1" t="n">
        <f aca="false">LN(B2517/B2516)</f>
        <v>0.0161624846168967</v>
      </c>
      <c r="E2517" s="1" t="n">
        <f aca="false">LN(C2517/C2516)</f>
        <v>2.34090616488215E-005</v>
      </c>
      <c r="F2517" s="1" t="n">
        <f aca="false">B2517/B2516-1</f>
        <v>0.0162938041005214</v>
      </c>
      <c r="G2517" s="1" t="n">
        <f aca="false">C2517/C2516-1</f>
        <v>2.34093356430432E-005</v>
      </c>
    </row>
    <row r="2518" customFormat="false" ht="15" hidden="false" customHeight="false" outlineLevel="0" collapsed="false">
      <c r="A2518" s="1" t="s">
        <v>2525</v>
      </c>
      <c r="B2518" s="5" t="n">
        <v>31.6154</v>
      </c>
      <c r="C2518" s="5" t="n">
        <v>12.8161</v>
      </c>
      <c r="D2518" s="1" t="n">
        <f aca="false">LN(B2518/B2517)</f>
        <v>0.00252093522072702</v>
      </c>
      <c r="E2518" s="1" t="n">
        <f aca="false">LN(C2518/C2517)</f>
        <v>3.12112298030872E-005</v>
      </c>
      <c r="F2518" s="1" t="n">
        <f aca="false">B2518/B2517-1</f>
        <v>0.00252411544974285</v>
      </c>
      <c r="G2518" s="1" t="n">
        <f aca="false">C2518/C2517-1</f>
        <v>3.12117168785875E-005</v>
      </c>
    </row>
    <row r="2519" customFormat="false" ht="15" hidden="false" customHeight="false" outlineLevel="0" collapsed="false">
      <c r="A2519" s="1" t="s">
        <v>2526</v>
      </c>
      <c r="B2519" s="5" t="n">
        <v>31.2432</v>
      </c>
      <c r="C2519" s="5" t="n">
        <v>12.8163</v>
      </c>
      <c r="D2519" s="1" t="n">
        <f aca="false">LN(B2519/B2518)</f>
        <v>-0.0118425911484889</v>
      </c>
      <c r="E2519" s="1" t="n">
        <f aca="false">LN(C2519/C2518)</f>
        <v>1.56052496061467E-005</v>
      </c>
      <c r="F2519" s="1" t="n">
        <f aca="false">B2519/B2518-1</f>
        <v>-0.0117727436628985</v>
      </c>
      <c r="G2519" s="1" t="n">
        <f aca="false">C2519/C2518-1</f>
        <v>1.56053713686877E-005</v>
      </c>
    </row>
    <row r="2520" customFormat="false" ht="15" hidden="false" customHeight="false" outlineLevel="0" collapsed="false">
      <c r="A2520" s="1" t="s">
        <v>2527</v>
      </c>
      <c r="B2520" s="5" t="n">
        <v>31.564</v>
      </c>
      <c r="C2520" s="5" t="n">
        <v>12.8168</v>
      </c>
      <c r="D2520" s="1" t="n">
        <f aca="false">LN(B2520/B2519)</f>
        <v>0.010215478154693</v>
      </c>
      <c r="E2520" s="1" t="n">
        <f aca="false">LN(C2520/C2519)</f>
        <v>3.90120586323498E-005</v>
      </c>
      <c r="F2520" s="1" t="n">
        <f aca="false">B2520/B2519-1</f>
        <v>0.0102678342807394</v>
      </c>
      <c r="G2520" s="1" t="n">
        <f aca="false">C2520/C2519-1</f>
        <v>3.90128196126049E-005</v>
      </c>
    </row>
    <row r="2521" customFormat="false" ht="15" hidden="false" customHeight="false" outlineLevel="0" collapsed="false">
      <c r="A2521" s="1" t="s">
        <v>2528</v>
      </c>
      <c r="B2521" s="5" t="n">
        <v>31.6977</v>
      </c>
      <c r="C2521" s="5" t="n">
        <v>12.817</v>
      </c>
      <c r="D2521" s="1" t="n">
        <f aca="false">LN(B2521/B2520)</f>
        <v>0.00422689238714277</v>
      </c>
      <c r="E2521" s="1" t="n">
        <f aca="false">LN(C2521/C2520)</f>
        <v>1.56043973194382E-005</v>
      </c>
      <c r="F2521" s="1" t="n">
        <f aca="false">B2521/B2520-1</f>
        <v>0.00423583829679375</v>
      </c>
      <c r="G2521" s="1" t="n">
        <f aca="false">C2521/C2520-1</f>
        <v>1.56045190686793E-005</v>
      </c>
    </row>
    <row r="2522" customFormat="false" ht="15" hidden="false" customHeight="false" outlineLevel="0" collapsed="false">
      <c r="A2522" s="1" t="s">
        <v>2529</v>
      </c>
      <c r="B2522" s="5" t="n">
        <v>32.0457</v>
      </c>
      <c r="C2522" s="5" t="n">
        <v>12.8171</v>
      </c>
      <c r="D2522" s="1" t="n">
        <f aca="false">LN(B2522/B2521)</f>
        <v>0.0109188859531549</v>
      </c>
      <c r="E2522" s="1" t="n">
        <f aca="false">LN(C2522/C2521)</f>
        <v>7.80210734932079E-006</v>
      </c>
      <c r="F2522" s="1" t="n">
        <f aca="false">B2522/B2521-1</f>
        <v>0.0109787145439573</v>
      </c>
      <c r="G2522" s="1" t="n">
        <f aca="false">C2522/C2521-1</f>
        <v>7.80213778583949E-006</v>
      </c>
    </row>
    <row r="2523" customFormat="false" ht="15" hidden="false" customHeight="false" outlineLevel="0" collapsed="false">
      <c r="A2523" s="1" t="s">
        <v>2530</v>
      </c>
      <c r="B2523" s="5" t="n">
        <v>32.4169</v>
      </c>
      <c r="C2523" s="5" t="n">
        <v>12.8185</v>
      </c>
      <c r="D2523" s="1" t="n">
        <f aca="false">LN(B2523/B2522)</f>
        <v>0.0115168827488992</v>
      </c>
      <c r="E2523" s="1" t="n">
        <f aca="false">LN(C2523/C2522)</f>
        <v>0.000109223111719109</v>
      </c>
      <c r="F2523" s="1" t="n">
        <f aca="false">B2523/B2522-1</f>
        <v>0.0115834573749365</v>
      </c>
      <c r="G2523" s="1" t="n">
        <f aca="false">C2523/C2522-1</f>
        <v>0.000109229076780348</v>
      </c>
    </row>
    <row r="2524" customFormat="false" ht="15" hidden="false" customHeight="false" outlineLevel="0" collapsed="false">
      <c r="A2524" s="1" t="s">
        <v>2531</v>
      </c>
      <c r="B2524" s="5" t="n">
        <v>32.536</v>
      </c>
      <c r="C2524" s="5" t="n">
        <v>12.8188</v>
      </c>
      <c r="D2524" s="1" t="n">
        <f aca="false">LN(B2524/B2523)</f>
        <v>0.00366727685693779</v>
      </c>
      <c r="E2524" s="1" t="n">
        <f aca="false">LN(C2524/C2523)</f>
        <v>2.34034005152063E-005</v>
      </c>
      <c r="F2524" s="1" t="n">
        <f aca="false">B2524/B2523-1</f>
        <v>0.00367400954440433</v>
      </c>
      <c r="G2524" s="1" t="n">
        <f aca="false">C2524/C2523-1</f>
        <v>2.34036743769206E-005</v>
      </c>
    </row>
    <row r="2525" customFormat="false" ht="15" hidden="false" customHeight="false" outlineLevel="0" collapsed="false">
      <c r="A2525" s="1" t="s">
        <v>2532</v>
      </c>
      <c r="B2525" s="5" t="n">
        <v>32.2651</v>
      </c>
      <c r="C2525" s="5" t="n">
        <v>12.8197</v>
      </c>
      <c r="D2525" s="1" t="n">
        <f aca="false">LN(B2525/B2524)</f>
        <v>-0.00836101788828012</v>
      </c>
      <c r="E2525" s="1" t="n">
        <f aca="false">LN(C2525/C2524)</f>
        <v>7.020691540999E-005</v>
      </c>
      <c r="F2525" s="1" t="n">
        <f aca="false">B2525/B2524-1</f>
        <v>-0.00832616179001733</v>
      </c>
      <c r="G2525" s="1" t="n">
        <f aca="false">C2525/C2524-1</f>
        <v>7.02093799731518E-005</v>
      </c>
    </row>
    <row r="2526" customFormat="false" ht="15" hidden="false" customHeight="false" outlineLevel="0" collapsed="false">
      <c r="A2526" s="1" t="s">
        <v>2533</v>
      </c>
      <c r="B2526" s="5" t="n">
        <v>32.3074</v>
      </c>
      <c r="C2526" s="5" t="n">
        <v>12.8211</v>
      </c>
      <c r="D2526" s="1" t="n">
        <f aca="false">LN(B2526/B2525)</f>
        <v>0.00131015543925632</v>
      </c>
      <c r="E2526" s="1" t="n">
        <f aca="false">LN(C2526/C2525)</f>
        <v>0.000109200961076973</v>
      </c>
      <c r="F2526" s="1" t="n">
        <f aca="false">B2526/B2525-1</f>
        <v>0.00131101406783185</v>
      </c>
      <c r="G2526" s="1" t="n">
        <f aca="false">C2526/C2525-1</f>
        <v>0.000109206923718963</v>
      </c>
    </row>
    <row r="2527" customFormat="false" ht="15" hidden="false" customHeight="false" outlineLevel="0" collapsed="false">
      <c r="A2527" s="1" t="s">
        <v>2534</v>
      </c>
      <c r="B2527" s="5" t="n">
        <v>32.3167</v>
      </c>
      <c r="C2527" s="5" t="n">
        <v>12.8223</v>
      </c>
      <c r="D2527" s="1" t="n">
        <f aca="false">LN(B2527/B2526)</f>
        <v>0.00028781832363461</v>
      </c>
      <c r="E2527" s="1" t="n">
        <f aca="false">LN(C2527/C2526)</f>
        <v>9.35913335108619E-005</v>
      </c>
      <c r="F2527" s="1" t="n">
        <f aca="false">B2527/B2526-1</f>
        <v>0.000287859747302388</v>
      </c>
      <c r="G2527" s="1" t="n">
        <f aca="false">C2527/C2526-1</f>
        <v>9.35957133163523E-005</v>
      </c>
    </row>
    <row r="2528" customFormat="false" ht="15" hidden="false" customHeight="false" outlineLevel="0" collapsed="false">
      <c r="A2528" s="1" t="s">
        <v>2535</v>
      </c>
      <c r="B2528" s="5" t="n">
        <v>32.1676</v>
      </c>
      <c r="C2528" s="5" t="n">
        <v>12.823</v>
      </c>
      <c r="D2528" s="1" t="n">
        <f aca="false">LN(B2528/B2527)</f>
        <v>-0.004624389679605</v>
      </c>
      <c r="E2528" s="1" t="n">
        <f aca="false">LN(C2528/C2527)</f>
        <v>5.45908997106923E-005</v>
      </c>
      <c r="F2528" s="1" t="n">
        <f aca="false">B2528/B2527-1</f>
        <v>-0.00461371365269336</v>
      </c>
      <c r="G2528" s="1" t="n">
        <f aca="false">C2528/C2527-1</f>
        <v>5.45923898209733E-005</v>
      </c>
    </row>
    <row r="2529" customFormat="false" ht="15" hidden="false" customHeight="false" outlineLevel="0" collapsed="false">
      <c r="A2529" s="1" t="s">
        <v>2536</v>
      </c>
      <c r="B2529" s="5" t="n">
        <v>32.1386</v>
      </c>
      <c r="C2529" s="5" t="n">
        <v>12.8231</v>
      </c>
      <c r="D2529" s="1" t="n">
        <f aca="false">LN(B2529/B2528)</f>
        <v>-0.000901934866806931</v>
      </c>
      <c r="E2529" s="1" t="n">
        <f aca="false">LN(C2529/C2528)</f>
        <v>7.79845668538207E-006</v>
      </c>
      <c r="F2529" s="1" t="n">
        <f aca="false">B2529/B2528-1</f>
        <v>-0.000901528245812688</v>
      </c>
      <c r="G2529" s="1" t="n">
        <f aca="false">C2529/C2528-1</f>
        <v>7.79848709342446E-006</v>
      </c>
    </row>
    <row r="2530" customFormat="false" ht="15" hidden="false" customHeight="false" outlineLevel="0" collapsed="false">
      <c r="A2530" s="1" t="s">
        <v>2537</v>
      </c>
      <c r="B2530" s="5" t="n">
        <v>31.8788</v>
      </c>
      <c r="C2530" s="5" t="n">
        <v>12.8233</v>
      </c>
      <c r="D2530" s="1" t="n">
        <f aca="false">LN(B2530/B2529)</f>
        <v>-0.00811658787388284</v>
      </c>
      <c r="E2530" s="1" t="n">
        <f aca="false">LN(C2530/C2529)</f>
        <v>1.55967309253931E-005</v>
      </c>
      <c r="F2530" s="1" t="n">
        <f aca="false">B2530/B2529-1</f>
        <v>-0.00808373731276402</v>
      </c>
      <c r="G2530" s="1" t="n">
        <f aca="false">C2530/C2529-1</f>
        <v>1.55968525550332E-005</v>
      </c>
    </row>
    <row r="2531" customFormat="false" ht="15" hidden="false" customHeight="false" outlineLevel="0" collapsed="false">
      <c r="A2531" s="1" t="s">
        <v>2538</v>
      </c>
      <c r="B2531" s="5" t="n">
        <v>31.8274</v>
      </c>
      <c r="C2531" s="5" t="n">
        <v>12.8235</v>
      </c>
      <c r="D2531" s="1" t="n">
        <f aca="false">LN(B2531/B2530)</f>
        <v>-0.00161365804751611</v>
      </c>
      <c r="E2531" s="1" t="n">
        <f aca="false">LN(C2531/C2530)</f>
        <v>1.55964876713287E-005</v>
      </c>
      <c r="F2531" s="1" t="n">
        <f aca="false">B2531/B2530-1</f>
        <v>-0.00161235680138516</v>
      </c>
      <c r="G2531" s="1" t="n">
        <f aca="false">C2531/C2530-1</f>
        <v>1.55966092971749E-005</v>
      </c>
    </row>
    <row r="2532" customFormat="false" ht="15" hidden="false" customHeight="false" outlineLevel="0" collapsed="false">
      <c r="A2532" s="1" t="s">
        <v>2539</v>
      </c>
      <c r="B2532" s="5" t="n">
        <v>32.2265</v>
      </c>
      <c r="C2532" s="5" t="n">
        <v>12.8242</v>
      </c>
      <c r="D2532" s="1" t="n">
        <f aca="false">LN(B2532/B2531)</f>
        <v>0.0124615414416208</v>
      </c>
      <c r="E2532" s="1" t="n">
        <f aca="false">LN(C2532/C2531)</f>
        <v>5.45857913320608E-005</v>
      </c>
      <c r="F2532" s="1" t="n">
        <f aca="false">B2532/B2531-1</f>
        <v>0.0125395099819652</v>
      </c>
      <c r="G2532" s="1" t="n">
        <f aca="false">C2532/C2531-1</f>
        <v>5.45872811634762E-005</v>
      </c>
    </row>
    <row r="2533" customFormat="false" ht="15" hidden="false" customHeight="false" outlineLevel="0" collapsed="false">
      <c r="A2533" s="1" t="s">
        <v>2540</v>
      </c>
      <c r="B2533" s="5" t="n">
        <v>31.9965</v>
      </c>
      <c r="C2533" s="5" t="n">
        <v>12.824</v>
      </c>
      <c r="D2533" s="1" t="n">
        <f aca="false">LN(B2533/B2532)</f>
        <v>-0.00716257363549912</v>
      </c>
      <c r="E2533" s="1" t="n">
        <f aca="false">LN(C2533/C2532)</f>
        <v>-1.55956363412645E-005</v>
      </c>
      <c r="F2533" s="1" t="n">
        <f aca="false">B2533/B2532-1</f>
        <v>-0.00713698353839232</v>
      </c>
      <c r="G2533" s="1" t="n">
        <f aca="false">C2533/C2532-1</f>
        <v>-1.55955147299602E-005</v>
      </c>
    </row>
    <row r="2534" customFormat="false" ht="15" hidden="false" customHeight="false" outlineLevel="0" collapsed="false">
      <c r="A2534" s="1" t="s">
        <v>2541</v>
      </c>
      <c r="B2534" s="5" t="n">
        <v>32.1063</v>
      </c>
      <c r="C2534" s="5" t="n">
        <v>12.8244</v>
      </c>
      <c r="D2534" s="1" t="n">
        <f aca="false">LN(B2534/B2533)</f>
        <v>0.00342575074356354</v>
      </c>
      <c r="E2534" s="1" t="n">
        <f aca="false">LN(C2534/C2533)</f>
        <v>3.11910294624744E-005</v>
      </c>
      <c r="F2534" s="1" t="n">
        <f aca="false">B2534/B2533-1</f>
        <v>0.00343162533402075</v>
      </c>
      <c r="G2534" s="1" t="n">
        <f aca="false">C2534/C2533-1</f>
        <v>3.11915159076914E-005</v>
      </c>
    </row>
    <row r="2535" customFormat="false" ht="15" hidden="false" customHeight="false" outlineLevel="0" collapsed="false">
      <c r="A2535" s="1" t="s">
        <v>2542</v>
      </c>
      <c r="B2535" s="5" t="n">
        <v>31.9932</v>
      </c>
      <c r="C2535" s="5" t="n">
        <v>12.8249</v>
      </c>
      <c r="D2535" s="1" t="n">
        <f aca="false">LN(B2535/B2534)</f>
        <v>-0.00352889234300612</v>
      </c>
      <c r="E2535" s="1" t="n">
        <f aca="false">LN(C2535/C2534)</f>
        <v>3.89874187648282E-005</v>
      </c>
      <c r="F2535" s="1" t="n">
        <f aca="false">B2535/B2534-1</f>
        <v>-0.00352267312022858</v>
      </c>
      <c r="G2535" s="1" t="n">
        <f aca="false">C2535/C2534-1</f>
        <v>3.89881787841162E-005</v>
      </c>
    </row>
    <row r="2536" customFormat="false" ht="15" hidden="false" customHeight="false" outlineLevel="0" collapsed="false">
      <c r="A2536" s="1" t="s">
        <v>2543</v>
      </c>
      <c r="B2536" s="5" t="n">
        <v>31.6364</v>
      </c>
      <c r="C2536" s="5" t="n">
        <v>12.8248</v>
      </c>
      <c r="D2536" s="1" t="n">
        <f aca="false">LN(B2536/B2535)</f>
        <v>-0.0112150238176721</v>
      </c>
      <c r="E2536" s="1" t="n">
        <f aca="false">LN(C2536/C2535)</f>
        <v>-7.79736215239479E-006</v>
      </c>
      <c r="F2536" s="1" t="n">
        <f aca="false">B2536/B2535-1</f>
        <v>-0.0111523698785994</v>
      </c>
      <c r="G2536" s="1" t="n">
        <f aca="false">C2536/C2535-1</f>
        <v>-7.79733175304553E-006</v>
      </c>
    </row>
    <row r="2537" customFormat="false" ht="15" hidden="false" customHeight="false" outlineLevel="0" collapsed="false">
      <c r="A2537" s="1" t="s">
        <v>2544</v>
      </c>
      <c r="B2537" s="5" t="n">
        <v>31.7321</v>
      </c>
      <c r="C2537" s="5" t="n">
        <v>12.8253</v>
      </c>
      <c r="D2537" s="1" t="n">
        <f aca="false">LN(B2537/B2536)</f>
        <v>0.00302043042697596</v>
      </c>
      <c r="E2537" s="1" t="n">
        <f aca="false">LN(C2537/C2536)</f>
        <v>3.89862027878439E-005</v>
      </c>
      <c r="F2537" s="1" t="n">
        <f aca="false">B2537/B2536-1</f>
        <v>0.00302499652299248</v>
      </c>
      <c r="G2537" s="1" t="n">
        <f aca="false">C2537/C2536-1</f>
        <v>3.89869627597239E-005</v>
      </c>
    </row>
    <row r="2538" customFormat="false" ht="15" hidden="false" customHeight="false" outlineLevel="0" collapsed="false">
      <c r="A2538" s="1" t="s">
        <v>2545</v>
      </c>
      <c r="B2538" s="5" t="n">
        <v>31.2981</v>
      </c>
      <c r="C2538" s="5" t="n">
        <v>12.8256</v>
      </c>
      <c r="D2538" s="1" t="n">
        <f aca="false">LN(B2538/B2537)</f>
        <v>-0.0137713939994924</v>
      </c>
      <c r="E2538" s="1" t="n">
        <f aca="false">LN(C2538/C2537)</f>
        <v>2.33909921298886E-005</v>
      </c>
      <c r="F2538" s="1" t="n">
        <f aca="false">B2538/B2537-1</f>
        <v>-0.0136770021523945</v>
      </c>
      <c r="G2538" s="1" t="n">
        <f aca="false">C2538/C2537-1</f>
        <v>2.3391265701278E-005</v>
      </c>
    </row>
    <row r="2539" customFormat="false" ht="15" hidden="false" customHeight="false" outlineLevel="0" collapsed="false">
      <c r="A2539" s="1" t="s">
        <v>2546</v>
      </c>
      <c r="B2539" s="5" t="n">
        <v>31.6396</v>
      </c>
      <c r="C2539" s="5" t="n">
        <v>12.8268</v>
      </c>
      <c r="D2539" s="1" t="n">
        <f aca="false">LN(B2539/B2538)</f>
        <v>0.0108521077662938</v>
      </c>
      <c r="E2539" s="1" t="n">
        <f aca="false">LN(C2539/C2538)</f>
        <v>9.35584975188301E-005</v>
      </c>
      <c r="F2539" s="1" t="n">
        <f aca="false">B2539/B2538-1</f>
        <v>0.0109112054725367</v>
      </c>
      <c r="G2539" s="1" t="n">
        <f aca="false">C2539/C2538-1</f>
        <v>9.35628742515515E-005</v>
      </c>
    </row>
    <row r="2540" customFormat="false" ht="15" hidden="false" customHeight="false" outlineLevel="0" collapsed="false">
      <c r="A2540" s="1" t="s">
        <v>2547</v>
      </c>
      <c r="B2540" s="5" t="n">
        <v>31.3887</v>
      </c>
      <c r="C2540" s="5" t="n">
        <v>12.8277</v>
      </c>
      <c r="D2540" s="1" t="n">
        <f aca="false">LN(B2540/B2539)</f>
        <v>-0.00796154506145313</v>
      </c>
      <c r="E2540" s="1" t="n">
        <f aca="false">LN(C2540/C2539)</f>
        <v>7.01631293042771E-005</v>
      </c>
      <c r="F2540" s="1" t="n">
        <f aca="false">B2540/B2539-1</f>
        <v>-0.00792993590310875</v>
      </c>
      <c r="G2540" s="1" t="n">
        <f aca="false">C2540/C2539-1</f>
        <v>7.01655907942023E-005</v>
      </c>
    </row>
    <row r="2541" customFormat="false" ht="15" hidden="false" customHeight="false" outlineLevel="0" collapsed="false">
      <c r="A2541" s="1" t="s">
        <v>2548</v>
      </c>
      <c r="B2541" s="5" t="n">
        <v>31.3351</v>
      </c>
      <c r="C2541" s="5" t="n">
        <v>12.8281</v>
      </c>
      <c r="D2541" s="1" t="n">
        <f aca="false">LN(B2541/B2540)</f>
        <v>-0.00170908054189756</v>
      </c>
      <c r="E2541" s="1" t="n">
        <f aca="false">LN(C2541/C2540)</f>
        <v>3.11820329151006E-005</v>
      </c>
      <c r="F2541" s="1" t="n">
        <f aca="false">B2541/B2540-1</f>
        <v>-0.00170762089541776</v>
      </c>
      <c r="G2541" s="1" t="n">
        <f aca="false">C2541/C2540-1</f>
        <v>3.11825190797421E-005</v>
      </c>
    </row>
    <row r="2542" customFormat="false" ht="15" hidden="false" customHeight="false" outlineLevel="0" collapsed="false">
      <c r="A2542" s="1" t="s">
        <v>2549</v>
      </c>
      <c r="B2542" s="5" t="n">
        <v>31.5989</v>
      </c>
      <c r="C2542" s="5" t="n">
        <v>12.8286</v>
      </c>
      <c r="D2542" s="1" t="n">
        <f aca="false">LN(B2542/B2541)</f>
        <v>0.00838343486924046</v>
      </c>
      <c r="E2542" s="1" t="n">
        <f aca="false">LN(C2542/C2541)</f>
        <v>3.89761738698518E-005</v>
      </c>
      <c r="F2542" s="1" t="n">
        <f aca="false">B2542/B2541-1</f>
        <v>0.00841867426623821</v>
      </c>
      <c r="G2542" s="1" t="n">
        <f aca="false">C2542/C2541-1</f>
        <v>3.8976933450785E-005</v>
      </c>
    </row>
    <row r="2543" customFormat="false" ht="15" hidden="false" customHeight="false" outlineLevel="0" collapsed="false">
      <c r="A2543" s="1" t="s">
        <v>2550</v>
      </c>
      <c r="B2543" s="5" t="n">
        <v>30.9481</v>
      </c>
      <c r="C2543" s="5" t="n">
        <v>12.829</v>
      </c>
      <c r="D2543" s="1" t="n">
        <f aca="false">LN(B2543/B2542)</f>
        <v>-0.0208107019518364</v>
      </c>
      <c r="E2543" s="1" t="n">
        <f aca="false">LN(C2543/C2542)</f>
        <v>3.11798453505703E-005</v>
      </c>
      <c r="F2543" s="1" t="n">
        <f aca="false">B2543/B2542-1</f>
        <v>-0.0205956536461712</v>
      </c>
      <c r="G2543" s="1" t="n">
        <f aca="false">C2543/C2542-1</f>
        <v>3.11803314470005E-005</v>
      </c>
    </row>
    <row r="2544" customFormat="false" ht="15" hidden="false" customHeight="false" outlineLevel="0" collapsed="false">
      <c r="A2544" s="1" t="s">
        <v>2551</v>
      </c>
      <c r="B2544" s="5" t="n">
        <v>30.9405</v>
      </c>
      <c r="C2544" s="5" t="n">
        <v>12.8298</v>
      </c>
      <c r="D2544" s="1" t="n">
        <f aca="false">LN(B2544/B2543)</f>
        <v>-0.000245602583939641</v>
      </c>
      <c r="E2544" s="1" t="n">
        <f aca="false">LN(C2544/C2543)</f>
        <v>6.23567743041591E-005</v>
      </c>
      <c r="F2544" s="1" t="n">
        <f aca="false">B2544/B2543-1</f>
        <v>-0.000245572426094021</v>
      </c>
      <c r="G2544" s="1" t="n">
        <f aca="false">C2544/C2543-1</f>
        <v>6.23587185282215E-005</v>
      </c>
    </row>
    <row r="2545" customFormat="false" ht="15" hidden="false" customHeight="false" outlineLevel="0" collapsed="false">
      <c r="A2545" s="1" t="s">
        <v>2552</v>
      </c>
      <c r="B2545" s="5" t="n">
        <v>31.3389</v>
      </c>
      <c r="C2545" s="5" t="n">
        <v>12.8303</v>
      </c>
      <c r="D2545" s="1" t="n">
        <f aca="false">LN(B2545/B2544)</f>
        <v>0.0127941320721473</v>
      </c>
      <c r="E2545" s="1" t="n">
        <f aca="false">LN(C2545/C2544)</f>
        <v>3.89710094708279E-005</v>
      </c>
      <c r="F2545" s="1" t="n">
        <f aca="false">B2545/B2544-1</f>
        <v>0.0128763271440344</v>
      </c>
      <c r="G2545" s="1" t="n">
        <f aca="false">C2545/C2544-1</f>
        <v>3.8971768850482E-005</v>
      </c>
    </row>
    <row r="2546" customFormat="false" ht="15" hidden="false" customHeight="false" outlineLevel="0" collapsed="false">
      <c r="A2546" s="1" t="s">
        <v>2553</v>
      </c>
      <c r="B2546" s="5" t="n">
        <v>31.1919</v>
      </c>
      <c r="C2546" s="5" t="n">
        <v>12.8311</v>
      </c>
      <c r="D2546" s="1" t="n">
        <f aca="false">LN(B2546/B2545)</f>
        <v>-0.00470169167185541</v>
      </c>
      <c r="E2546" s="1" t="n">
        <f aca="false">LN(C2546/C2545)</f>
        <v>6.23504563476093E-005</v>
      </c>
      <c r="F2546" s="1" t="n">
        <f aca="false">B2546/B2545-1</f>
        <v>-0.00469065602174923</v>
      </c>
      <c r="G2546" s="1" t="n">
        <f aca="false">C2546/C2545-1</f>
        <v>6.2352400177712E-005</v>
      </c>
    </row>
    <row r="2547" customFormat="false" ht="15" hidden="false" customHeight="false" outlineLevel="0" collapsed="false">
      <c r="A2547" s="1" t="s">
        <v>2554</v>
      </c>
      <c r="B2547" s="5" t="n">
        <v>30.9961</v>
      </c>
      <c r="C2547" s="5" t="n">
        <v>12.8322</v>
      </c>
      <c r="D2547" s="1" t="n">
        <f aca="false">LN(B2547/B2546)</f>
        <v>-0.00629705560567558</v>
      </c>
      <c r="E2547" s="1" t="n">
        <f aca="false">LN(C2547/C2546)</f>
        <v>8.57255302843666E-005</v>
      </c>
      <c r="F2547" s="1" t="n">
        <f aca="false">B2547/B2546-1</f>
        <v>-0.0062772707016886</v>
      </c>
      <c r="G2547" s="1" t="n">
        <f aca="false">C2547/C2546-1</f>
        <v>8.57292048226377E-005</v>
      </c>
    </row>
    <row r="2548" customFormat="false" ht="15" hidden="false" customHeight="false" outlineLevel="0" collapsed="false">
      <c r="A2548" s="1" t="s">
        <v>2555</v>
      </c>
      <c r="B2548" s="5" t="n">
        <v>31.0825</v>
      </c>
      <c r="C2548" s="5" t="n">
        <v>12.8324</v>
      </c>
      <c r="D2548" s="1" t="n">
        <f aca="false">LN(B2548/B2547)</f>
        <v>0.00278356972571767</v>
      </c>
      <c r="E2548" s="1" t="n">
        <f aca="false">LN(C2548/C2547)</f>
        <v>1.55856705347071E-005</v>
      </c>
      <c r="F2548" s="1" t="n">
        <f aca="false">B2548/B2547-1</f>
        <v>0.00278744745306669</v>
      </c>
      <c r="G2548" s="1" t="n">
        <f aca="false">C2548/C2547-1</f>
        <v>1.55857919919011E-005</v>
      </c>
    </row>
    <row r="2549" customFormat="false" ht="15" hidden="false" customHeight="false" outlineLevel="0" collapsed="false">
      <c r="A2549" s="1" t="s">
        <v>2556</v>
      </c>
      <c r="B2549" s="5" t="n">
        <v>31.6085</v>
      </c>
      <c r="C2549" s="5" t="n">
        <v>12.833</v>
      </c>
      <c r="D2549" s="1" t="n">
        <f aca="false">LN(B2549/B2548)</f>
        <v>0.0167811119190742</v>
      </c>
      <c r="E2549" s="1" t="n">
        <f aca="false">LN(C2549/C2548)</f>
        <v>4.67555541786756E-005</v>
      </c>
      <c r="F2549" s="1" t="n">
        <f aca="false">B2549/B2548-1</f>
        <v>0.0169227057025658</v>
      </c>
      <c r="G2549" s="1" t="n">
        <f aca="false">C2549/C2548-1</f>
        <v>4.67566472366343E-005</v>
      </c>
    </row>
    <row r="2550" customFormat="false" ht="15" hidden="false" customHeight="false" outlineLevel="0" collapsed="false">
      <c r="A2550" s="1" t="s">
        <v>2557</v>
      </c>
      <c r="B2550" s="5" t="n">
        <v>31.6415</v>
      </c>
      <c r="C2550" s="5" t="n">
        <v>12.8334</v>
      </c>
      <c r="D2550" s="1" t="n">
        <f aca="false">LN(B2550/B2549)</f>
        <v>0.00104347835555198</v>
      </c>
      <c r="E2550" s="1" t="n">
        <f aca="false">LN(C2550/C2549)</f>
        <v>3.11691550066093E-005</v>
      </c>
      <c r="F2550" s="1" t="n">
        <f aca="false">B2550/B2549-1</f>
        <v>0.00104402296850536</v>
      </c>
      <c r="G2550" s="1" t="n">
        <f aca="false">C2550/C2549-1</f>
        <v>3.11696407697681E-005</v>
      </c>
    </row>
    <row r="2551" customFormat="false" ht="15" hidden="false" customHeight="false" outlineLevel="0" collapsed="false">
      <c r="A2551" s="1" t="s">
        <v>2558</v>
      </c>
      <c r="B2551" s="5" t="n">
        <v>31.5791</v>
      </c>
      <c r="C2551" s="5" t="n">
        <v>12.8339</v>
      </c>
      <c r="D2551" s="1" t="n">
        <f aca="false">LN(B2551/B2550)</f>
        <v>-0.0019740407482229</v>
      </c>
      <c r="E2551" s="1" t="n">
        <f aca="false">LN(C2551/C2550)</f>
        <v>3.89600776135011E-005</v>
      </c>
      <c r="F2551" s="1" t="n">
        <f aca="false">B2551/B2550-1</f>
        <v>-0.0019720936112384</v>
      </c>
      <c r="G2551" s="1" t="n">
        <f aca="false">C2551/C2550-1</f>
        <v>3.89608365671812E-005</v>
      </c>
    </row>
    <row r="2552" customFormat="false" ht="15" hidden="false" customHeight="false" outlineLevel="0" collapsed="false">
      <c r="A2552" s="1" t="s">
        <v>2559</v>
      </c>
      <c r="B2552" s="5" t="n">
        <v>31.6338</v>
      </c>
      <c r="C2552" s="5" t="n">
        <v>12.8346</v>
      </c>
      <c r="D2552" s="1" t="n">
        <f aca="false">LN(B2552/B2551)</f>
        <v>0.00173065983851531</v>
      </c>
      <c r="E2552" s="1" t="n">
        <f aca="false">LN(C2552/C2551)</f>
        <v>5.45415587333E-005</v>
      </c>
      <c r="F2552" s="1" t="n">
        <f aca="false">B2552/B2551-1</f>
        <v>0.00173215829456819</v>
      </c>
      <c r="G2552" s="1" t="n">
        <f aca="false">C2552/C2551-1</f>
        <v>5.45430461511565E-005</v>
      </c>
    </row>
    <row r="2553" customFormat="false" ht="15" hidden="false" customHeight="false" outlineLevel="0" collapsed="false">
      <c r="A2553" s="1" t="s">
        <v>2560</v>
      </c>
      <c r="B2553" s="5" t="n">
        <v>31.4153</v>
      </c>
      <c r="C2553" s="5" t="n">
        <v>12.8352</v>
      </c>
      <c r="D2553" s="1" t="n">
        <f aca="false">LN(B2553/B2552)</f>
        <v>-0.00693113382233381</v>
      </c>
      <c r="E2553" s="1" t="n">
        <f aca="false">LN(C2553/C2552)</f>
        <v>4.67475399192959E-005</v>
      </c>
      <c r="F2553" s="1" t="n">
        <f aca="false">B2553/B2552-1</f>
        <v>-0.00690716891426269</v>
      </c>
      <c r="G2553" s="1" t="n">
        <f aca="false">C2553/C2552-1</f>
        <v>4.67486326025668E-005</v>
      </c>
    </row>
    <row r="2554" customFormat="false" ht="15" hidden="false" customHeight="false" outlineLevel="0" collapsed="false">
      <c r="A2554" s="1" t="s">
        <v>2561</v>
      </c>
      <c r="B2554" s="5" t="n">
        <v>31.6238</v>
      </c>
      <c r="C2554" s="5" t="n">
        <v>12.835</v>
      </c>
      <c r="D2554" s="1" t="n">
        <f aca="false">LN(B2554/B2553)</f>
        <v>0.00661496627619539</v>
      </c>
      <c r="E2554" s="1" t="n">
        <f aca="false">LN(C2554/C2553)</f>
        <v>-1.55822704928673E-005</v>
      </c>
      <c r="F2554" s="1" t="n">
        <f aca="false">B2554/B2553-1</f>
        <v>0.00663689348820484</v>
      </c>
      <c r="G2554" s="1" t="n">
        <f aca="false">C2554/C2553-1</f>
        <v>-1.55821490899211E-005</v>
      </c>
    </row>
    <row r="2555" customFormat="false" ht="15" hidden="false" customHeight="false" outlineLevel="0" collapsed="false">
      <c r="A2555" s="1" t="s">
        <v>2562</v>
      </c>
      <c r="B2555" s="5" t="n">
        <v>31.3122</v>
      </c>
      <c r="C2555" s="5" t="n">
        <v>12.8367</v>
      </c>
      <c r="D2555" s="1" t="n">
        <f aca="false">LN(B2555/B2554)</f>
        <v>-0.00990220370287196</v>
      </c>
      <c r="E2555" s="1" t="n">
        <f aca="false">LN(C2555/C2554)</f>
        <v>0.000132441560355089</v>
      </c>
      <c r="F2555" s="1" t="n">
        <f aca="false">B2555/B2554-1</f>
        <v>-0.00985333830848911</v>
      </c>
      <c r="G2555" s="1" t="n">
        <f aca="false">C2555/C2554-1</f>
        <v>0.000132450331125744</v>
      </c>
    </row>
    <row r="2556" customFormat="false" ht="15" hidden="false" customHeight="false" outlineLevel="0" collapsed="false">
      <c r="A2556" s="1" t="s">
        <v>2563</v>
      </c>
      <c r="B2556" s="5" t="n">
        <v>31.2958</v>
      </c>
      <c r="C2556" s="5" t="n">
        <v>12.8371</v>
      </c>
      <c r="D2556" s="1" t="n">
        <f aca="false">LN(B2556/B2555)</f>
        <v>-0.00052389472192379</v>
      </c>
      <c r="E2556" s="1" t="n">
        <f aca="false">LN(C2556/C2555)</f>
        <v>3.11601710718894E-005</v>
      </c>
      <c r="F2556" s="1" t="n">
        <f aca="false">B2556/B2555-1</f>
        <v>-0.000523757513046008</v>
      </c>
      <c r="G2556" s="1" t="n">
        <f aca="false">C2556/C2555-1</f>
        <v>3.11606565550626E-005</v>
      </c>
    </row>
    <row r="2557" customFormat="false" ht="15" hidden="false" customHeight="false" outlineLevel="0" collapsed="false">
      <c r="A2557" s="1" t="s">
        <v>2564</v>
      </c>
      <c r="B2557" s="5" t="n">
        <v>31.789</v>
      </c>
      <c r="C2557" s="5" t="n">
        <v>12.8388</v>
      </c>
      <c r="D2557" s="1" t="n">
        <f aca="false">LN(B2557/B2556)</f>
        <v>0.015636414756167</v>
      </c>
      <c r="E2557" s="1" t="n">
        <f aca="false">LN(C2557/C2556)</f>
        <v>0.000132419895893501</v>
      </c>
      <c r="F2557" s="1" t="n">
        <f aca="false">B2557/B2556-1</f>
        <v>0.015759303165281</v>
      </c>
      <c r="G2557" s="1" t="n">
        <f aca="false">C2557/C2556-1</f>
        <v>0.000132428663794926</v>
      </c>
    </row>
    <row r="2558" customFormat="false" ht="15" hidden="false" customHeight="false" outlineLevel="0" collapsed="false">
      <c r="A2558" s="1" t="s">
        <v>2565</v>
      </c>
      <c r="B2558" s="5" t="n">
        <v>31.4743</v>
      </c>
      <c r="C2558" s="5" t="n">
        <v>12.8398</v>
      </c>
      <c r="D2558" s="1" t="n">
        <f aca="false">LN(B2558/B2557)</f>
        <v>-0.00994897818492074</v>
      </c>
      <c r="E2558" s="1" t="n">
        <f aca="false">LN(C2558/C2557)</f>
        <v>7.78858660912548E-005</v>
      </c>
      <c r="F2558" s="1" t="n">
        <f aca="false">B2558/B2557-1</f>
        <v>-0.00989965082261168</v>
      </c>
      <c r="G2558" s="1" t="n">
        <f aca="false">C2558/C2557-1</f>
        <v>7.78888992740701E-005</v>
      </c>
    </row>
    <row r="2559" customFormat="false" ht="15" hidden="false" customHeight="false" outlineLevel="0" collapsed="false">
      <c r="A2559" s="1" t="s">
        <v>2566</v>
      </c>
      <c r="B2559" s="5" t="n">
        <v>31.3801</v>
      </c>
      <c r="C2559" s="5" t="n">
        <v>12.8401</v>
      </c>
      <c r="D2559" s="1" t="n">
        <f aca="false">LN(B2559/B2558)</f>
        <v>-0.00299740576722889</v>
      </c>
      <c r="E2559" s="1" t="n">
        <f aca="false">LN(C2559/C2558)</f>
        <v>2.33645769658617E-005</v>
      </c>
      <c r="F2559" s="1" t="n">
        <f aca="false">B2559/B2558-1</f>
        <v>-0.0029929180315369</v>
      </c>
      <c r="G2559" s="1" t="n">
        <f aca="false">C2559/C2558-1</f>
        <v>2.33648499197159E-005</v>
      </c>
    </row>
    <row r="2560" customFormat="false" ht="15" hidden="false" customHeight="false" outlineLevel="0" collapsed="false">
      <c r="A2560" s="1" t="s">
        <v>2567</v>
      </c>
      <c r="B2560" s="5" t="n">
        <v>31.3115</v>
      </c>
      <c r="C2560" s="5" t="n">
        <v>12.8407</v>
      </c>
      <c r="D2560" s="1" t="n">
        <f aca="false">LN(B2560/B2559)</f>
        <v>-0.00218849183558736</v>
      </c>
      <c r="E2560" s="1" t="n">
        <f aca="false">LN(C2560/C2559)</f>
        <v>4.67275162853928E-005</v>
      </c>
      <c r="F2560" s="1" t="n">
        <f aca="false">B2560/B2559-1</f>
        <v>-0.00218609883333709</v>
      </c>
      <c r="G2560" s="1" t="n">
        <f aca="false">C2560/C2559-1</f>
        <v>4.67286080327867E-005</v>
      </c>
    </row>
    <row r="2561" customFormat="false" ht="15" hidden="false" customHeight="false" outlineLevel="0" collapsed="false">
      <c r="A2561" s="1" t="s">
        <v>2568</v>
      </c>
      <c r="B2561" s="5" t="n">
        <v>31.3095</v>
      </c>
      <c r="C2561" s="5" t="n">
        <v>12.8413</v>
      </c>
      <c r="D2561" s="1" t="n">
        <f aca="false">LN(B2561/B2560)</f>
        <v>-6.38763354363561E-005</v>
      </c>
      <c r="E2561" s="1" t="n">
        <f aca="false">LN(C2561/C2560)</f>
        <v>4.67253329264481E-005</v>
      </c>
      <c r="F2561" s="1" t="n">
        <f aca="false">B2561/B2560-1</f>
        <v>-6.38742953866789E-005</v>
      </c>
      <c r="G2561" s="1" t="n">
        <f aca="false">C2561/C2560-1</f>
        <v>4.67264245718191E-005</v>
      </c>
    </row>
    <row r="2562" customFormat="false" ht="15" hidden="false" customHeight="false" outlineLevel="0" collapsed="false">
      <c r="A2562" s="1" t="s">
        <v>2569</v>
      </c>
      <c r="B2562" s="5" t="n">
        <v>31.7144</v>
      </c>
      <c r="C2562" s="5" t="n">
        <v>12.8423</v>
      </c>
      <c r="D2562" s="1" t="n">
        <f aca="false">LN(B2562/B2561)</f>
        <v>0.0128492705421431</v>
      </c>
      <c r="E2562" s="1" t="n">
        <f aca="false">LN(C2562/C2561)</f>
        <v>7.78707035232124E-005</v>
      </c>
      <c r="F2562" s="1" t="n">
        <f aca="false">B2562/B2561-1</f>
        <v>0.0129321771347355</v>
      </c>
      <c r="G2562" s="1" t="n">
        <f aca="false">C2562/C2561-1</f>
        <v>7.78737355251469E-005</v>
      </c>
    </row>
    <row r="2563" customFormat="false" ht="15" hidden="false" customHeight="false" outlineLevel="0" collapsed="false">
      <c r="A2563" s="1" t="s">
        <v>2570</v>
      </c>
      <c r="B2563" s="5" t="n">
        <v>31.8204</v>
      </c>
      <c r="C2563" s="5" t="n">
        <v>12.8431</v>
      </c>
      <c r="D2563" s="1" t="n">
        <f aca="false">LN(B2563/B2562)</f>
        <v>0.00333675712679836</v>
      </c>
      <c r="E2563" s="1" t="n">
        <f aca="false">LN(C2563/C2562)</f>
        <v>6.22921971437344E-005</v>
      </c>
      <c r="F2563" s="1" t="n">
        <f aca="false">B2563/B2562-1</f>
        <v>0.00334233029790876</v>
      </c>
      <c r="G2563" s="1" t="n">
        <f aca="false">C2563/C2562-1</f>
        <v>6.22941373429331E-005</v>
      </c>
    </row>
    <row r="2564" customFormat="false" ht="15" hidden="false" customHeight="false" outlineLevel="0" collapsed="false">
      <c r="A2564" s="1" t="s">
        <v>2571</v>
      </c>
      <c r="B2564" s="5" t="n">
        <v>31.924</v>
      </c>
      <c r="C2564" s="5" t="n">
        <v>12.8424</v>
      </c>
      <c r="D2564" s="1" t="n">
        <f aca="false">LN(B2564/B2563)</f>
        <v>0.00325048447288732</v>
      </c>
      <c r="E2564" s="1" t="n">
        <f aca="false">LN(C2564/C2563)</f>
        <v>-5.45054602926489E-005</v>
      </c>
      <c r="F2564" s="1" t="n">
        <f aca="false">B2564/B2563-1</f>
        <v>0.00325577302610913</v>
      </c>
      <c r="G2564" s="1" t="n">
        <f aca="false">C2564/C2563-1</f>
        <v>-5.45039748970355E-005</v>
      </c>
    </row>
    <row r="2565" customFormat="false" ht="15" hidden="false" customHeight="false" outlineLevel="0" collapsed="false">
      <c r="A2565" s="1" t="s">
        <v>2572</v>
      </c>
      <c r="B2565" s="5" t="n">
        <v>31.6992</v>
      </c>
      <c r="C2565" s="5" t="n">
        <v>12.8432</v>
      </c>
      <c r="D2565" s="1" t="n">
        <f aca="false">LN(B2565/B2564)</f>
        <v>-0.00706663404203558</v>
      </c>
      <c r="E2565" s="1" t="n">
        <f aca="false">LN(C2565/C2564)</f>
        <v>6.22917121077398E-005</v>
      </c>
      <c r="F2565" s="1" t="n">
        <f aca="false">B2565/B2564-1</f>
        <v>-0.00704172409472492</v>
      </c>
      <c r="G2565" s="1" t="n">
        <f aca="false">C2565/C2564-1</f>
        <v>6.22936522767237E-005</v>
      </c>
    </row>
    <row r="2566" customFormat="false" ht="15" hidden="false" customHeight="false" outlineLevel="0" collapsed="false">
      <c r="A2566" s="1" t="s">
        <v>2573</v>
      </c>
      <c r="B2566" s="5" t="n">
        <v>31.573</v>
      </c>
      <c r="C2566" s="5" t="n">
        <v>12.8451</v>
      </c>
      <c r="D2566" s="1" t="n">
        <f aca="false">LN(B2566/B2565)</f>
        <v>-0.00398911899230348</v>
      </c>
      <c r="E2566" s="1" t="n">
        <f aca="false">LN(C2566/C2565)</f>
        <v>0.000147927266768656</v>
      </c>
      <c r="F2566" s="1" t="n">
        <f aca="false">B2566/B2565-1</f>
        <v>-0.00398117302644863</v>
      </c>
      <c r="G2566" s="1" t="n">
        <f aca="false">C2566/C2565-1</f>
        <v>0.000147938208546305</v>
      </c>
    </row>
    <row r="2567" customFormat="false" ht="15" hidden="false" customHeight="false" outlineLevel="0" collapsed="false">
      <c r="A2567" s="1" t="s">
        <v>2574</v>
      </c>
      <c r="B2567" s="5" t="n">
        <v>31.4164</v>
      </c>
      <c r="C2567" s="5" t="n">
        <v>12.8433</v>
      </c>
      <c r="D2567" s="1" t="n">
        <f aca="false">LN(B2567/B2566)</f>
        <v>-0.00497227541909718</v>
      </c>
      <c r="E2567" s="1" t="n">
        <f aca="false">LN(C2567/C2566)</f>
        <v>-0.000140141075578596</v>
      </c>
      <c r="F2567" s="1" t="n">
        <f aca="false">B2567/B2566-1</f>
        <v>-0.0049599341209261</v>
      </c>
      <c r="G2567" s="1" t="n">
        <f aca="false">C2567/C2566-1</f>
        <v>-0.000140131256276765</v>
      </c>
    </row>
    <row r="2568" customFormat="false" ht="15" hidden="false" customHeight="false" outlineLevel="0" collapsed="false">
      <c r="A2568" s="1" t="s">
        <v>2575</v>
      </c>
      <c r="B2568" s="5" t="n">
        <v>31.5798</v>
      </c>
      <c r="C2568" s="5" t="n">
        <v>12.8446</v>
      </c>
      <c r="D2568" s="1" t="n">
        <f aca="false">LN(B2568/B2567)</f>
        <v>0.00518762612488626</v>
      </c>
      <c r="E2568" s="1" t="n">
        <f aca="false">LN(C2568/C2567)</f>
        <v>0.000101214969001876</v>
      </c>
      <c r="F2568" s="1" t="n">
        <f aca="false">B2568/B2567-1</f>
        <v>0.00520110515526917</v>
      </c>
      <c r="G2568" s="1" t="n">
        <f aca="false">C2568/C2567-1</f>
        <v>0.000101220091409671</v>
      </c>
    </row>
    <row r="2569" customFormat="false" ht="15" hidden="false" customHeight="false" outlineLevel="0" collapsed="false">
      <c r="A2569" s="1" t="s">
        <v>2576</v>
      </c>
      <c r="B2569" s="5" t="n">
        <v>32.0418</v>
      </c>
      <c r="C2569" s="5" t="n">
        <v>12.8455</v>
      </c>
      <c r="D2569" s="1" t="n">
        <f aca="false">LN(B2569/B2568)</f>
        <v>0.0145236247122026</v>
      </c>
      <c r="E2569" s="1" t="n">
        <f aca="false">LN(C2569/C2568)</f>
        <v>7.00659009008745E-005</v>
      </c>
      <c r="F2569" s="1" t="n">
        <f aca="false">B2569/B2568-1</f>
        <v>0.0146296050006651</v>
      </c>
      <c r="G2569" s="1" t="n">
        <f aca="false">C2569/C2568-1</f>
        <v>7.00683555734383E-005</v>
      </c>
    </row>
    <row r="2570" customFormat="false" ht="15" hidden="false" customHeight="false" outlineLevel="0" collapsed="false">
      <c r="A2570" s="1" t="s">
        <v>2577</v>
      </c>
      <c r="B2570" s="5" t="n">
        <v>31.8691</v>
      </c>
      <c r="C2570" s="5" t="n">
        <v>12.8456</v>
      </c>
      <c r="D2570" s="1" t="n">
        <f aca="false">LN(B2570/B2569)</f>
        <v>-0.00540441209079672</v>
      </c>
      <c r="E2570" s="1" t="n">
        <f aca="false">LN(C2570/C2569)</f>
        <v>7.78479706979295E-006</v>
      </c>
      <c r="F2570" s="1" t="n">
        <f aca="false">B2570/B2569-1</f>
        <v>-0.00538983452864705</v>
      </c>
      <c r="G2570" s="1" t="n">
        <f aca="false">C2570/C2569-1</f>
        <v>7.78482737140429E-006</v>
      </c>
    </row>
    <row r="2571" customFormat="false" ht="15" hidden="false" customHeight="false" outlineLevel="0" collapsed="false">
      <c r="A2571" s="1" t="s">
        <v>2578</v>
      </c>
      <c r="B2571" s="5" t="n">
        <v>31.9539</v>
      </c>
      <c r="C2571" s="5" t="n">
        <v>12.8454</v>
      </c>
      <c r="D2571" s="1" t="n">
        <f aca="false">LN(B2571/B2570)</f>
        <v>0.00265735079521028</v>
      </c>
      <c r="E2571" s="1" t="n">
        <f aca="false">LN(C2571/C2570)</f>
        <v>-1.55696547432087E-005</v>
      </c>
      <c r="F2571" s="1" t="n">
        <f aca="false">B2571/B2570-1</f>
        <v>0.0026608846813998</v>
      </c>
      <c r="G2571" s="1" t="n">
        <f aca="false">C2571/C2570-1</f>
        <v>-1.55695335367634E-005</v>
      </c>
    </row>
    <row r="2572" customFormat="false" ht="15" hidden="false" customHeight="false" outlineLevel="0" collapsed="false">
      <c r="A2572" s="1" t="s">
        <v>2579</v>
      </c>
      <c r="B2572" s="5" t="n">
        <v>31.4792</v>
      </c>
      <c r="C2572" s="5" t="n">
        <v>12.8455</v>
      </c>
      <c r="D2572" s="1" t="n">
        <f aca="false">LN(B2572/B2571)</f>
        <v>-0.0149672288361509</v>
      </c>
      <c r="E2572" s="1" t="n">
        <f aca="false">LN(C2572/C2571)</f>
        <v>7.78485767328745E-006</v>
      </c>
      <c r="F2572" s="1" t="n">
        <f aca="false">B2572/B2571-1</f>
        <v>-0.0148557766031691</v>
      </c>
      <c r="G2572" s="1" t="n">
        <f aca="false">C2572/C2571-1</f>
        <v>7.78488797537058E-006</v>
      </c>
    </row>
    <row r="2573" customFormat="false" ht="15" hidden="false" customHeight="false" outlineLevel="0" collapsed="false">
      <c r="A2573" s="1" t="s">
        <v>2580</v>
      </c>
      <c r="B2573" s="5" t="n">
        <v>31.4882</v>
      </c>
      <c r="C2573" s="5" t="n">
        <v>12.846</v>
      </c>
      <c r="D2573" s="1" t="n">
        <f aca="false">LN(B2573/B2572)</f>
        <v>0.000285862210009945</v>
      </c>
      <c r="E2573" s="1" t="n">
        <f aca="false">LN(C2573/C2572)</f>
        <v>3.89233793326857E-005</v>
      </c>
      <c r="F2573" s="1" t="n">
        <f aca="false">B2573/B2572-1</f>
        <v>0.000285903072505089</v>
      </c>
      <c r="G2573" s="1" t="n">
        <f aca="false">C2573/C2572-1</f>
        <v>3.89241368572435E-005</v>
      </c>
    </row>
    <row r="2574" customFormat="false" ht="15" hidden="false" customHeight="false" outlineLevel="0" collapsed="false">
      <c r="A2574" s="1" t="s">
        <v>2581</v>
      </c>
      <c r="B2574" s="5" t="n">
        <v>31.2877</v>
      </c>
      <c r="C2574" s="5" t="n">
        <v>12.8474</v>
      </c>
      <c r="D2574" s="1" t="n">
        <f aca="false">LN(B2574/B2573)</f>
        <v>-0.00638782340902089</v>
      </c>
      <c r="E2574" s="1" t="n">
        <f aca="false">LN(C2574/C2573)</f>
        <v>0.000108977402864986</v>
      </c>
      <c r="F2574" s="1" t="n">
        <f aca="false">B2574/B2573-1</f>
        <v>-0.00636746463754667</v>
      </c>
      <c r="G2574" s="1" t="n">
        <f aca="false">C2574/C2573-1</f>
        <v>0.000108983341117863</v>
      </c>
    </row>
    <row r="2575" customFormat="false" ht="15" hidden="false" customHeight="false" outlineLevel="0" collapsed="false">
      <c r="A2575" s="1" t="s">
        <v>2582</v>
      </c>
      <c r="B2575" s="5" t="n">
        <v>31.1872</v>
      </c>
      <c r="C2575" s="5" t="n">
        <v>12.8476</v>
      </c>
      <c r="D2575" s="1" t="n">
        <f aca="false">LN(B2575/B2574)</f>
        <v>-0.0032172948396714</v>
      </c>
      <c r="E2575" s="1" t="n">
        <f aca="false">LN(C2575/C2574)</f>
        <v>1.55672309791684E-005</v>
      </c>
      <c r="F2575" s="1" t="n">
        <f aca="false">B2575/B2574-1</f>
        <v>-0.00321212489252964</v>
      </c>
      <c r="G2575" s="1" t="n">
        <f aca="false">C2575/C2574-1</f>
        <v>1.55673521491373E-005</v>
      </c>
    </row>
    <row r="2576" customFormat="false" ht="15" hidden="false" customHeight="false" outlineLevel="0" collapsed="false">
      <c r="A2576" s="1" t="s">
        <v>2583</v>
      </c>
      <c r="B2576" s="5" t="n">
        <v>31.505</v>
      </c>
      <c r="C2576" s="5" t="n">
        <v>12.8476</v>
      </c>
      <c r="D2576" s="1" t="n">
        <f aca="false">LN(B2576/B2575)</f>
        <v>0.0101385091670235</v>
      </c>
      <c r="E2576" s="1" t="n">
        <f aca="false">LN(C2576/C2575)</f>
        <v>0</v>
      </c>
      <c r="F2576" s="1" t="n">
        <f aca="false">B2576/B2575-1</f>
        <v>0.01019007798071</v>
      </c>
      <c r="G2576" s="1" t="n">
        <f aca="false">C2576/C2575-1</f>
        <v>0</v>
      </c>
    </row>
    <row r="2577" customFormat="false" ht="15" hidden="false" customHeight="false" outlineLevel="0" collapsed="false">
      <c r="A2577" s="1" t="s">
        <v>2584</v>
      </c>
      <c r="B2577" s="5" t="n">
        <v>31.8969</v>
      </c>
      <c r="C2577" s="5" t="n">
        <v>12.8475</v>
      </c>
      <c r="D2577" s="1" t="n">
        <f aca="false">LN(B2577/B2576)</f>
        <v>0.0123625629912402</v>
      </c>
      <c r="E2577" s="1" t="n">
        <f aca="false">LN(C2577/C2576)</f>
        <v>-7.78358519718147E-006</v>
      </c>
      <c r="F2577" s="1" t="n">
        <f aca="false">B2577/B2576-1</f>
        <v>0.0124392953499444</v>
      </c>
      <c r="G2577" s="1" t="n">
        <f aca="false">C2577/C2576-1</f>
        <v>-7.78355490516081E-006</v>
      </c>
    </row>
    <row r="2578" customFormat="false" ht="15" hidden="false" customHeight="false" outlineLevel="0" collapsed="false">
      <c r="A2578" s="1" t="s">
        <v>2585</v>
      </c>
      <c r="B2578" s="5" t="n">
        <v>32.3289</v>
      </c>
      <c r="C2578" s="5" t="n">
        <v>12.8479</v>
      </c>
      <c r="D2578" s="1" t="n">
        <f aca="false">LN(B2578/B2577)</f>
        <v>0.0134527406470502</v>
      </c>
      <c r="E2578" s="1" t="n">
        <f aca="false">LN(C2578/C2577)</f>
        <v>3.11339772901597E-005</v>
      </c>
      <c r="F2578" s="1" t="n">
        <f aca="false">B2578/B2577-1</f>
        <v>0.0135436359019214</v>
      </c>
      <c r="G2578" s="1" t="n">
        <f aca="false">C2578/C2577-1</f>
        <v>3.11344619574605E-005</v>
      </c>
    </row>
    <row r="2579" customFormat="false" ht="15" hidden="false" customHeight="false" outlineLevel="0" collapsed="false">
      <c r="A2579" s="1" t="s">
        <v>2586</v>
      </c>
      <c r="B2579" s="5" t="n">
        <v>32.4752</v>
      </c>
      <c r="C2579" s="5" t="n">
        <v>12.8476</v>
      </c>
      <c r="D2579" s="1" t="n">
        <f aca="false">LN(B2579/B2578)</f>
        <v>0.00451515408891564</v>
      </c>
      <c r="E2579" s="1" t="n">
        <f aca="false">LN(C2579/C2578)</f>
        <v>-2.33503920930245E-005</v>
      </c>
      <c r="F2579" s="1" t="n">
        <f aca="false">B2579/B2578-1</f>
        <v>0.0045253627559243</v>
      </c>
      <c r="G2579" s="1" t="n">
        <f aca="false">C2579/C2578-1</f>
        <v>-2.3350119474741E-005</v>
      </c>
    </row>
    <row r="2580" customFormat="false" ht="15" hidden="false" customHeight="false" outlineLevel="0" collapsed="false">
      <c r="A2580" s="1" t="s">
        <v>2587</v>
      </c>
      <c r="B2580" s="5" t="n">
        <v>32.835</v>
      </c>
      <c r="C2580" s="5" t="n">
        <v>12.8476</v>
      </c>
      <c r="D2580" s="1" t="n">
        <f aca="false">LN(B2580/B2579)</f>
        <v>0.0110182985217109</v>
      </c>
      <c r="E2580" s="1" t="n">
        <f aca="false">LN(C2580/C2579)</f>
        <v>0</v>
      </c>
      <c r="F2580" s="1" t="n">
        <f aca="false">B2580/B2579-1</f>
        <v>0.011079223530571</v>
      </c>
      <c r="G2580" s="1" t="n">
        <f aca="false">C2580/C2579-1</f>
        <v>0</v>
      </c>
    </row>
    <row r="2581" customFormat="false" ht="15" hidden="false" customHeight="false" outlineLevel="0" collapsed="false">
      <c r="A2581" s="1" t="s">
        <v>2588</v>
      </c>
      <c r="B2581" s="5" t="n">
        <v>33.2792</v>
      </c>
      <c r="C2581" s="5" t="n">
        <v>12.8473</v>
      </c>
      <c r="D2581" s="1" t="n">
        <f aca="false">LN(B2581/B2580)</f>
        <v>0.0134375575596051</v>
      </c>
      <c r="E2581" s="1" t="n">
        <f aca="false">LN(C2581/C2580)</f>
        <v>-2.33509373464978E-005</v>
      </c>
      <c r="F2581" s="1" t="n">
        <f aca="false">B2581/B2580-1</f>
        <v>0.0135282472970917</v>
      </c>
      <c r="G2581" s="1" t="n">
        <f aca="false">C2581/C2580-1</f>
        <v>-2.33506647154824E-005</v>
      </c>
    </row>
    <row r="2582" customFormat="false" ht="15" hidden="false" customHeight="false" outlineLevel="0" collapsed="false">
      <c r="A2582" s="1" t="s">
        <v>2589</v>
      </c>
      <c r="B2582" s="5" t="n">
        <v>33.0369</v>
      </c>
      <c r="C2582" s="5" t="n">
        <v>12.8482</v>
      </c>
      <c r="D2582" s="1" t="n">
        <f aca="false">LN(B2582/B2581)</f>
        <v>-0.00730745861752637</v>
      </c>
      <c r="E2582" s="1" t="n">
        <f aca="false">LN(C2582/C2581)</f>
        <v>7.00511763046661E-005</v>
      </c>
      <c r="F2582" s="1" t="n">
        <f aca="false">B2582/B2581-1</f>
        <v>-0.00728082405827069</v>
      </c>
      <c r="G2582" s="1" t="n">
        <f aca="false">C2582/C2581-1</f>
        <v>7.005362994561E-005</v>
      </c>
    </row>
    <row r="2583" customFormat="false" ht="15" hidden="false" customHeight="false" outlineLevel="0" collapsed="false">
      <c r="A2583" s="1" t="s">
        <v>2590</v>
      </c>
      <c r="B2583" s="5" t="n">
        <v>33.1025</v>
      </c>
      <c r="C2583" s="5" t="n">
        <v>12.8493</v>
      </c>
      <c r="D2583" s="1" t="n">
        <f aca="false">LN(B2583/B2582)</f>
        <v>0.00198368964676006</v>
      </c>
      <c r="E2583" s="1" t="n">
        <f aca="false">LN(C2583/C2582)</f>
        <v>8.5611440853903E-005</v>
      </c>
      <c r="F2583" s="1" t="n">
        <f aca="false">B2583/B2582-1</f>
        <v>0.00198565846069076</v>
      </c>
      <c r="G2583" s="1" t="n">
        <f aca="false">C2583/C2582-1</f>
        <v>8.56151056178867E-005</v>
      </c>
    </row>
    <row r="2584" customFormat="false" ht="15" hidden="false" customHeight="false" outlineLevel="0" collapsed="false">
      <c r="A2584" s="1" t="s">
        <v>2591</v>
      </c>
      <c r="B2584" s="5" t="n">
        <v>32.9571</v>
      </c>
      <c r="C2584" s="5" t="n">
        <v>12.8504</v>
      </c>
      <c r="D2584" s="1" t="n">
        <f aca="false">LN(B2584/B2583)</f>
        <v>-0.00440209249834273</v>
      </c>
      <c r="E2584" s="1" t="n">
        <f aca="false">LN(C2584/C2583)</f>
        <v>8.56041121626153E-005</v>
      </c>
      <c r="F2584" s="1" t="n">
        <f aca="false">B2584/B2583-1</f>
        <v>-0.00439241749112607</v>
      </c>
      <c r="G2584" s="1" t="n">
        <f aca="false">C2584/C2583-1</f>
        <v>8.56077762991792E-005</v>
      </c>
    </row>
    <row r="2585" customFormat="false" ht="15" hidden="false" customHeight="false" outlineLevel="0" collapsed="false">
      <c r="A2585" s="1" t="s">
        <v>2592</v>
      </c>
      <c r="B2585" s="5" t="n">
        <v>33.5568</v>
      </c>
      <c r="C2585" s="5" t="n">
        <v>12.8502</v>
      </c>
      <c r="D2585" s="1" t="n">
        <f aca="false">LN(B2585/B2584)</f>
        <v>0.0180328097102615</v>
      </c>
      <c r="E2585" s="1" t="n">
        <f aca="false">LN(C2585/C2584)</f>
        <v>-1.55638389769581E-005</v>
      </c>
      <c r="F2585" s="1" t="n">
        <f aca="false">B2585/B2584-1</f>
        <v>0.0181963825700686</v>
      </c>
      <c r="G2585" s="1" t="n">
        <f aca="false">C2585/C2584-1</f>
        <v>-1.55637178610446E-005</v>
      </c>
    </row>
    <row r="2586" customFormat="false" ht="15" hidden="false" customHeight="false" outlineLevel="0" collapsed="false">
      <c r="A2586" s="1" t="s">
        <v>2593</v>
      </c>
      <c r="B2586" s="5" t="n">
        <v>33.7319</v>
      </c>
      <c r="C2586" s="5" t="n">
        <v>12.8499</v>
      </c>
      <c r="D2586" s="1" t="n">
        <f aca="false">LN(B2586/B2585)</f>
        <v>0.00520445172025449</v>
      </c>
      <c r="E2586" s="1" t="n">
        <f aca="false">LN(C2586/C2585)</f>
        <v>-2.33462126616751E-005</v>
      </c>
      <c r="F2586" s="1" t="n">
        <f aca="false">B2586/B2585-1</f>
        <v>0.00521801840461555</v>
      </c>
      <c r="G2586" s="1" t="n">
        <f aca="false">C2586/C2585-1</f>
        <v>-2.3345940140973E-005</v>
      </c>
    </row>
    <row r="2587" customFormat="false" ht="15" hidden="false" customHeight="false" outlineLevel="0" collapsed="false">
      <c r="A2587" s="1" t="s">
        <v>2594</v>
      </c>
      <c r="B2587" s="5" t="n">
        <v>33.5056</v>
      </c>
      <c r="C2587" s="5" t="n">
        <v>12.8507</v>
      </c>
      <c r="D2587" s="1" t="n">
        <f aca="false">LN(B2587/B2586)</f>
        <v>-0.00673138812419711</v>
      </c>
      <c r="E2587" s="1" t="n">
        <f aca="false">LN(C2587/C2586)</f>
        <v>6.22553559262506E-005</v>
      </c>
      <c r="F2587" s="1" t="n">
        <f aca="false">B2587/B2586-1</f>
        <v>-0.00670878308070411</v>
      </c>
      <c r="G2587" s="1" t="n">
        <f aca="false">C2587/C2586-1</f>
        <v>6.22572938311361E-005</v>
      </c>
    </row>
    <row r="2588" customFormat="false" ht="15" hidden="false" customHeight="false" outlineLevel="0" collapsed="false">
      <c r="A2588" s="1" t="s">
        <v>2595</v>
      </c>
      <c r="B2588" s="5" t="n">
        <v>33.3208</v>
      </c>
      <c r="C2588" s="5" t="n">
        <v>12.8505</v>
      </c>
      <c r="D2588" s="1" t="n">
        <f aca="false">LN(B2588/B2587)</f>
        <v>-0.00553076242549328</v>
      </c>
      <c r="E2588" s="1" t="n">
        <f aca="false">LN(C2588/C2587)</f>
        <v>-1.55634756356084E-005</v>
      </c>
      <c r="F2588" s="1" t="n">
        <f aca="false">B2588/B2587-1</f>
        <v>-0.00551549591710054</v>
      </c>
      <c r="G2588" s="1" t="n">
        <f aca="false">C2588/C2587-1</f>
        <v>-1.55633545253497E-005</v>
      </c>
    </row>
    <row r="2589" customFormat="false" ht="15" hidden="false" customHeight="false" outlineLevel="0" collapsed="false">
      <c r="A2589" s="1" t="s">
        <v>2596</v>
      </c>
      <c r="B2589" s="5" t="n">
        <v>33.3114</v>
      </c>
      <c r="C2589" s="5" t="n">
        <v>12.8506</v>
      </c>
      <c r="D2589" s="1" t="n">
        <f aca="false">LN(B2589/B2588)</f>
        <v>-0.000282145871286234</v>
      </c>
      <c r="E2589" s="1" t="n">
        <f aca="false">LN(C2589/C2588)</f>
        <v>7.78176809564909E-006</v>
      </c>
      <c r="F2589" s="1" t="n">
        <f aca="false">B2589/B2588-1</f>
        <v>-0.000282106071883059</v>
      </c>
      <c r="G2589" s="1" t="n">
        <f aca="false">C2589/C2588-1</f>
        <v>7.78179837368498E-006</v>
      </c>
    </row>
    <row r="2590" customFormat="false" ht="15" hidden="false" customHeight="false" outlineLevel="0" collapsed="false">
      <c r="A2590" s="1" t="s">
        <v>2597</v>
      </c>
      <c r="B2590" s="5" t="n">
        <v>33.6664</v>
      </c>
      <c r="C2590" s="5" t="n">
        <v>12.851</v>
      </c>
      <c r="D2590" s="1" t="n">
        <f aca="false">LN(B2590/B2589)</f>
        <v>0.0106006266067296</v>
      </c>
      <c r="E2590" s="1" t="n">
        <f aca="false">LN(C2590/C2589)</f>
        <v>3.11264668372262E-005</v>
      </c>
      <c r="F2590" s="1" t="n">
        <f aca="false">B2590/B2589-1</f>
        <v>0.0106570123141028</v>
      </c>
      <c r="G2590" s="1" t="n">
        <f aca="false">C2590/C2589-1</f>
        <v>3.11269512707213E-005</v>
      </c>
    </row>
    <row r="2591" customFormat="false" ht="15" hidden="false" customHeight="false" outlineLevel="0" collapsed="false">
      <c r="A2591" s="1" t="s">
        <v>2598</v>
      </c>
      <c r="B2591" s="5" t="n">
        <v>34.0885</v>
      </c>
      <c r="C2591" s="5" t="n">
        <v>12.8515</v>
      </c>
      <c r="D2591" s="1" t="n">
        <f aca="false">LN(B2591/B2590)</f>
        <v>0.0124597766586663</v>
      </c>
      <c r="E2591" s="1" t="n">
        <f aca="false">LN(C2591/C2590)</f>
        <v>3.89067211408675E-005</v>
      </c>
      <c r="F2591" s="1" t="n">
        <f aca="false">B2591/B2590-1</f>
        <v>0.0125377230710739</v>
      </c>
      <c r="G2591" s="1" t="n">
        <f aca="false">C2591/C2590-1</f>
        <v>3.89074780171583E-005</v>
      </c>
    </row>
    <row r="2592" customFormat="false" ht="15" hidden="false" customHeight="false" outlineLevel="0" collapsed="false">
      <c r="A2592" s="1" t="s">
        <v>2599</v>
      </c>
      <c r="B2592" s="5" t="n">
        <v>34.1236</v>
      </c>
      <c r="C2592" s="5" t="n">
        <v>12.8528</v>
      </c>
      <c r="D2592" s="1" t="n">
        <f aca="false">LN(B2592/B2591)</f>
        <v>0.00102914301415643</v>
      </c>
      <c r="E2592" s="1" t="n">
        <f aca="false">LN(C2592/C2591)</f>
        <v>0.000101150391265978</v>
      </c>
      <c r="F2592" s="1" t="n">
        <f aca="false">B2592/B2591-1</f>
        <v>0.00102967276354193</v>
      </c>
      <c r="G2592" s="1" t="n">
        <f aca="false">C2592/C2591-1</f>
        <v>0.000101155507139294</v>
      </c>
    </row>
    <row r="2593" customFormat="false" ht="15" hidden="false" customHeight="false" outlineLevel="0" collapsed="false">
      <c r="A2593" s="1" t="s">
        <v>2600</v>
      </c>
      <c r="B2593" s="5" t="n">
        <v>34.3194</v>
      </c>
      <c r="C2593" s="5" t="n">
        <v>12.8531</v>
      </c>
      <c r="D2593" s="1" t="n">
        <f aca="false">LN(B2593/B2592)</f>
        <v>0.00572156492693444</v>
      </c>
      <c r="E2593" s="1" t="n">
        <f aca="false">LN(C2593/C2592)</f>
        <v>2.33409450759567E-005</v>
      </c>
      <c r="F2593" s="1" t="n">
        <f aca="false">B2593/B2592-1</f>
        <v>0.00573796434139418</v>
      </c>
      <c r="G2593" s="1" t="n">
        <f aca="false">C2593/C2592-1</f>
        <v>2.33412174779346E-005</v>
      </c>
    </row>
    <row r="2594" customFormat="false" ht="15" hidden="false" customHeight="false" outlineLevel="0" collapsed="false">
      <c r="A2594" s="1" t="s">
        <v>2601</v>
      </c>
      <c r="B2594" s="5" t="n">
        <v>35.5621</v>
      </c>
      <c r="C2594" s="5" t="n">
        <v>12.8537</v>
      </c>
      <c r="D2594" s="1" t="n">
        <f aca="false">LN(B2594/B2593)</f>
        <v>0.0355696720706712</v>
      </c>
      <c r="E2594" s="1" t="n">
        <f aca="false">LN(C2594/C2593)</f>
        <v>4.66802558162527E-005</v>
      </c>
      <c r="F2594" s="1" t="n">
        <f aca="false">B2594/B2593-1</f>
        <v>0.0362098404983771</v>
      </c>
      <c r="G2594" s="1" t="n">
        <f aca="false">C2594/C2593-1</f>
        <v>4.66813453563475E-005</v>
      </c>
    </row>
    <row r="2595" customFormat="false" ht="15" hidden="false" customHeight="false" outlineLevel="0" collapsed="false">
      <c r="A2595" s="1" t="s">
        <v>2602</v>
      </c>
      <c r="B2595" s="5" t="n">
        <v>35.8524</v>
      </c>
      <c r="C2595" s="5" t="n">
        <v>12.854</v>
      </c>
      <c r="D2595" s="1" t="n">
        <f aca="false">LN(B2595/B2594)</f>
        <v>0.00813004639143753</v>
      </c>
      <c r="E2595" s="1" t="n">
        <f aca="false">LN(C2595/C2594)</f>
        <v>2.33393107912023E-005</v>
      </c>
      <c r="F2595" s="1" t="n">
        <f aca="false">B2595/B2594-1</f>
        <v>0.00816318496376756</v>
      </c>
      <c r="G2595" s="1" t="n">
        <f aca="false">C2595/C2594-1</f>
        <v>2.33395831550354E-005</v>
      </c>
    </row>
    <row r="2596" customFormat="false" ht="15" hidden="false" customHeight="false" outlineLevel="0" collapsed="false">
      <c r="A2596" s="1" t="s">
        <v>2603</v>
      </c>
      <c r="B2596" s="5" t="n">
        <v>35.8344</v>
      </c>
      <c r="C2596" s="5" t="n">
        <v>12.8541</v>
      </c>
      <c r="D2596" s="1" t="n">
        <f aca="false">LN(B2596/B2595)</f>
        <v>-0.000502184513140058</v>
      </c>
      <c r="E2596" s="1" t="n">
        <f aca="false">LN(C2596/C2595)</f>
        <v>7.77964921574387E-006</v>
      </c>
      <c r="F2596" s="1" t="n">
        <f aca="false">B2596/B2595-1</f>
        <v>-0.000502058439602382</v>
      </c>
      <c r="G2596" s="1" t="n">
        <f aca="false">C2596/C2595-1</f>
        <v>7.7796794772933E-006</v>
      </c>
    </row>
    <row r="2597" customFormat="false" ht="15" hidden="false" customHeight="false" outlineLevel="0" collapsed="false">
      <c r="A2597" s="1" t="s">
        <v>2604</v>
      </c>
      <c r="B2597" s="5" t="n">
        <v>36.6546</v>
      </c>
      <c r="C2597" s="5" t="n">
        <v>12.8546</v>
      </c>
      <c r="D2597" s="1" t="n">
        <f aca="false">LN(B2597/B2596)</f>
        <v>0.0226306061544925</v>
      </c>
      <c r="E2597" s="1" t="n">
        <f aca="false">LN(C2597/C2596)</f>
        <v>3.88973382599297E-005</v>
      </c>
      <c r="F2597" s="1" t="n">
        <f aca="false">B2597/B2596-1</f>
        <v>0.0228886209898869</v>
      </c>
      <c r="G2597" s="1" t="n">
        <f aca="false">C2597/C2596-1</f>
        <v>3.88980947712003E-005</v>
      </c>
    </row>
    <row r="2598" customFormat="false" ht="15" hidden="false" customHeight="false" outlineLevel="0" collapsed="false">
      <c r="A2598" s="1" t="s">
        <v>2605</v>
      </c>
      <c r="B2598" s="5" t="n">
        <v>36.3799</v>
      </c>
      <c r="C2598" s="5" t="n">
        <v>12.8546</v>
      </c>
      <c r="D2598" s="1" t="n">
        <f aca="false">LN(B2598/B2597)</f>
        <v>-0.00752250772977751</v>
      </c>
      <c r="E2598" s="1" t="n">
        <f aca="false">LN(C2598/C2597)</f>
        <v>0</v>
      </c>
      <c r="F2598" s="1" t="n">
        <f aca="false">B2598/B2597-1</f>
        <v>-0.00749428448271161</v>
      </c>
      <c r="G2598" s="1" t="n">
        <f aca="false">C2598/C2597-1</f>
        <v>0</v>
      </c>
    </row>
    <row r="2599" customFormat="false" ht="15" hidden="false" customHeight="false" outlineLevel="0" collapsed="false">
      <c r="A2599" s="1" t="s">
        <v>2606</v>
      </c>
      <c r="B2599" s="5" t="n">
        <v>36.5368</v>
      </c>
      <c r="C2599" s="5" t="n">
        <v>12.8547</v>
      </c>
      <c r="D2599" s="1" t="n">
        <f aca="false">LN(B2599/B2598)</f>
        <v>0.004303547531793</v>
      </c>
      <c r="E2599" s="1" t="n">
        <f aca="false">LN(C2599/C2598)</f>
        <v>7.77928609503752E-006</v>
      </c>
      <c r="F2599" s="1" t="n">
        <f aca="false">B2599/B2598-1</f>
        <v>0.00431282109076725</v>
      </c>
      <c r="G2599" s="1" t="n">
        <f aca="false">C2599/C2598-1</f>
        <v>7.77931635376206E-006</v>
      </c>
    </row>
    <row r="2600" customFormat="false" ht="15" hidden="false" customHeight="false" outlineLevel="0" collapsed="false">
      <c r="A2600" s="1" t="s">
        <v>2607</v>
      </c>
      <c r="B2600" s="5" t="n">
        <v>37.0724</v>
      </c>
      <c r="C2600" s="5" t="n">
        <v>12.8553</v>
      </c>
      <c r="D2600" s="1" t="n">
        <f aca="false">LN(B2600/B2599)</f>
        <v>0.0145527855912914</v>
      </c>
      <c r="E2600" s="1" t="n">
        <f aca="false">LN(C2600/C2599)</f>
        <v>4.6674445749469E-005</v>
      </c>
      <c r="F2600" s="1" t="n">
        <f aca="false">B2600/B2599-1</f>
        <v>0.0146591929232993</v>
      </c>
      <c r="G2600" s="1" t="n">
        <f aca="false">C2600/C2599-1</f>
        <v>4.6675535018359E-005</v>
      </c>
    </row>
    <row r="2601" customFormat="false" ht="15" hidden="false" customHeight="false" outlineLevel="0" collapsed="false">
      <c r="A2601" s="1" t="s">
        <v>2608</v>
      </c>
      <c r="B2601" s="5" t="n">
        <v>37.1993</v>
      </c>
      <c r="C2601" s="5" t="n">
        <v>12.8554</v>
      </c>
      <c r="D2601" s="1" t="n">
        <f aca="false">LN(B2601/B2600)</f>
        <v>0.0034171864515279</v>
      </c>
      <c r="E2601" s="1" t="n">
        <f aca="false">LN(C2601/C2600)</f>
        <v>7.77886249695653E-006</v>
      </c>
      <c r="F2601" s="1" t="n">
        <f aca="false">B2601/B2600-1</f>
        <v>0.00342303168934288</v>
      </c>
      <c r="G2601" s="1" t="n">
        <f aca="false">C2601/C2600-1</f>
        <v>7.77889275238586E-006</v>
      </c>
    </row>
    <row r="2602" customFormat="false" ht="15" hidden="false" customHeight="false" outlineLevel="0" collapsed="false">
      <c r="A2602" s="1" t="s">
        <v>2609</v>
      </c>
      <c r="B2602" s="5" t="n">
        <v>37.8437</v>
      </c>
      <c r="C2602" s="5" t="n">
        <v>12.856</v>
      </c>
      <c r="D2602" s="1" t="n">
        <f aca="false">LN(B2602/B2601)</f>
        <v>0.0171745756326084</v>
      </c>
      <c r="E2602" s="1" t="n">
        <f aca="false">LN(C2602/C2601)</f>
        <v>4.66719043000222E-005</v>
      </c>
      <c r="F2602" s="1" t="n">
        <f aca="false">B2602/B2601-1</f>
        <v>0.0173229066138341</v>
      </c>
      <c r="G2602" s="1" t="n">
        <f aca="false">C2602/C2601-1</f>
        <v>4.66729934502919E-005</v>
      </c>
    </row>
    <row r="2603" customFormat="false" ht="15" hidden="false" customHeight="false" outlineLevel="0" collapsed="false">
      <c r="A2603" s="1" t="s">
        <v>2610</v>
      </c>
      <c r="B2603" s="5" t="n">
        <v>37.53</v>
      </c>
      <c r="C2603" s="5" t="n">
        <v>12.8566</v>
      </c>
      <c r="D2603" s="1" t="n">
        <f aca="false">LN(B2603/B2602)</f>
        <v>-0.00832390638343283</v>
      </c>
      <c r="E2603" s="1" t="n">
        <f aca="false">LN(C2603/C2602)</f>
        <v>4.66697261350032E-005</v>
      </c>
      <c r="F2603" s="1" t="n">
        <f aca="false">B2603/B2602-1</f>
        <v>-0.00828935859865698</v>
      </c>
      <c r="G2603" s="1" t="n">
        <f aca="false">C2603/C2602-1</f>
        <v>4.66708151836137E-005</v>
      </c>
    </row>
    <row r="2604" customFormat="false" ht="15" hidden="false" customHeight="false" outlineLevel="0" collapsed="false">
      <c r="A2604" s="1" t="s">
        <v>2611</v>
      </c>
      <c r="B2604" s="5" t="n">
        <v>37.5013</v>
      </c>
      <c r="C2604" s="5" t="n">
        <v>12.8567</v>
      </c>
      <c r="D2604" s="1" t="n">
        <f aca="false">LN(B2604/B2603)</f>
        <v>-0.000765014104772737</v>
      </c>
      <c r="E2604" s="1" t="n">
        <f aca="false">LN(C2604/C2603)</f>
        <v>7.77807593737333E-006</v>
      </c>
      <c r="F2604" s="1" t="n">
        <f aca="false">B2604/B2603-1</f>
        <v>-0.000764721556088532</v>
      </c>
      <c r="G2604" s="1" t="n">
        <f aca="false">C2604/C2603-1</f>
        <v>7.7781061866844E-006</v>
      </c>
    </row>
    <row r="2605" customFormat="false" ht="15" hidden="false" customHeight="false" outlineLevel="0" collapsed="false">
      <c r="A2605" s="1" t="s">
        <v>2612</v>
      </c>
      <c r="B2605" s="5" t="n">
        <v>37.7858</v>
      </c>
      <c r="C2605" s="5" t="n">
        <v>12.857</v>
      </c>
      <c r="D2605" s="1" t="n">
        <f aca="false">LN(B2605/B2604)</f>
        <v>0.00755777162931292</v>
      </c>
      <c r="E2605" s="1" t="n">
        <f aca="false">LN(C2605/C2604)</f>
        <v>2.33338648278265E-005</v>
      </c>
      <c r="F2605" s="1" t="n">
        <f aca="false">B2605/B2604-1</f>
        <v>0.00758640367133934</v>
      </c>
      <c r="G2605" s="1" t="n">
        <f aca="false">C2605/C2604-1</f>
        <v>2.33341370645679E-005</v>
      </c>
    </row>
    <row r="2606" customFormat="false" ht="15" hidden="false" customHeight="false" outlineLevel="0" collapsed="false">
      <c r="A2606" s="1" t="s">
        <v>2613</v>
      </c>
      <c r="B2606" s="5" t="n">
        <v>38.3963</v>
      </c>
      <c r="C2606" s="5" t="n">
        <v>12.8601</v>
      </c>
      <c r="D2606" s="1" t="n">
        <f aca="false">LN(B2606/B2605)</f>
        <v>0.0160277301131837</v>
      </c>
      <c r="E2606" s="1" t="n">
        <f aca="false">LN(C2606/C2605)</f>
        <v>0.000241084726894942</v>
      </c>
      <c r="F2606" s="1" t="n">
        <f aca="false">B2606/B2605-1</f>
        <v>0.0161568631602347</v>
      </c>
      <c r="G2606" s="1" t="n">
        <f aca="false">C2606/C2605-1</f>
        <v>0.000241113790153236</v>
      </c>
    </row>
    <row r="2607" customFormat="false" ht="15" hidden="false" customHeight="false" outlineLevel="0" collapsed="false">
      <c r="A2607" s="1" t="s">
        <v>2614</v>
      </c>
      <c r="B2607" s="5" t="n">
        <v>38.7735</v>
      </c>
      <c r="C2607" s="5" t="n">
        <v>12.86</v>
      </c>
      <c r="D2607" s="1" t="n">
        <f aca="false">LN(B2607/B2606)</f>
        <v>0.00977592281014018</v>
      </c>
      <c r="E2607" s="1" t="n">
        <f aca="false">LN(C2607/C2606)</f>
        <v>-7.77601953340201E-006</v>
      </c>
      <c r="F2607" s="1" t="n">
        <f aca="false">B2607/B2606-1</f>
        <v>0.00982386323682238</v>
      </c>
      <c r="G2607" s="1" t="n">
        <f aca="false">C2607/C2606-1</f>
        <v>-7.77598930024048E-006</v>
      </c>
    </row>
    <row r="2608" customFormat="false" ht="15" hidden="false" customHeight="false" outlineLevel="0" collapsed="false">
      <c r="A2608" s="1" t="s">
        <v>2615</v>
      </c>
      <c r="B2608" s="5" t="n">
        <v>38.7676</v>
      </c>
      <c r="C2608" s="5" t="n">
        <v>12.8601</v>
      </c>
      <c r="D2608" s="1" t="n">
        <f aca="false">LN(B2608/B2607)</f>
        <v>-0.000152177361718706</v>
      </c>
      <c r="E2608" s="1" t="n">
        <f aca="false">LN(C2608/C2607)</f>
        <v>7.77601953344291E-006</v>
      </c>
      <c r="F2608" s="1" t="n">
        <f aca="false">B2608/B2607-1</f>
        <v>-0.000152165783331326</v>
      </c>
      <c r="G2608" s="1" t="n">
        <f aca="false">C2608/C2607-1</f>
        <v>7.77604976676116E-006</v>
      </c>
    </row>
    <row r="2609" customFormat="false" ht="15" hidden="false" customHeight="false" outlineLevel="0" collapsed="false">
      <c r="A2609" s="1" t="s">
        <v>2616</v>
      </c>
      <c r="B2609" s="5" t="n">
        <v>37.3853</v>
      </c>
      <c r="C2609" s="5" t="n">
        <v>12.86</v>
      </c>
      <c r="D2609" s="1" t="n">
        <f aca="false">LN(B2609/B2608)</f>
        <v>-0.0363072672045927</v>
      </c>
      <c r="E2609" s="1" t="n">
        <f aca="false">LN(C2609/C2608)</f>
        <v>-7.77601953340201E-006</v>
      </c>
      <c r="F2609" s="1" t="n">
        <f aca="false">B2609/B2608-1</f>
        <v>-0.0356560633105996</v>
      </c>
      <c r="G2609" s="1" t="n">
        <f aca="false">C2609/C2608-1</f>
        <v>-7.77598930024048E-006</v>
      </c>
    </row>
    <row r="2610" customFormat="false" ht="15" hidden="false" customHeight="false" outlineLevel="0" collapsed="false">
      <c r="A2610" s="1" t="s">
        <v>2617</v>
      </c>
      <c r="B2610" s="5" t="n">
        <v>35.3944</v>
      </c>
      <c r="C2610" s="5" t="n">
        <v>12.8608</v>
      </c>
      <c r="D2610" s="1" t="n">
        <f aca="false">LN(B2610/B2609)</f>
        <v>-0.0547239634928374</v>
      </c>
      <c r="E2610" s="1" t="n">
        <f aca="false">LN(C2610/C2609)</f>
        <v>6.22064632714887E-005</v>
      </c>
      <c r="F2610" s="1" t="n">
        <f aca="false">B2610/B2609-1</f>
        <v>-0.053253551529612</v>
      </c>
      <c r="G2610" s="1" t="n">
        <f aca="false">C2610/C2609-1</f>
        <v>6.22083981336452E-005</v>
      </c>
    </row>
    <row r="2611" customFormat="false" ht="15" hidden="false" customHeight="false" outlineLevel="0" collapsed="false">
      <c r="A2611" s="1" t="s">
        <v>2618</v>
      </c>
      <c r="B2611" s="5" t="n">
        <v>36.1863</v>
      </c>
      <c r="C2611" s="5" t="n">
        <v>12.8605</v>
      </c>
      <c r="D2611" s="1" t="n">
        <f aca="false">LN(B2611/B2610)</f>
        <v>0.0221269786259821</v>
      </c>
      <c r="E2611" s="1" t="n">
        <f aca="false">LN(C2611/C2610)</f>
        <v>-2.33269702552673E-005</v>
      </c>
      <c r="F2611" s="1" t="n">
        <f aca="false">B2611/B2610-1</f>
        <v>0.0223735958230682</v>
      </c>
      <c r="G2611" s="1" t="n">
        <f aca="false">C2611/C2610-1</f>
        <v>-2.33266981836122E-005</v>
      </c>
    </row>
    <row r="2612" customFormat="false" ht="15" hidden="false" customHeight="false" outlineLevel="0" collapsed="false">
      <c r="A2612" s="1" t="s">
        <v>2619</v>
      </c>
      <c r="B2612" s="5" t="n">
        <v>35.9649</v>
      </c>
      <c r="C2612" s="5" t="n">
        <v>12.8605</v>
      </c>
      <c r="D2612" s="1" t="n">
        <f aca="false">LN(B2612/B2611)</f>
        <v>-0.00613713132719606</v>
      </c>
      <c r="E2612" s="1" t="n">
        <f aca="false">LN(C2612/C2611)</f>
        <v>0</v>
      </c>
      <c r="F2612" s="1" t="n">
        <f aca="false">B2612/B2611-1</f>
        <v>-0.00611833760290503</v>
      </c>
      <c r="G2612" s="1" t="n">
        <f aca="false">C2612/C2611-1</f>
        <v>0</v>
      </c>
    </row>
    <row r="2613" customFormat="false" ht="15" hidden="false" customHeight="false" outlineLevel="0" collapsed="false">
      <c r="A2613" s="1" t="s">
        <v>2620</v>
      </c>
      <c r="B2613" s="5" t="n">
        <v>35.2709</v>
      </c>
      <c r="C2613" s="5" t="n">
        <v>12.8615</v>
      </c>
      <c r="D2613" s="1" t="n">
        <f aca="false">LN(B2613/B2612)</f>
        <v>-0.0194852014751193</v>
      </c>
      <c r="E2613" s="1" t="n">
        <f aca="false">LN(C2613/C2612)</f>
        <v>7.77544514815674E-005</v>
      </c>
      <c r="F2613" s="1" t="n">
        <f aca="false">B2613/B2612-1</f>
        <v>-0.0192965919549339</v>
      </c>
      <c r="G2613" s="1" t="n">
        <f aca="false">C2613/C2612-1</f>
        <v>7.77574744372789E-005</v>
      </c>
    </row>
    <row r="2614" customFormat="false" ht="15" hidden="false" customHeight="false" outlineLevel="0" collapsed="false">
      <c r="A2614" s="1" t="s">
        <v>2621</v>
      </c>
      <c r="B2614" s="5" t="n">
        <v>35.8533</v>
      </c>
      <c r="C2614" s="5" t="n">
        <v>12.862</v>
      </c>
      <c r="D2614" s="1" t="n">
        <f aca="false">LN(B2614/B2613)</f>
        <v>0.0163773516591622</v>
      </c>
      <c r="E2614" s="1" t="n">
        <f aca="false">LN(C2614/C2613)</f>
        <v>3.88749587002478E-005</v>
      </c>
      <c r="F2614" s="1" t="n">
        <f aca="false">B2614/B2613-1</f>
        <v>0.0165121956060095</v>
      </c>
      <c r="G2614" s="1" t="n">
        <f aca="false">C2614/C2613-1</f>
        <v>3.88757143412466E-005</v>
      </c>
    </row>
    <row r="2615" customFormat="false" ht="15" hidden="false" customHeight="false" outlineLevel="0" collapsed="false">
      <c r="A2615" s="1" t="s">
        <v>2622</v>
      </c>
      <c r="B2615" s="5" t="n">
        <v>35.8639</v>
      </c>
      <c r="C2615" s="5" t="n">
        <v>12.8627</v>
      </c>
      <c r="D2615" s="1" t="n">
        <f aca="false">LN(B2615/B2614)</f>
        <v>0.000295605519378704</v>
      </c>
      <c r="E2615" s="1" t="n">
        <f aca="false">LN(C2615/C2614)</f>
        <v>5.44224033844572E-005</v>
      </c>
      <c r="F2615" s="1" t="n">
        <f aca="false">B2615/B2614-1</f>
        <v>0.000295649214995697</v>
      </c>
      <c r="G2615" s="1" t="n">
        <f aca="false">C2615/C2614-1</f>
        <v>5.44238843103173E-005</v>
      </c>
    </row>
    <row r="2616" customFormat="false" ht="15" hidden="false" customHeight="false" outlineLevel="0" collapsed="false">
      <c r="A2616" s="1" t="s">
        <v>2623</v>
      </c>
      <c r="B2616" s="5" t="n">
        <v>36.5074</v>
      </c>
      <c r="C2616" s="5" t="n">
        <v>12.863</v>
      </c>
      <c r="D2616" s="1" t="n">
        <f aca="false">LN(B2616/B2615)</f>
        <v>0.0177837612276998</v>
      </c>
      <c r="E2616" s="1" t="n">
        <f aca="false">LN(C2616/C2615)</f>
        <v>2.33229805224893E-005</v>
      </c>
      <c r="F2616" s="1" t="n">
        <f aca="false">B2616/B2615-1</f>
        <v>0.0179428338803085</v>
      </c>
      <c r="G2616" s="1" t="n">
        <f aca="false">C2616/C2615-1</f>
        <v>2.3323252505314E-005</v>
      </c>
    </row>
    <row r="2617" customFormat="false" ht="15" hidden="false" customHeight="false" outlineLevel="0" collapsed="false">
      <c r="A2617" s="1" t="s">
        <v>2624</v>
      </c>
      <c r="B2617" s="5" t="n">
        <v>36.0022</v>
      </c>
      <c r="C2617" s="5" t="n">
        <v>12.8628</v>
      </c>
      <c r="D2617" s="1" t="n">
        <f aca="false">LN(B2617/B2616)</f>
        <v>-0.0139349320655389</v>
      </c>
      <c r="E2617" s="1" t="n">
        <f aca="false">LN(C2617/C2616)</f>
        <v>-1.55485932412637E-005</v>
      </c>
      <c r="F2617" s="1" t="n">
        <f aca="false">B2617/B2616-1</f>
        <v>-0.0138382903192228</v>
      </c>
      <c r="G2617" s="1" t="n">
        <f aca="false">C2617/C2616-1</f>
        <v>-1.55484723625143E-005</v>
      </c>
    </row>
    <row r="2618" customFormat="false" ht="15" hidden="false" customHeight="false" outlineLevel="0" collapsed="false">
      <c r="A2618" s="1" t="s">
        <v>2625</v>
      </c>
      <c r="B2618" s="5" t="n">
        <v>35.8776</v>
      </c>
      <c r="C2618" s="5" t="n">
        <v>12.8629</v>
      </c>
      <c r="D2618" s="1" t="n">
        <f aca="false">LN(B2618/B2617)</f>
        <v>-0.00346690237873608</v>
      </c>
      <c r="E2618" s="1" t="n">
        <f aca="false">LN(C2618/C2617)</f>
        <v>7.77432684040651E-006</v>
      </c>
      <c r="F2618" s="1" t="n">
        <f aca="false">B2618/B2617-1</f>
        <v>-0.00346089961169038</v>
      </c>
      <c r="G2618" s="1" t="n">
        <f aca="false">C2618/C2617-1</f>
        <v>7.77435706056373E-006</v>
      </c>
    </row>
    <row r="2619" customFormat="false" ht="15" hidden="false" customHeight="false" outlineLevel="0" collapsed="false">
      <c r="A2619" s="1" t="s">
        <v>2626</v>
      </c>
      <c r="B2619" s="5" t="n">
        <v>36.663</v>
      </c>
      <c r="C2619" s="5" t="n">
        <v>12.863</v>
      </c>
      <c r="D2619" s="1" t="n">
        <f aca="false">LN(B2619/B2618)</f>
        <v>0.0216549268026958</v>
      </c>
      <c r="E2619" s="1" t="n">
        <f aca="false">LN(C2619/C2618)</f>
        <v>7.77426640077901E-006</v>
      </c>
      <c r="F2619" s="1" t="n">
        <f aca="false">B2619/B2618-1</f>
        <v>0.0218910963944075</v>
      </c>
      <c r="G2619" s="1" t="n">
        <f aca="false">C2619/C2618-1</f>
        <v>7.77429662046636E-006</v>
      </c>
    </row>
    <row r="2620" customFormat="false" ht="15" hidden="false" customHeight="false" outlineLevel="0" collapsed="false">
      <c r="A2620" s="1" t="s">
        <v>2627</v>
      </c>
      <c r="B2620" s="5" t="n">
        <v>36.742</v>
      </c>
      <c r="C2620" s="5" t="n">
        <v>12.8633</v>
      </c>
      <c r="D2620" s="1" t="n">
        <f aca="false">LN(B2620/B2619)</f>
        <v>0.00215244276277215</v>
      </c>
      <c r="E2620" s="1" t="n">
        <f aca="false">LN(C2620/C2619)</f>
        <v>2.33224365738553E-005</v>
      </c>
      <c r="F2620" s="1" t="n">
        <f aca="false">B2620/B2619-1</f>
        <v>0.00215476093063849</v>
      </c>
      <c r="G2620" s="1" t="n">
        <f aca="false">C2620/C2619-1</f>
        <v>2.33227085439935E-005</v>
      </c>
    </row>
    <row r="2621" customFormat="false" ht="15" hidden="false" customHeight="false" outlineLevel="0" collapsed="false">
      <c r="A2621" s="1" t="s">
        <v>2628</v>
      </c>
      <c r="B2621" s="5" t="n">
        <v>36.2585</v>
      </c>
      <c r="C2621" s="5" t="n">
        <v>12.8634</v>
      </c>
      <c r="D2621" s="1" t="n">
        <f aca="false">LN(B2621/B2620)</f>
        <v>-0.0132466783142262</v>
      </c>
      <c r="E2621" s="1" t="n">
        <f aca="false">LN(C2621/C2620)</f>
        <v>7.77402465137276E-006</v>
      </c>
      <c r="F2621" s="1" t="n">
        <f aca="false">B2621/B2620-1</f>
        <v>-0.013159327200479</v>
      </c>
      <c r="G2621" s="1" t="n">
        <f aca="false">C2621/C2620-1</f>
        <v>7.7740548691807E-006</v>
      </c>
    </row>
    <row r="2622" customFormat="false" ht="15" hidden="false" customHeight="false" outlineLevel="0" collapsed="false">
      <c r="A2622" s="1" t="s">
        <v>2629</v>
      </c>
      <c r="B2622" s="5" t="n">
        <v>36.6442</v>
      </c>
      <c r="C2622" s="5" t="n">
        <v>12.8643</v>
      </c>
      <c r="D2622" s="1" t="n">
        <f aca="false">LN(B2622/B2621)</f>
        <v>0.0105813254849899</v>
      </c>
      <c r="E2622" s="1" t="n">
        <f aca="false">LN(C2622/C2621)</f>
        <v>6.99635024014701E-005</v>
      </c>
      <c r="F2622" s="1" t="n">
        <f aca="false">B2622/B2621-1</f>
        <v>0.0106375056883214</v>
      </c>
      <c r="G2622" s="1" t="n">
        <f aca="false">C2622/C2621-1</f>
        <v>6.99659499043825E-005</v>
      </c>
    </row>
    <row r="2623" customFormat="false" ht="15" hidden="false" customHeight="false" outlineLevel="0" collapsed="false">
      <c r="A2623" s="1" t="s">
        <v>2630</v>
      </c>
      <c r="B2623" s="5" t="n">
        <v>35.7582</v>
      </c>
      <c r="C2623" s="5" t="n">
        <v>12.8652</v>
      </c>
      <c r="D2623" s="1" t="n">
        <f aca="false">LN(B2623/B2622)</f>
        <v>-0.0244755485895426</v>
      </c>
      <c r="E2623" s="1" t="n">
        <f aca="false">LN(C2623/C2622)</f>
        <v>6.99586078523068E-005</v>
      </c>
      <c r="F2623" s="1" t="n">
        <f aca="false">B2623/B2622-1</f>
        <v>-0.0241784511600743</v>
      </c>
      <c r="G2623" s="1" t="n">
        <f aca="false">C2623/C2622-1</f>
        <v>6.99610550127794E-005</v>
      </c>
    </row>
    <row r="2624" customFormat="false" ht="15" hidden="false" customHeight="false" outlineLevel="0" collapsed="false">
      <c r="A2624" s="1" t="s">
        <v>2631</v>
      </c>
      <c r="B2624" s="5" t="n">
        <v>36.1267</v>
      </c>
      <c r="C2624" s="5" t="n">
        <v>12.8658</v>
      </c>
      <c r="D2624" s="1" t="n">
        <f aca="false">LN(B2624/B2623)</f>
        <v>0.0102525906809277</v>
      </c>
      <c r="E2624" s="1" t="n">
        <f aca="false">LN(C2624/C2623)</f>
        <v>4.66363530456157E-005</v>
      </c>
      <c r="F2624" s="1" t="n">
        <f aca="false">B2624/B2623-1</f>
        <v>0.0103053285679928</v>
      </c>
      <c r="G2624" s="1" t="n">
        <f aca="false">C2624/C2623-1</f>
        <v>4.66374405372338E-005</v>
      </c>
    </row>
    <row r="2625" customFormat="false" ht="15" hidden="false" customHeight="false" outlineLevel="0" collapsed="false">
      <c r="A2625" s="1" t="s">
        <v>2632</v>
      </c>
      <c r="B2625" s="5" t="n">
        <v>37.1977</v>
      </c>
      <c r="C2625" s="5" t="n">
        <v>12.8666</v>
      </c>
      <c r="D2625" s="1" t="n">
        <f aca="false">LN(B2625/B2624)</f>
        <v>0.0292147272617906</v>
      </c>
      <c r="E2625" s="1" t="n">
        <f aca="false">LN(C2625/C2624)</f>
        <v>6.2178420999118E-005</v>
      </c>
      <c r="F2625" s="1" t="n">
        <f aca="false">B2625/B2624-1</f>
        <v>0.0296456637334712</v>
      </c>
      <c r="G2625" s="1" t="n">
        <f aca="false">C2625/C2624-1</f>
        <v>6.21803541172028E-005</v>
      </c>
    </row>
    <row r="2626" customFormat="false" ht="15" hidden="false" customHeight="false" outlineLevel="0" collapsed="false">
      <c r="A2626" s="1" t="s">
        <v>2633</v>
      </c>
      <c r="B2626" s="5" t="n">
        <v>36.9442</v>
      </c>
      <c r="C2626" s="5" t="n">
        <v>12.8668</v>
      </c>
      <c r="D2626" s="1" t="n">
        <f aca="false">LN(B2626/B2625)</f>
        <v>-0.00683826521423791</v>
      </c>
      <c r="E2626" s="1" t="n">
        <f aca="false">LN(C2626/C2625)</f>
        <v>1.55440011816174E-005</v>
      </c>
      <c r="F2626" s="1" t="n">
        <f aca="false">B2626/B2625-1</f>
        <v>-0.00681493748269368</v>
      </c>
      <c r="G2626" s="1" t="n">
        <f aca="false">C2626/C2625-1</f>
        <v>1.55441219902297E-005</v>
      </c>
    </row>
    <row r="2627" customFormat="false" ht="15" hidden="false" customHeight="false" outlineLevel="0" collapsed="false">
      <c r="A2627" s="1" t="s">
        <v>2634</v>
      </c>
      <c r="B2627" s="5" t="n">
        <v>37.0444</v>
      </c>
      <c r="C2627" s="5" t="n">
        <v>12.8671</v>
      </c>
      <c r="D2627" s="1" t="n">
        <f aca="false">LN(B2627/B2626)</f>
        <v>0.00270852702325982</v>
      </c>
      <c r="E2627" s="1" t="n">
        <f aca="false">LN(C2627/C2626)</f>
        <v>2.33155487520676E-005</v>
      </c>
      <c r="F2627" s="1" t="n">
        <f aca="false">B2627/B2626-1</f>
        <v>0.00271219839650061</v>
      </c>
      <c r="G2627" s="1" t="n">
        <f aca="false">C2627/C2626-1</f>
        <v>2.33158205615869E-005</v>
      </c>
    </row>
    <row r="2628" customFormat="false" ht="15" hidden="false" customHeight="false" outlineLevel="0" collapsed="false">
      <c r="A2628" s="1" t="s">
        <v>2635</v>
      </c>
      <c r="B2628" s="5" t="n">
        <v>37.1879</v>
      </c>
      <c r="C2628" s="5" t="n">
        <v>12.8677</v>
      </c>
      <c r="D2628" s="1" t="n">
        <f aca="false">LN(B2628/B2627)</f>
        <v>0.00386624633081435</v>
      </c>
      <c r="E2628" s="1" t="n">
        <f aca="false">LN(C2628/C2627)</f>
        <v>4.66294667226086E-005</v>
      </c>
      <c r="F2628" s="1" t="n">
        <f aca="false">B2628/B2627-1</f>
        <v>0.00387372990249535</v>
      </c>
      <c r="G2628" s="1" t="n">
        <f aca="false">C2628/C2627-1</f>
        <v>4.663055389309E-005</v>
      </c>
    </row>
    <row r="2629" customFormat="false" ht="15" hidden="false" customHeight="false" outlineLevel="0" collapsed="false">
      <c r="A2629" s="1" t="s">
        <v>2636</v>
      </c>
      <c r="B2629" s="5" t="n">
        <v>37.2502</v>
      </c>
      <c r="C2629" s="5" t="n">
        <v>12.8676</v>
      </c>
      <c r="D2629" s="1" t="n">
        <f aca="false">LN(B2629/B2628)</f>
        <v>0.00167387438815078</v>
      </c>
      <c r="E2629" s="1" t="n">
        <f aca="false">LN(C2629/C2628)</f>
        <v>-7.77142679514787E-006</v>
      </c>
      <c r="F2629" s="1" t="n">
        <f aca="false">B2629/B2628-1</f>
        <v>0.00167527609787066</v>
      </c>
      <c r="G2629" s="1" t="n">
        <f aca="false">C2629/C2628-1</f>
        <v>-7.77139659768888E-006</v>
      </c>
    </row>
    <row r="2630" customFormat="false" ht="15" hidden="false" customHeight="false" outlineLevel="0" collapsed="false">
      <c r="A2630" s="1" t="s">
        <v>2637</v>
      </c>
      <c r="B2630" s="5" t="n">
        <v>37.6725</v>
      </c>
      <c r="C2630" s="5" t="n">
        <v>12.8673</v>
      </c>
      <c r="D2630" s="1" t="n">
        <f aca="false">LN(B2630/B2629)</f>
        <v>0.0112730713715008</v>
      </c>
      <c r="E2630" s="1" t="n">
        <f aca="false">LN(C2630/C2629)</f>
        <v>-2.3314642762416E-005</v>
      </c>
      <c r="F2630" s="1" t="n">
        <f aca="false">B2630/B2629-1</f>
        <v>0.0113368518826744</v>
      </c>
      <c r="G2630" s="1" t="n">
        <f aca="false">C2630/C2629-1</f>
        <v>-2.33143709782446E-005</v>
      </c>
    </row>
    <row r="2631" customFormat="false" ht="15" hidden="false" customHeight="false" outlineLevel="0" collapsed="false">
      <c r="A2631" s="1" t="s">
        <v>2638</v>
      </c>
      <c r="B2631" s="5" t="n">
        <v>37.5372</v>
      </c>
      <c r="C2631" s="5" t="n">
        <v>12.8677</v>
      </c>
      <c r="D2631" s="1" t="n">
        <f aca="false">LN(B2631/B2630)</f>
        <v>-0.00359794404065204</v>
      </c>
      <c r="E2631" s="1" t="n">
        <f aca="false">LN(C2631/C2630)</f>
        <v>3.10860695575603E-005</v>
      </c>
      <c r="F2631" s="1" t="n">
        <f aca="false">B2631/B2630-1</f>
        <v>-0.0035914791956998</v>
      </c>
      <c r="G2631" s="1" t="n">
        <f aca="false">C2631/C2630-1</f>
        <v>3.10865527344273E-005</v>
      </c>
    </row>
    <row r="2632" customFormat="false" ht="15" hidden="false" customHeight="false" outlineLevel="0" collapsed="false">
      <c r="A2632" s="1" t="s">
        <v>2639</v>
      </c>
      <c r="B2632" s="5" t="n">
        <v>37.2311</v>
      </c>
      <c r="C2632" s="5" t="n">
        <v>12.8684</v>
      </c>
      <c r="D2632" s="1" t="n">
        <f aca="false">LN(B2632/B2631)</f>
        <v>-0.00818800775636995</v>
      </c>
      <c r="E2632" s="1" t="n">
        <f aca="false">LN(C2632/C2631)</f>
        <v>5.4398296569547E-005</v>
      </c>
      <c r="F2632" s="1" t="n">
        <f aca="false">B2632/B2631-1</f>
        <v>-0.00815457732595937</v>
      </c>
      <c r="G2632" s="1" t="n">
        <f aca="false">C2632/C2631-1</f>
        <v>5.43997761837112E-005</v>
      </c>
    </row>
    <row r="2633" customFormat="false" ht="15" hidden="false" customHeight="false" outlineLevel="0" collapsed="false">
      <c r="A2633" s="1" t="s">
        <v>2640</v>
      </c>
      <c r="B2633" s="5" t="n">
        <v>37.4807</v>
      </c>
      <c r="C2633" s="5" t="n">
        <v>12.869</v>
      </c>
      <c r="D2633" s="1" t="n">
        <f aca="false">LN(B2633/B2632)</f>
        <v>0.00668170031019967</v>
      </c>
      <c r="E2633" s="1" t="n">
        <f aca="false">LN(C2633/C2632)</f>
        <v>4.6624756199789E-005</v>
      </c>
      <c r="F2633" s="1" t="n">
        <f aca="false">B2633/B2632-1</f>
        <v>0.00670407267042883</v>
      </c>
      <c r="G2633" s="1" t="n">
        <f aca="false">C2633/C2632-1</f>
        <v>4.66258431506272E-005</v>
      </c>
    </row>
    <row r="2634" customFormat="false" ht="15" hidden="false" customHeight="false" outlineLevel="0" collapsed="false">
      <c r="A2634" s="1" t="s">
        <v>2641</v>
      </c>
      <c r="B2634" s="5" t="n">
        <v>37.9257</v>
      </c>
      <c r="C2634" s="5" t="n">
        <v>12.8686</v>
      </c>
      <c r="D2634" s="1" t="n">
        <f aca="false">LN(B2634/B2633)</f>
        <v>0.0118028487227808</v>
      </c>
      <c r="E2634" s="1" t="n">
        <f aca="false">LN(C2634/C2633)</f>
        <v>-3.10829292576757E-005</v>
      </c>
      <c r="F2634" s="1" t="n">
        <f aca="false">B2634/B2633-1</f>
        <v>0.0118727771893268</v>
      </c>
      <c r="G2634" s="1" t="n">
        <f aca="false">C2634/C2633-1</f>
        <v>-3.10824461884351E-005</v>
      </c>
    </row>
    <row r="2635" customFormat="false" ht="15" hidden="false" customHeight="false" outlineLevel="0" collapsed="false">
      <c r="A2635" s="1" t="s">
        <v>2642</v>
      </c>
      <c r="B2635" s="5" t="n">
        <v>37.9034</v>
      </c>
      <c r="C2635" s="5" t="n">
        <v>12.8688</v>
      </c>
      <c r="D2635" s="1" t="n">
        <f aca="false">LN(B2635/B2634)</f>
        <v>-0.000588164718897295</v>
      </c>
      <c r="E2635" s="1" t="n">
        <f aca="false">LN(C2635/C2634)</f>
        <v>1.55415853974009E-005</v>
      </c>
      <c r="F2635" s="1" t="n">
        <f aca="false">B2635/B2634-1</f>
        <v>-0.000587991783935427</v>
      </c>
      <c r="G2635" s="1" t="n">
        <f aca="false">C2635/C2634-1</f>
        <v>1.55417061684648E-005</v>
      </c>
    </row>
    <row r="2636" customFormat="false" ht="15" hidden="false" customHeight="false" outlineLevel="0" collapsed="false">
      <c r="A2636" s="1" t="s">
        <v>2643</v>
      </c>
      <c r="B2636" s="5" t="n">
        <v>38.177</v>
      </c>
      <c r="C2636" s="5" t="n">
        <v>12.8684</v>
      </c>
      <c r="D2636" s="1" t="n">
        <f aca="false">LN(B2636/B2635)</f>
        <v>0.00719242221293139</v>
      </c>
      <c r="E2636" s="1" t="n">
        <f aca="false">LN(C2636/C2635)</f>
        <v>-3.1083412339611E-005</v>
      </c>
      <c r="F2636" s="1" t="n">
        <f aca="false">B2636/B2635-1</f>
        <v>0.00721834980503067</v>
      </c>
      <c r="G2636" s="1" t="n">
        <f aca="false">C2636/C2635-1</f>
        <v>-3.10829292553549E-005</v>
      </c>
    </row>
    <row r="2637" customFormat="false" ht="15" hidden="false" customHeight="false" outlineLevel="0" collapsed="false">
      <c r="A2637" s="1" t="s">
        <v>2644</v>
      </c>
      <c r="B2637" s="5" t="n">
        <v>37.9134</v>
      </c>
      <c r="C2637" s="5" t="n">
        <v>12.8702</v>
      </c>
      <c r="D2637" s="1" t="n">
        <f aca="false">LN(B2637/B2636)</f>
        <v>-0.00692862843482437</v>
      </c>
      <c r="E2637" s="1" t="n">
        <f aca="false">LN(C2637/C2636)</f>
        <v>0.000139867747502654</v>
      </c>
      <c r="F2637" s="1" t="n">
        <f aca="false">B2637/B2636-1</f>
        <v>-0.00690468082877116</v>
      </c>
      <c r="G2637" s="1" t="n">
        <f aca="false">C2637/C2636-1</f>
        <v>0.000139877529452104</v>
      </c>
    </row>
    <row r="2638" customFormat="false" ht="15" hidden="false" customHeight="false" outlineLevel="0" collapsed="false">
      <c r="A2638" s="1" t="s">
        <v>2645</v>
      </c>
      <c r="B2638" s="5" t="n">
        <v>37.6054</v>
      </c>
      <c r="C2638" s="5" t="n">
        <v>12.8694</v>
      </c>
      <c r="D2638" s="1" t="n">
        <f aca="false">LN(B2638/B2637)</f>
        <v>-0.00815695450015214</v>
      </c>
      <c r="E2638" s="1" t="n">
        <f aca="false">LN(C2638/C2637)</f>
        <v>-6.2161028163451E-005</v>
      </c>
      <c r="F2638" s="1" t="n">
        <f aca="false">B2638/B2637-1</f>
        <v>-0.00812377681769505</v>
      </c>
      <c r="G2638" s="1" t="n">
        <f aca="false">C2638/C2637-1</f>
        <v>-6.21590962067709E-005</v>
      </c>
    </row>
    <row r="2639" customFormat="false" ht="15" hidden="false" customHeight="false" outlineLevel="0" collapsed="false">
      <c r="A2639" s="1" t="s">
        <v>2646</v>
      </c>
      <c r="B2639" s="5" t="n">
        <v>37.572</v>
      </c>
      <c r="C2639" s="5" t="n">
        <v>12.8709</v>
      </c>
      <c r="D2639" s="1" t="n">
        <f aca="false">LN(B2639/B2638)</f>
        <v>-0.000888564972919332</v>
      </c>
      <c r="E2639" s="1" t="n">
        <f aca="false">LN(C2639/C2638)</f>
        <v>0.000116548758304866</v>
      </c>
      <c r="F2639" s="1" t="n">
        <f aca="false">B2639/B2638-1</f>
        <v>-0.00088817031596522</v>
      </c>
      <c r="G2639" s="1" t="n">
        <f aca="false">C2639/C2638-1</f>
        <v>0.000116555550375264</v>
      </c>
    </row>
    <row r="2640" customFormat="false" ht="15" hidden="false" customHeight="false" outlineLevel="0" collapsed="false">
      <c r="A2640" s="1" t="s">
        <v>2647</v>
      </c>
      <c r="B2640" s="5" t="n">
        <v>37.6939</v>
      </c>
      <c r="C2640" s="5" t="n">
        <v>12.8713</v>
      </c>
      <c r="D2640" s="1" t="n">
        <f aca="false">LN(B2640/B2639)</f>
        <v>0.00323918551653516</v>
      </c>
      <c r="E2640" s="1" t="n">
        <f aca="false">LN(C2640/C2639)</f>
        <v>3.10773748965901E-005</v>
      </c>
      <c r="F2640" s="1" t="n">
        <f aca="false">B2640/B2639-1</f>
        <v>0.00324443734696045</v>
      </c>
      <c r="G2640" s="1" t="n">
        <f aca="false">C2640/C2639-1</f>
        <v>3.10778578032078E-005</v>
      </c>
    </row>
    <row r="2641" customFormat="false" ht="15" hidden="false" customHeight="false" outlineLevel="0" collapsed="false">
      <c r="A2641" s="1" t="s">
        <v>2648</v>
      </c>
      <c r="B2641" s="5" t="n">
        <v>37.6872</v>
      </c>
      <c r="C2641" s="5" t="n">
        <v>12.8712</v>
      </c>
      <c r="D2641" s="1" t="n">
        <f aca="false">LN(B2641/B2640)</f>
        <v>-0.000177763392087564</v>
      </c>
      <c r="E2641" s="1" t="n">
        <f aca="false">LN(C2641/C2640)</f>
        <v>-7.76925318051198E-006</v>
      </c>
      <c r="F2641" s="1" t="n">
        <f aca="false">B2641/B2640-1</f>
        <v>-0.000177747593111954</v>
      </c>
      <c r="G2641" s="1" t="n">
        <f aca="false">C2641/C2640-1</f>
        <v>-7.76922299994265E-006</v>
      </c>
    </row>
    <row r="2642" customFormat="false" ht="15" hidden="false" customHeight="false" outlineLevel="0" collapsed="false">
      <c r="A2642" s="1" t="s">
        <v>2649</v>
      </c>
      <c r="B2642" s="5" t="n">
        <v>37.2946</v>
      </c>
      <c r="C2642" s="5" t="n">
        <v>12.8718</v>
      </c>
      <c r="D2642" s="1" t="n">
        <f aca="false">LN(B2642/B2641)</f>
        <v>-0.0104719702054038</v>
      </c>
      <c r="E2642" s="1" t="n">
        <f aca="false">LN(C2642/C2641)</f>
        <v>4.66146136899647E-005</v>
      </c>
      <c r="F2642" s="1" t="n">
        <f aca="false">B2642/B2641-1</f>
        <v>-0.0104173300218641</v>
      </c>
      <c r="G2642" s="1" t="n">
        <f aca="false">C2642/C2641-1</f>
        <v>4.66157001679512E-005</v>
      </c>
    </row>
    <row r="2643" customFormat="false" ht="15" hidden="false" customHeight="false" outlineLevel="0" collapsed="false">
      <c r="A2643" s="1" t="s">
        <v>2650</v>
      </c>
      <c r="B2643" s="5" t="n">
        <v>37.1573</v>
      </c>
      <c r="C2643" s="5" t="n">
        <v>12.8721</v>
      </c>
      <c r="D2643" s="1" t="n">
        <f aca="false">LN(B2643/B2642)</f>
        <v>-0.00368829151832571</v>
      </c>
      <c r="E2643" s="1" t="n">
        <f aca="false">LN(C2643/C2642)</f>
        <v>2.33064920244371E-005</v>
      </c>
      <c r="F2643" s="1" t="n">
        <f aca="false">B2643/B2642-1</f>
        <v>-0.00368149812573415</v>
      </c>
      <c r="G2643" s="1" t="n">
        <f aca="false">C2643/C2642-1</f>
        <v>2.33067636228324E-005</v>
      </c>
    </row>
    <row r="2644" customFormat="false" ht="15" hidden="false" customHeight="false" outlineLevel="0" collapsed="false">
      <c r="A2644" s="1" t="s">
        <v>2651</v>
      </c>
      <c r="B2644" s="5" t="n">
        <v>37.5621</v>
      </c>
      <c r="C2644" s="5" t="n">
        <v>12.873</v>
      </c>
      <c r="D2644" s="1" t="n">
        <f aca="false">LN(B2644/B2643)</f>
        <v>0.0108353107872698</v>
      </c>
      <c r="E2644" s="1" t="n">
        <f aca="false">LN(C2644/C2643)</f>
        <v>6.99162170950219E-005</v>
      </c>
      <c r="F2644" s="1" t="n">
        <f aca="false">B2644/B2643-1</f>
        <v>0.0108942253608308</v>
      </c>
      <c r="G2644" s="1" t="n">
        <f aca="false">C2644/C2643-1</f>
        <v>6.9918661290691E-005</v>
      </c>
    </row>
    <row r="2645" customFormat="false" ht="15" hidden="false" customHeight="false" outlineLevel="0" collapsed="false">
      <c r="A2645" s="1" t="s">
        <v>2652</v>
      </c>
      <c r="B2645" s="5" t="n">
        <v>37.5857</v>
      </c>
      <c r="C2645" s="5" t="n">
        <v>12.8734</v>
      </c>
      <c r="D2645" s="1" t="n">
        <f aca="false">LN(B2645/B2644)</f>
        <v>0.00062809558698623</v>
      </c>
      <c r="E2645" s="1" t="n">
        <f aca="false">LN(C2645/C2644)</f>
        <v>3.10723052568821E-005</v>
      </c>
      <c r="F2645" s="1" t="n">
        <f aca="false">B2645/B2644-1</f>
        <v>0.000628292880323622</v>
      </c>
      <c r="G2645" s="1" t="n">
        <f aca="false">C2645/C2644-1</f>
        <v>3.10727880059591E-005</v>
      </c>
    </row>
    <row r="2646" customFormat="false" ht="15" hidden="false" customHeight="false" outlineLevel="0" collapsed="false">
      <c r="A2646" s="1" t="s">
        <v>2653</v>
      </c>
      <c r="B2646" s="5" t="n">
        <v>37.8717</v>
      </c>
      <c r="C2646" s="5" t="n">
        <v>12.874</v>
      </c>
      <c r="D2646" s="1" t="n">
        <f aca="false">LN(B2646/B2645)</f>
        <v>0.00758047241349193</v>
      </c>
      <c r="E2646" s="1" t="n">
        <f aca="false">LN(C2646/C2645)</f>
        <v>4.66066476699501E-005</v>
      </c>
      <c r="F2646" s="1" t="n">
        <f aca="false">B2646/B2645-1</f>
        <v>0.00760927693245028</v>
      </c>
      <c r="G2646" s="1" t="n">
        <f aca="false">C2646/C2645-1</f>
        <v>4.66077337766269E-005</v>
      </c>
    </row>
    <row r="2647" customFormat="false" ht="15" hidden="false" customHeight="false" outlineLevel="0" collapsed="false">
      <c r="A2647" s="1" t="s">
        <v>2654</v>
      </c>
      <c r="B2647" s="5" t="n">
        <v>37.8729</v>
      </c>
      <c r="C2647" s="5" t="n">
        <v>12.8749</v>
      </c>
      <c r="D2647" s="1" t="n">
        <f aca="false">LN(B2647/B2646)</f>
        <v>3.16854270827658E-005</v>
      </c>
      <c r="E2647" s="1" t="n">
        <f aca="false">LN(C2647/C2646)</f>
        <v>6.99058989211078E-005</v>
      </c>
      <c r="F2647" s="1" t="n">
        <f aca="false">B2647/B2646-1</f>
        <v>3.16859290712124E-005</v>
      </c>
      <c r="G2647" s="1" t="n">
        <f aca="false">C2647/C2646-1</f>
        <v>6.99083423953972E-005</v>
      </c>
    </row>
    <row r="2648" customFormat="false" ht="15" hidden="false" customHeight="false" outlineLevel="0" collapsed="false">
      <c r="A2648" s="1" t="s">
        <v>2655</v>
      </c>
      <c r="B2648" s="5" t="n">
        <v>37.8841</v>
      </c>
      <c r="C2648" s="5" t="n">
        <v>12.8754</v>
      </c>
      <c r="D2648" s="1" t="n">
        <f aca="false">LN(B2648/B2647)</f>
        <v>0.000295682249339288</v>
      </c>
      <c r="E2648" s="1" t="n">
        <f aca="false">LN(C2648/C2647)</f>
        <v>3.88344990204238E-005</v>
      </c>
      <c r="F2648" s="1" t="n">
        <f aca="false">B2648/B2647-1</f>
        <v>0.000295725967644378</v>
      </c>
      <c r="G2648" s="1" t="n">
        <f aca="false">C2648/C2647-1</f>
        <v>3.88352530893421E-005</v>
      </c>
    </row>
    <row r="2649" customFormat="false" ht="15" hidden="false" customHeight="false" outlineLevel="0" collapsed="false">
      <c r="A2649" s="1" t="s">
        <v>2656</v>
      </c>
      <c r="B2649" s="5" t="n">
        <v>38.4835</v>
      </c>
      <c r="C2649" s="5" t="n">
        <v>12.8754</v>
      </c>
      <c r="D2649" s="1" t="n">
        <f aca="false">LN(B2649/B2648)</f>
        <v>0.015698079005028</v>
      </c>
      <c r="E2649" s="1" t="n">
        <f aca="false">LN(C2649/C2648)</f>
        <v>0</v>
      </c>
      <c r="F2649" s="1" t="n">
        <f aca="false">B2649/B2648-1</f>
        <v>0.0158219411309759</v>
      </c>
      <c r="G2649" s="1" t="n">
        <f aca="false">C2649/C2648-1</f>
        <v>0</v>
      </c>
    </row>
    <row r="2650" customFormat="false" ht="15" hidden="false" customHeight="false" outlineLevel="0" collapsed="false">
      <c r="A2650" s="1" t="s">
        <v>2657</v>
      </c>
      <c r="B2650" s="5" t="n">
        <v>38.3924</v>
      </c>
      <c r="C2650" s="5" t="n">
        <v>12.8755</v>
      </c>
      <c r="D2650" s="1" t="n">
        <f aca="false">LN(B2650/B2649)</f>
        <v>-0.00237005466325838</v>
      </c>
      <c r="E2650" s="1" t="n">
        <f aca="false">LN(C2650/C2649)</f>
        <v>7.76671883312583E-006</v>
      </c>
      <c r="F2650" s="1" t="n">
        <f aca="false">B2650/B2649-1</f>
        <v>-0.00236724830121993</v>
      </c>
      <c r="G2650" s="1" t="n">
        <f aca="false">C2650/C2649-1</f>
        <v>7.76674899416463E-006</v>
      </c>
    </row>
    <row r="2651" customFormat="false" ht="15" hidden="false" customHeight="false" outlineLevel="0" collapsed="false">
      <c r="A2651" s="1" t="s">
        <v>2658</v>
      </c>
      <c r="B2651" s="5" t="n">
        <v>38.2502</v>
      </c>
      <c r="C2651" s="5" t="n">
        <v>12.8761</v>
      </c>
      <c r="D2651" s="1" t="n">
        <f aca="false">LN(B2651/B2650)</f>
        <v>-0.00371073432188169</v>
      </c>
      <c r="E2651" s="1" t="n">
        <f aca="false">LN(C2651/C2650)</f>
        <v>4.65990462811919E-005</v>
      </c>
      <c r="F2651" s="1" t="n">
        <f aca="false">B2651/B2650-1</f>
        <v>-0.00370385805524021</v>
      </c>
      <c r="G2651" s="1" t="n">
        <f aca="false">C2651/C2650-1</f>
        <v>4.6600132033614E-005</v>
      </c>
    </row>
    <row r="2652" customFormat="false" ht="15" hidden="false" customHeight="false" outlineLevel="0" collapsed="false">
      <c r="A2652" s="1" t="s">
        <v>2659</v>
      </c>
      <c r="B2652" s="5" t="n">
        <v>38.0303</v>
      </c>
      <c r="C2652" s="5" t="n">
        <v>12.8758</v>
      </c>
      <c r="D2652" s="1" t="n">
        <f aca="false">LN(B2652/B2651)</f>
        <v>-0.005765578598919</v>
      </c>
      <c r="E2652" s="1" t="n">
        <f aca="false">LN(C2652/C2651)</f>
        <v>-2.32992517066515E-005</v>
      </c>
      <c r="F2652" s="1" t="n">
        <f aca="false">B2652/B2651-1</f>
        <v>-0.00574898954776715</v>
      </c>
      <c r="G2652" s="1" t="n">
        <f aca="false">C2652/C2651-1</f>
        <v>-2.32989802811945E-005</v>
      </c>
    </row>
    <row r="2653" customFormat="false" ht="15" hidden="false" customHeight="false" outlineLevel="0" collapsed="false">
      <c r="A2653" s="1" t="s">
        <v>2660</v>
      </c>
      <c r="B2653" s="5" t="n">
        <v>38.0117</v>
      </c>
      <c r="C2653" s="5" t="n">
        <v>12.8761</v>
      </c>
      <c r="D2653" s="1" t="n">
        <f aca="false">LN(B2653/B2652)</f>
        <v>-0.000489203344755408</v>
      </c>
      <c r="E2653" s="1" t="n">
        <f aca="false">LN(C2653/C2652)</f>
        <v>2.32992517067266E-005</v>
      </c>
      <c r="F2653" s="1" t="n">
        <f aca="false">B2653/B2652-1</f>
        <v>-0.000489083704309445</v>
      </c>
      <c r="G2653" s="1" t="n">
        <f aca="false">C2653/C2652-1</f>
        <v>2.32995231363997E-005</v>
      </c>
    </row>
    <row r="2654" customFormat="false" ht="15" hidden="false" customHeight="false" outlineLevel="0" collapsed="false">
      <c r="A2654" s="1" t="s">
        <v>2661</v>
      </c>
      <c r="B2654" s="5" t="n">
        <v>38.5593</v>
      </c>
      <c r="C2654" s="5" t="n">
        <v>12.8778</v>
      </c>
      <c r="D2654" s="1" t="n">
        <f aca="false">LN(B2654/B2653)</f>
        <v>0.0143033089772263</v>
      </c>
      <c r="E2654" s="1" t="n">
        <f aca="false">LN(C2654/C2653)</f>
        <v>0.000132018840056902</v>
      </c>
      <c r="F2654" s="1" t="n">
        <f aca="false">B2654/B2653-1</f>
        <v>0.0144060907562673</v>
      </c>
      <c r="G2654" s="1" t="n">
        <f aca="false">C2654/C2653-1</f>
        <v>0.000132027554927472</v>
      </c>
    </row>
    <row r="2655" customFormat="false" ht="15" hidden="false" customHeight="false" outlineLevel="0" collapsed="false">
      <c r="A2655" s="1" t="s">
        <v>2662</v>
      </c>
      <c r="B2655" s="5" t="n">
        <v>39.2546</v>
      </c>
      <c r="C2655" s="5" t="n">
        <v>12.8769</v>
      </c>
      <c r="D2655" s="1" t="n">
        <f aca="false">LN(B2655/B2654)</f>
        <v>0.0178713187629653</v>
      </c>
      <c r="E2655" s="1" t="n">
        <f aca="false">LN(C2655/C2654)</f>
        <v>-6.98901560001136E-005</v>
      </c>
      <c r="F2655" s="1" t="n">
        <f aca="false">B2655/B2654-1</f>
        <v>0.0180319663479369</v>
      </c>
      <c r="G2655" s="1" t="n">
        <f aca="false">C2655/C2654-1</f>
        <v>-6.98877137400578E-005</v>
      </c>
    </row>
    <row r="2656" customFormat="false" ht="15" hidden="false" customHeight="false" outlineLevel="0" collapsed="false">
      <c r="A2656" s="1" t="s">
        <v>2663</v>
      </c>
      <c r="B2656" s="5" t="n">
        <v>38.7965</v>
      </c>
      <c r="C2656" s="5" t="n">
        <v>12.8771</v>
      </c>
      <c r="D2656" s="1" t="n">
        <f aca="false">LN(B2656/B2655)</f>
        <v>-0.0117385984387239</v>
      </c>
      <c r="E2656" s="1" t="n">
        <f aca="false">LN(C2656/C2655)</f>
        <v>1.55315679121005E-005</v>
      </c>
      <c r="F2656" s="1" t="n">
        <f aca="false">B2656/B2655-1</f>
        <v>-0.0116699698888794</v>
      </c>
      <c r="G2656" s="1" t="n">
        <f aca="false">C2656/C2655-1</f>
        <v>1.55316885275258E-005</v>
      </c>
    </row>
    <row r="2657" customFormat="false" ht="15" hidden="false" customHeight="false" outlineLevel="0" collapsed="false">
      <c r="A2657" s="1" t="s">
        <v>2664</v>
      </c>
      <c r="B2657" s="5" t="n">
        <v>38.8818</v>
      </c>
      <c r="C2657" s="5" t="n">
        <v>12.8779</v>
      </c>
      <c r="D2657" s="1" t="n">
        <f aca="false">LN(B2657/B2656)</f>
        <v>0.00219623844205588</v>
      </c>
      <c r="E2657" s="1" t="n">
        <f aca="false">LN(C2657/C2656)</f>
        <v>6.21238594648181E-005</v>
      </c>
      <c r="F2657" s="1" t="n">
        <f aca="false">B2657/B2656-1</f>
        <v>0.00219865194025215</v>
      </c>
      <c r="G2657" s="1" t="n">
        <f aca="false">C2657/C2656-1</f>
        <v>6.2125789191736E-005</v>
      </c>
    </row>
    <row r="2658" customFormat="false" ht="15" hidden="false" customHeight="false" outlineLevel="0" collapsed="false">
      <c r="A2658" s="1" t="s">
        <v>2665</v>
      </c>
      <c r="B2658" s="5" t="n">
        <v>38.8944</v>
      </c>
      <c r="C2658" s="5" t="n">
        <v>12.8778</v>
      </c>
      <c r="D2658" s="1" t="n">
        <f aca="false">LN(B2658/B2657)</f>
        <v>0.000324006575539362</v>
      </c>
      <c r="E2658" s="1" t="n">
        <f aca="false">LN(C2658/C2657)</f>
        <v>-7.76527137689504E-006</v>
      </c>
      <c r="F2658" s="1" t="n">
        <f aca="false">B2658/B2657-1</f>
        <v>0.000324059071339367</v>
      </c>
      <c r="G2658" s="1" t="n">
        <f aca="false">C2658/C2657-1</f>
        <v>-7.76524122725331E-006</v>
      </c>
    </row>
    <row r="2659" customFormat="false" ht="15" hidden="false" customHeight="false" outlineLevel="0" collapsed="false">
      <c r="A2659" s="1" t="s">
        <v>2666</v>
      </c>
      <c r="B2659" s="5" t="n">
        <v>39.0788</v>
      </c>
      <c r="C2659" s="5" t="n">
        <v>12.8779</v>
      </c>
      <c r="D2659" s="1" t="n">
        <f aca="false">LN(B2659/B2658)</f>
        <v>0.00472983906709938</v>
      </c>
      <c r="E2659" s="1" t="n">
        <f aca="false">LN(C2659/C2658)</f>
        <v>7.7652713768876E-006</v>
      </c>
      <c r="F2659" s="1" t="n">
        <f aca="false">B2659/B2658-1</f>
        <v>0.00474104241227535</v>
      </c>
      <c r="G2659" s="1" t="n">
        <f aca="false">C2659/C2658-1</f>
        <v>7.76530152668542E-006</v>
      </c>
    </row>
    <row r="2660" customFormat="false" ht="15" hidden="false" customHeight="false" outlineLevel="0" collapsed="false">
      <c r="A2660" s="1" t="s">
        <v>2667</v>
      </c>
      <c r="B2660" s="5" t="n">
        <v>39.0703</v>
      </c>
      <c r="C2660" s="5" t="n">
        <v>12.8783</v>
      </c>
      <c r="D2660" s="1" t="n">
        <f aca="false">LN(B2660/B2659)</f>
        <v>-0.000217532896310169</v>
      </c>
      <c r="E2660" s="1" t="n">
        <f aca="false">LN(C2660/C2659)</f>
        <v>3.10604825270095E-005</v>
      </c>
      <c r="F2660" s="1" t="n">
        <f aca="false">B2660/B2659-1</f>
        <v>-0.000217509237745217</v>
      </c>
      <c r="G2660" s="1" t="n">
        <f aca="false">C2660/C2659-1</f>
        <v>3.10609649087912E-005</v>
      </c>
    </row>
    <row r="2661" customFormat="false" ht="15" hidden="false" customHeight="false" outlineLevel="0" collapsed="false">
      <c r="A2661" s="1" t="s">
        <v>2668</v>
      </c>
      <c r="B2661" s="5" t="n">
        <v>39.1283</v>
      </c>
      <c r="C2661" s="5" t="n">
        <v>12.8788</v>
      </c>
      <c r="D2661" s="1" t="n">
        <f aca="false">LN(B2661/B2660)</f>
        <v>0.00148340278817451</v>
      </c>
      <c r="E2661" s="1" t="n">
        <f aca="false">LN(C2661/C2660)</f>
        <v>3.882424652333E-005</v>
      </c>
      <c r="F2661" s="1" t="n">
        <f aca="false">B2661/B2660-1</f>
        <v>0.00148450357432628</v>
      </c>
      <c r="G2661" s="1" t="n">
        <f aca="false">C2661/C2660-1</f>
        <v>3.88250001941426E-005</v>
      </c>
    </row>
    <row r="2662" customFormat="false" ht="15" hidden="false" customHeight="false" outlineLevel="0" collapsed="false">
      <c r="A2662" s="1" t="s">
        <v>2669</v>
      </c>
      <c r="B2662" s="5" t="n">
        <v>39.4075</v>
      </c>
      <c r="C2662" s="5" t="n">
        <v>12.8791</v>
      </c>
      <c r="D2662" s="1" t="n">
        <f aca="false">LN(B2662/B2661)</f>
        <v>0.00711016316716322</v>
      </c>
      <c r="E2662" s="1" t="n">
        <f aca="false">LN(C2662/C2661)</f>
        <v>2.32938244199796E-005</v>
      </c>
      <c r="F2662" s="1" t="n">
        <f aca="false">B2662/B2661-1</f>
        <v>0.00713550039229904</v>
      </c>
      <c r="G2662" s="1" t="n">
        <f aca="false">C2662/C2661-1</f>
        <v>2.32940957232142E-005</v>
      </c>
    </row>
    <row r="2663" customFormat="false" ht="15" hidden="false" customHeight="false" outlineLevel="0" collapsed="false">
      <c r="A2663" s="1" t="s">
        <v>2670</v>
      </c>
      <c r="B2663" s="5" t="n">
        <v>39.3591</v>
      </c>
      <c r="C2663" s="5" t="n">
        <v>12.8795</v>
      </c>
      <c r="D2663" s="1" t="n">
        <f aca="false">LN(B2663/B2662)</f>
        <v>-0.00122894744959392</v>
      </c>
      <c r="E2663" s="1" t="n">
        <f aca="false">LN(C2663/C2662)</f>
        <v>3.10575885361426E-005</v>
      </c>
      <c r="F2663" s="1" t="n">
        <f aca="false">B2663/B2662-1</f>
        <v>-0.00122819260293094</v>
      </c>
      <c r="G2663" s="1" t="n">
        <f aca="false">C2663/C2662-1</f>
        <v>3.10580708280384E-005</v>
      </c>
    </row>
    <row r="2664" customFormat="false" ht="15" hidden="false" customHeight="false" outlineLevel="0" collapsed="false">
      <c r="A2664" s="1" t="s">
        <v>2671</v>
      </c>
      <c r="B2664" s="5" t="n">
        <v>39.5707</v>
      </c>
      <c r="C2664" s="5" t="n">
        <v>12.8793</v>
      </c>
      <c r="D2664" s="1" t="n">
        <f aca="false">LN(B2664/B2663)</f>
        <v>0.00536173934121759</v>
      </c>
      <c r="E2664" s="1" t="n">
        <f aca="false">LN(C2664/C2663)</f>
        <v>-1.55286736962603E-005</v>
      </c>
      <c r="F2664" s="1" t="n">
        <f aca="false">B2664/B2663-1</f>
        <v>0.00537613919017477</v>
      </c>
      <c r="G2664" s="1" t="n">
        <f aca="false">C2664/C2663-1</f>
        <v>-1.55285531270311E-005</v>
      </c>
    </row>
    <row r="2665" customFormat="false" ht="15" hidden="false" customHeight="false" outlineLevel="0" collapsed="false">
      <c r="A2665" s="1" t="s">
        <v>2672</v>
      </c>
      <c r="B2665" s="5" t="n">
        <v>39.4432</v>
      </c>
      <c r="C2665" s="5" t="n">
        <v>12.8795</v>
      </c>
      <c r="D2665" s="1" t="n">
        <f aca="false">LN(B2665/B2664)</f>
        <v>-0.00322728306445178</v>
      </c>
      <c r="E2665" s="1" t="n">
        <f aca="false">LN(C2665/C2664)</f>
        <v>1.55286736962174E-005</v>
      </c>
      <c r="F2665" s="1" t="n">
        <f aca="false">B2665/B2664-1</f>
        <v>-0.00322208098416266</v>
      </c>
      <c r="G2665" s="1" t="n">
        <f aca="false">C2665/C2664-1</f>
        <v>1.55287942666948E-005</v>
      </c>
    </row>
    <row r="2666" customFormat="false" ht="15" hidden="false" customHeight="false" outlineLevel="0" collapsed="false">
      <c r="A2666" s="1" t="s">
        <v>2673</v>
      </c>
      <c r="B2666" s="5" t="n">
        <v>39.4509</v>
      </c>
      <c r="C2666" s="5" t="n">
        <v>12.8798</v>
      </c>
      <c r="D2666" s="1" t="n">
        <f aca="false">LN(B2666/B2665)</f>
        <v>0.000195198374135739</v>
      </c>
      <c r="E2666" s="1" t="n">
        <f aca="false">LN(C2666/C2665)</f>
        <v>2.32925584168571E-005</v>
      </c>
      <c r="F2666" s="1" t="n">
        <f aca="false">B2666/B2665-1</f>
        <v>0.00019521742657802</v>
      </c>
      <c r="G2666" s="1" t="n">
        <f aca="false">C2666/C2665-1</f>
        <v>2.32928296906021E-005</v>
      </c>
    </row>
    <row r="2667" customFormat="false" ht="15" hidden="false" customHeight="false" outlineLevel="0" collapsed="false">
      <c r="A2667" s="1" t="s">
        <v>2674</v>
      </c>
      <c r="B2667" s="5" t="n">
        <v>40.0445</v>
      </c>
      <c r="C2667" s="5" t="n">
        <v>12.8798</v>
      </c>
      <c r="D2667" s="1" t="n">
        <f aca="false">LN(B2667/B2666)</f>
        <v>0.0149344750245251</v>
      </c>
      <c r="E2667" s="1" t="n">
        <f aca="false">LN(C2667/C2666)</f>
        <v>0</v>
      </c>
      <c r="F2667" s="1" t="n">
        <f aca="false">B2667/B2666-1</f>
        <v>0.0150465515362135</v>
      </c>
      <c r="G2667" s="1" t="n">
        <f aca="false">C2667/C2666-1</f>
        <v>0</v>
      </c>
    </row>
    <row r="2668" customFormat="false" ht="15" hidden="false" customHeight="false" outlineLevel="0" collapsed="false">
      <c r="A2668" s="1" t="s">
        <v>2675</v>
      </c>
      <c r="B2668" s="5" t="n">
        <v>40.2167</v>
      </c>
      <c r="C2668" s="5" t="n">
        <v>12.8808</v>
      </c>
      <c r="D2668" s="1" t="n">
        <f aca="false">LN(B2668/B2667)</f>
        <v>0.00429099650195762</v>
      </c>
      <c r="E2668" s="1" t="n">
        <f aca="false">LN(C2668/C2667)</f>
        <v>7.76379432547848E-005</v>
      </c>
      <c r="F2668" s="1" t="n">
        <f aca="false">B2668/B2667-1</f>
        <v>0.00430021600968922</v>
      </c>
      <c r="G2668" s="1" t="n">
        <f aca="false">C2668/C2667-1</f>
        <v>7.76409571578984E-005</v>
      </c>
    </row>
    <row r="2669" customFormat="false" ht="15" hidden="false" customHeight="false" outlineLevel="0" collapsed="false">
      <c r="A2669" s="1" t="s">
        <v>2676</v>
      </c>
      <c r="B2669" s="5" t="n">
        <v>40.0773</v>
      </c>
      <c r="C2669" s="5" t="n">
        <v>12.8808</v>
      </c>
      <c r="D2669" s="1" t="n">
        <f aca="false">LN(B2669/B2668)</f>
        <v>-0.003472243008344</v>
      </c>
      <c r="E2669" s="1" t="n">
        <f aca="false">LN(C2669/C2668)</f>
        <v>0</v>
      </c>
      <c r="F2669" s="1" t="n">
        <f aca="false">B2669/B2668-1</f>
        <v>-0.00346622174370359</v>
      </c>
      <c r="G2669" s="1" t="n">
        <f aca="false">C2669/C2668-1</f>
        <v>0</v>
      </c>
    </row>
    <row r="2670" customFormat="false" ht="15" hidden="false" customHeight="false" outlineLevel="0" collapsed="false">
      <c r="A2670" s="1" t="s">
        <v>2677</v>
      </c>
      <c r="B2670" s="5" t="n">
        <v>39.5777</v>
      </c>
      <c r="C2670" s="5" t="n">
        <v>12.8815</v>
      </c>
      <c r="D2670" s="1" t="n">
        <f aca="false">LN(B2670/B2669)</f>
        <v>-0.0125442609086923</v>
      </c>
      <c r="E2670" s="1" t="n">
        <f aca="false">LN(C2670/C2669)</f>
        <v>5.43429740491685E-005</v>
      </c>
      <c r="F2670" s="1" t="n">
        <f aca="false">B2670/B2669-1</f>
        <v>-0.0124659096296408</v>
      </c>
      <c r="G2670" s="1" t="n">
        <f aca="false">C2670/C2669-1</f>
        <v>5.43444506553303E-005</v>
      </c>
    </row>
    <row r="2671" customFormat="false" ht="15" hidden="false" customHeight="false" outlineLevel="0" collapsed="false">
      <c r="A2671" s="1" t="s">
        <v>2678</v>
      </c>
      <c r="B2671" s="5" t="n">
        <v>39.7747</v>
      </c>
      <c r="C2671" s="5" t="n">
        <v>12.8819</v>
      </c>
      <c r="D2671" s="1" t="n">
        <f aca="false">LN(B2671/B2670)</f>
        <v>0.00496520343994505</v>
      </c>
      <c r="E2671" s="1" t="n">
        <f aca="false">LN(C2671/C2670)</f>
        <v>3.10518021714844E-005</v>
      </c>
      <c r="F2671" s="1" t="n">
        <f aca="false">B2671/B2670-1</f>
        <v>0.00497755048929083</v>
      </c>
      <c r="G2671" s="1" t="n">
        <f aca="false">C2671/C2670-1</f>
        <v>3.10522842836836E-005</v>
      </c>
    </row>
    <row r="2672" customFormat="false" ht="15" hidden="false" customHeight="false" outlineLevel="0" collapsed="false">
      <c r="A2672" s="1" t="s">
        <v>2679</v>
      </c>
      <c r="B2672" s="5" t="n">
        <v>39.4001</v>
      </c>
      <c r="C2672" s="5" t="n">
        <v>12.8821</v>
      </c>
      <c r="D2672" s="1" t="n">
        <f aca="false">LN(B2672/B2671)</f>
        <v>-0.009462677397526</v>
      </c>
      <c r="E2672" s="1" t="n">
        <f aca="false">LN(C2672/C2671)</f>
        <v>1.55255395126754E-005</v>
      </c>
      <c r="F2672" s="1" t="n">
        <f aca="false">B2672/B2671-1</f>
        <v>-0.00941804715057559</v>
      </c>
      <c r="G2672" s="1" t="n">
        <f aca="false">C2672/C2671-1</f>
        <v>1.55256600344877E-005</v>
      </c>
    </row>
    <row r="2673" customFormat="false" ht="15" hidden="false" customHeight="false" outlineLevel="0" collapsed="false">
      <c r="A2673" s="1" t="s">
        <v>2680</v>
      </c>
      <c r="B2673" s="5" t="n">
        <v>39.5505</v>
      </c>
      <c r="C2673" s="5" t="n">
        <v>12.8831</v>
      </c>
      <c r="D2673" s="1" t="n">
        <f aca="false">LN(B2673/B2672)</f>
        <v>0.00380998198704899</v>
      </c>
      <c r="E2673" s="1" t="n">
        <f aca="false">LN(C2673/C2672)</f>
        <v>7.76240821343776E-005</v>
      </c>
      <c r="F2673" s="1" t="n">
        <f aca="false">B2673/B2672-1</f>
        <v>0.00381724919479898</v>
      </c>
      <c r="G2673" s="1" t="n">
        <f aca="false">C2673/C2672-1</f>
        <v>7.76270949613966E-005</v>
      </c>
    </row>
    <row r="2674" customFormat="false" ht="15" hidden="false" customHeight="false" outlineLevel="0" collapsed="false">
      <c r="A2674" s="1" t="s">
        <v>2681</v>
      </c>
      <c r="B2674" s="5" t="n">
        <v>40.0791</v>
      </c>
      <c r="C2674" s="5" t="n">
        <v>12.8827</v>
      </c>
      <c r="D2674" s="1" t="n">
        <f aca="false">LN(B2674/B2673)</f>
        <v>0.0132766650758874</v>
      </c>
      <c r="E2674" s="1" t="n">
        <f aca="false">LN(C2674/C2673)</f>
        <v>-3.10489097977518E-005</v>
      </c>
      <c r="F2674" s="1" t="n">
        <f aca="false">B2674/B2673-1</f>
        <v>0.0133651913376569</v>
      </c>
      <c r="G2674" s="1" t="n">
        <f aca="false">C2674/C2673-1</f>
        <v>-3.10484277853407E-005</v>
      </c>
    </row>
    <row r="2675" customFormat="false" ht="15" hidden="false" customHeight="false" outlineLevel="0" collapsed="false">
      <c r="A2675" s="1" t="s">
        <v>2682</v>
      </c>
      <c r="B2675" s="5" t="n">
        <v>40.0339</v>
      </c>
      <c r="C2675" s="5" t="n">
        <v>12.8837</v>
      </c>
      <c r="D2675" s="1" t="n">
        <f aca="false">LN(B2675/B2674)</f>
        <v>-0.00112840624607974</v>
      </c>
      <c r="E2675" s="1" t="n">
        <f aca="false">LN(C2675/C2674)</f>
        <v>7.76204670036994E-005</v>
      </c>
      <c r="F2675" s="1" t="n">
        <f aca="false">B2675/B2674-1</f>
        <v>-0.00112776983515084</v>
      </c>
      <c r="G2675" s="1" t="n">
        <f aca="false">C2675/C2674-1</f>
        <v>7.7623479550093E-005</v>
      </c>
    </row>
    <row r="2676" customFormat="false" ht="15" hidden="false" customHeight="false" outlineLevel="0" collapsed="false">
      <c r="A2676" s="1" t="s">
        <v>2683</v>
      </c>
      <c r="B2676" s="5" t="n">
        <v>40.1126</v>
      </c>
      <c r="C2676" s="5" t="n">
        <v>12.8829</v>
      </c>
      <c r="D2676" s="1" t="n">
        <f aca="false">LN(B2676/B2675)</f>
        <v>0.00196390423274784</v>
      </c>
      <c r="E2676" s="1" t="n">
        <f aca="false">LN(C2676/C2675)</f>
        <v>-6.20958916004731E-005</v>
      </c>
      <c r="F2676" s="1" t="n">
        <f aca="false">B2676/B2675-1</f>
        <v>0.00196583395572247</v>
      </c>
      <c r="G2676" s="1" t="n">
        <f aca="false">C2676/C2675-1</f>
        <v>-6.20939636905016E-005</v>
      </c>
    </row>
    <row r="2677" customFormat="false" ht="15" hidden="false" customHeight="false" outlineLevel="0" collapsed="false">
      <c r="A2677" s="1" t="s">
        <v>2684</v>
      </c>
      <c r="B2677" s="5" t="n">
        <v>40.1362</v>
      </c>
      <c r="C2677" s="5" t="n">
        <v>12.8835</v>
      </c>
      <c r="D2677" s="1" t="n">
        <f aca="false">LN(B2677/B2676)</f>
        <v>0.000588170805802933</v>
      </c>
      <c r="E2677" s="1" t="n">
        <f aca="false">LN(C2677/C2676)</f>
        <v>4.65722801873489E-005</v>
      </c>
      <c r="F2677" s="1" t="n">
        <f aca="false">B2677/B2676-1</f>
        <v>0.000588343812168768</v>
      </c>
      <c r="G2677" s="1" t="n">
        <f aca="false">C2677/C2676-1</f>
        <v>4.65733646928257E-005</v>
      </c>
    </row>
    <row r="2678" customFormat="false" ht="15" hidden="false" customHeight="false" outlineLevel="0" collapsed="false">
      <c r="A2678" s="1" t="s">
        <v>2685</v>
      </c>
      <c r="B2678" s="5" t="n">
        <v>40.1142</v>
      </c>
      <c r="C2678" s="5" t="n">
        <v>12.8841</v>
      </c>
      <c r="D2678" s="1" t="n">
        <f aca="false">LN(B2678/B2677)</f>
        <v>-0.000548283885217632</v>
      </c>
      <c r="E2678" s="1" t="n">
        <f aca="false">LN(C2678/C2677)</f>
        <v>4.65701113109163E-005</v>
      </c>
      <c r="F2678" s="1" t="n">
        <f aca="false">B2678/B2677-1</f>
        <v>-0.000548133605074885</v>
      </c>
      <c r="G2678" s="1" t="n">
        <f aca="false">C2678/C2677-1</f>
        <v>4.65711957153836E-005</v>
      </c>
    </row>
    <row r="2679" customFormat="false" ht="15" hidden="false" customHeight="false" outlineLevel="0" collapsed="false">
      <c r="A2679" s="1" t="s">
        <v>2686</v>
      </c>
      <c r="B2679" s="5" t="n">
        <v>39.9331</v>
      </c>
      <c r="C2679" s="5" t="n">
        <v>12.8841</v>
      </c>
      <c r="D2679" s="1" t="n">
        <f aca="false">LN(B2679/B2678)</f>
        <v>-0.00452483241754078</v>
      </c>
      <c r="E2679" s="1" t="n">
        <f aca="false">LN(C2679/C2678)</f>
        <v>0</v>
      </c>
      <c r="F2679" s="1" t="n">
        <f aca="false">B2679/B2678-1</f>
        <v>-0.00451461078620519</v>
      </c>
      <c r="G2679" s="1" t="n">
        <f aca="false">C2679/C2678-1</f>
        <v>0</v>
      </c>
    </row>
    <row r="2680" customFormat="false" ht="15" hidden="false" customHeight="false" outlineLevel="0" collapsed="false">
      <c r="A2680" s="1" t="s">
        <v>2687</v>
      </c>
      <c r="B2680" s="5" t="n">
        <v>39.9509</v>
      </c>
      <c r="C2680" s="5" t="n">
        <v>12.8843</v>
      </c>
      <c r="D2680" s="1" t="n">
        <f aca="false">LN(B2680/B2679)</f>
        <v>0.000445646194346431</v>
      </c>
      <c r="E2680" s="1" t="n">
        <f aca="false">LN(C2680/C2679)</f>
        <v>1.55228884993436E-005</v>
      </c>
      <c r="F2680" s="1" t="n">
        <f aca="false">B2680/B2679-1</f>
        <v>0.00044574550936427</v>
      </c>
      <c r="G2680" s="1" t="n">
        <f aca="false">C2680/C2679-1</f>
        <v>1.55230089800007E-005</v>
      </c>
    </row>
    <row r="2681" customFormat="false" ht="15" hidden="false" customHeight="false" outlineLevel="0" collapsed="false">
      <c r="A2681" s="1" t="s">
        <v>2688</v>
      </c>
      <c r="B2681" s="5" t="n">
        <v>39.2648</v>
      </c>
      <c r="C2681" s="5" t="n">
        <v>12.8849</v>
      </c>
      <c r="D2681" s="1" t="n">
        <f aca="false">LN(B2681/B2680)</f>
        <v>-0.0173227568996676</v>
      </c>
      <c r="E2681" s="1" t="n">
        <f aca="false">LN(C2681/C2680)</f>
        <v>4.65672197902141E-005</v>
      </c>
      <c r="F2681" s="1" t="n">
        <f aca="false">B2681/B2680-1</f>
        <v>-0.0171735805701497</v>
      </c>
      <c r="G2681" s="1" t="n">
        <f aca="false">C2681/C2680-1</f>
        <v>4.6568304060024E-005</v>
      </c>
    </row>
    <row r="2682" customFormat="false" ht="15" hidden="false" customHeight="false" outlineLevel="0" collapsed="false">
      <c r="A2682" s="1" t="s">
        <v>2689</v>
      </c>
      <c r="B2682" s="5" t="n">
        <v>39.4966</v>
      </c>
      <c r="C2682" s="5" t="n">
        <v>12.8853</v>
      </c>
      <c r="D2682" s="1" t="n">
        <f aca="false">LN(B2682/B2681)</f>
        <v>0.00588614903390086</v>
      </c>
      <c r="E2682" s="1" t="n">
        <f aca="false">LN(C2682/C2681)</f>
        <v>3.10436085116689E-005</v>
      </c>
      <c r="F2682" s="1" t="n">
        <f aca="false">B2682/B2681-1</f>
        <v>0.00590350644852378</v>
      </c>
      <c r="G2682" s="1" t="n">
        <f aca="false">C2682/C2681-1</f>
        <v>3.10440903694698E-005</v>
      </c>
    </row>
    <row r="2683" customFormat="false" ht="15" hidden="false" customHeight="false" outlineLevel="0" collapsed="false">
      <c r="A2683" s="1" t="s">
        <v>2690</v>
      </c>
      <c r="B2683" s="5" t="n">
        <v>39.5794</v>
      </c>
      <c r="C2683" s="5" t="n">
        <v>12.8849</v>
      </c>
      <c r="D2683" s="1" t="n">
        <f aca="false">LN(B2683/B2682)</f>
        <v>0.00209418863525773</v>
      </c>
      <c r="E2683" s="1" t="n">
        <f aca="false">LN(C2683/C2682)</f>
        <v>-3.10436085116275E-005</v>
      </c>
      <c r="F2683" s="1" t="n">
        <f aca="false">B2683/B2682-1</f>
        <v>0.00209638297980086</v>
      </c>
      <c r="G2683" s="1" t="n">
        <f aca="false">C2683/C2682-1</f>
        <v>-3.10431266637989E-005</v>
      </c>
    </row>
    <row r="2684" customFormat="false" ht="15" hidden="false" customHeight="false" outlineLevel="0" collapsed="false">
      <c r="A2684" s="1" t="s">
        <v>2691</v>
      </c>
      <c r="B2684" s="5" t="n">
        <v>39.462</v>
      </c>
      <c r="C2684" s="5" t="n">
        <v>12.886</v>
      </c>
      <c r="D2684" s="1" t="n">
        <f aca="false">LN(B2684/B2683)</f>
        <v>-0.00297059734095061</v>
      </c>
      <c r="E2684" s="1" t="n">
        <f aca="false">LN(C2684/C2683)</f>
        <v>8.53676045979503E-005</v>
      </c>
      <c r="F2684" s="1" t="n">
        <f aca="false">B2684/B2683-1</f>
        <v>-0.00296618948240746</v>
      </c>
      <c r="G2684" s="1" t="n">
        <f aca="false">C2684/C2683-1</f>
        <v>8.53712485155977E-005</v>
      </c>
    </row>
    <row r="2685" customFormat="false" ht="15" hidden="false" customHeight="false" outlineLevel="0" collapsed="false">
      <c r="A2685" s="1" t="s">
        <v>2692</v>
      </c>
      <c r="B2685" s="5" t="n">
        <v>40.2449</v>
      </c>
      <c r="C2685" s="5" t="n">
        <v>12.8866</v>
      </c>
      <c r="D2685" s="1" t="n">
        <f aca="false">LN(B2685/B2684)</f>
        <v>0.0196451042146229</v>
      </c>
      <c r="E2685" s="1" t="n">
        <f aca="false">LN(C2685/C2684)</f>
        <v>4.65610765006296E-005</v>
      </c>
      <c r="F2685" s="1" t="n">
        <f aca="false">B2685/B2684-1</f>
        <v>0.0198393391110434</v>
      </c>
      <c r="G2685" s="1" t="n">
        <f aca="false">C2685/C2684-1</f>
        <v>4.65621604843758E-005</v>
      </c>
    </row>
    <row r="2686" customFormat="false" ht="15" hidden="false" customHeight="false" outlineLevel="0" collapsed="false">
      <c r="A2686" s="1" t="s">
        <v>2693</v>
      </c>
      <c r="B2686" s="5" t="n">
        <v>40.6232</v>
      </c>
      <c r="C2686" s="5" t="n">
        <v>12.8866</v>
      </c>
      <c r="D2686" s="1" t="n">
        <f aca="false">LN(B2686/B2685)</f>
        <v>0.00935604421408709</v>
      </c>
      <c r="E2686" s="1" t="n">
        <f aca="false">LN(C2686/C2685)</f>
        <v>0</v>
      </c>
      <c r="F2686" s="1" t="n">
        <f aca="false">B2686/B2685-1</f>
        <v>0.00939994881339001</v>
      </c>
      <c r="G2686" s="1" t="n">
        <f aca="false">C2686/C2685-1</f>
        <v>0</v>
      </c>
    </row>
    <row r="2687" customFormat="false" ht="15" hidden="false" customHeight="false" outlineLevel="0" collapsed="false">
      <c r="A2687" s="1" t="s">
        <v>2694</v>
      </c>
      <c r="B2687" s="5" t="n">
        <v>40.4709</v>
      </c>
      <c r="C2687" s="5" t="n">
        <v>12.8868</v>
      </c>
      <c r="D2687" s="1" t="n">
        <f aca="false">LN(B2687/B2686)</f>
        <v>-0.00375613464015103</v>
      </c>
      <c r="E2687" s="1" t="n">
        <f aca="false">LN(C2687/C2686)</f>
        <v>1.55198770827844E-005</v>
      </c>
      <c r="F2687" s="1" t="n">
        <f aca="false">B2687/B2686-1</f>
        <v>-0.00374908919041328</v>
      </c>
      <c r="G2687" s="1" t="n">
        <f aca="false">C2687/C2686-1</f>
        <v>1.55199975166997E-005</v>
      </c>
    </row>
    <row r="2688" customFormat="false" ht="15" hidden="false" customHeight="false" outlineLevel="0" collapsed="false">
      <c r="A2688" s="1" t="s">
        <v>2695</v>
      </c>
      <c r="B2688" s="5" t="n">
        <v>40.9262</v>
      </c>
      <c r="C2688" s="5" t="n">
        <v>12.8873</v>
      </c>
      <c r="D2688" s="1" t="n">
        <f aca="false">LN(B2688/B2687)</f>
        <v>0.0111872474218518</v>
      </c>
      <c r="E2688" s="1" t="n">
        <f aca="false">LN(C2688/C2687)</f>
        <v>3.87986389486172E-005</v>
      </c>
      <c r="F2688" s="1" t="n">
        <f aca="false">B2688/B2687-1</f>
        <v>0.0112500586841411</v>
      </c>
      <c r="G2688" s="1" t="n">
        <f aca="false">C2688/C2687-1</f>
        <v>3.87993916255436E-005</v>
      </c>
    </row>
    <row r="2689" customFormat="false" ht="15" hidden="false" customHeight="false" outlineLevel="0" collapsed="false">
      <c r="A2689" s="1" t="s">
        <v>2696</v>
      </c>
      <c r="B2689" s="5" t="n">
        <v>41.431</v>
      </c>
      <c r="C2689" s="5" t="n">
        <v>12.8884</v>
      </c>
      <c r="D2689" s="1" t="n">
        <f aca="false">LN(B2689/B2688)</f>
        <v>0.0122589481390563</v>
      </c>
      <c r="E2689" s="1" t="n">
        <f aca="false">LN(C2689/C2688)</f>
        <v>8.53517072799546E-005</v>
      </c>
      <c r="F2689" s="1" t="n">
        <f aca="false">B2689/B2688-1</f>
        <v>0.012334397036617</v>
      </c>
      <c r="G2689" s="1" t="n">
        <f aca="false">C2689/C2688-1</f>
        <v>8.53553498405546E-005</v>
      </c>
    </row>
    <row r="2690" customFormat="false" ht="15" hidden="false" customHeight="false" outlineLevel="0" collapsed="false">
      <c r="A2690" s="1" t="s">
        <v>2697</v>
      </c>
      <c r="B2690" s="5" t="n">
        <v>41.4689</v>
      </c>
      <c r="C2690" s="5" t="n">
        <v>12.8875</v>
      </c>
      <c r="D2690" s="1" t="n">
        <f aca="false">LN(B2690/B2689)</f>
        <v>0.000914355810815653</v>
      </c>
      <c r="E2690" s="1" t="n">
        <f aca="false">LN(C2690/C2689)</f>
        <v>-6.98326731843702E-005</v>
      </c>
      <c r="F2690" s="1" t="n">
        <f aca="false">B2690/B2689-1</f>
        <v>0.000914773961526505</v>
      </c>
      <c r="G2690" s="1" t="n">
        <f aca="false">C2690/C2689-1</f>
        <v>-6.98302349400048E-005</v>
      </c>
    </row>
    <row r="2691" customFormat="false" ht="15" hidden="false" customHeight="false" outlineLevel="0" collapsed="false">
      <c r="A2691" s="1" t="s">
        <v>2698</v>
      </c>
      <c r="B2691" s="5" t="n">
        <v>41.2336</v>
      </c>
      <c r="C2691" s="5" t="n">
        <v>12.8878</v>
      </c>
      <c r="D2691" s="1" t="n">
        <f aca="false">LN(B2691/B2690)</f>
        <v>-0.00569029073863285</v>
      </c>
      <c r="E2691" s="1" t="n">
        <f aca="false">LN(C2691/C2690)</f>
        <v>2.32780995770171E-005</v>
      </c>
      <c r="F2691" s="1" t="n">
        <f aca="false">B2691/B2690-1</f>
        <v>-0.00567413169869457</v>
      </c>
      <c r="G2691" s="1" t="n">
        <f aca="false">C2691/C2690-1</f>
        <v>2.32783705140793E-005</v>
      </c>
    </row>
    <row r="2692" customFormat="false" ht="15" hidden="false" customHeight="false" outlineLevel="0" collapsed="false">
      <c r="A2692" s="1" t="s">
        <v>2699</v>
      </c>
      <c r="B2692" s="5" t="n">
        <v>40.6569</v>
      </c>
      <c r="C2692" s="5" t="n">
        <v>12.8885</v>
      </c>
      <c r="D2692" s="1" t="n">
        <f aca="false">LN(B2692/B2691)</f>
        <v>-0.0140848946821741</v>
      </c>
      <c r="E2692" s="1" t="n">
        <f aca="false">LN(C2692/C2691)</f>
        <v>5.43134585004612E-005</v>
      </c>
      <c r="F2692" s="1" t="n">
        <f aca="false">B2692/B2691-1</f>
        <v>-0.0139861666213962</v>
      </c>
      <c r="G2692" s="1" t="n">
        <f aca="false">C2692/C2691-1</f>
        <v>5.43149335030524E-005</v>
      </c>
    </row>
    <row r="2693" customFormat="false" ht="15" hidden="false" customHeight="false" outlineLevel="0" collapsed="false">
      <c r="A2693" s="1" t="s">
        <v>2700</v>
      </c>
      <c r="B2693" s="5" t="n">
        <v>41.3267</v>
      </c>
      <c r="C2693" s="5" t="n">
        <v>12.8887</v>
      </c>
      <c r="D2693" s="1" t="n">
        <f aca="false">LN(B2693/B2692)</f>
        <v>0.0163402169003006</v>
      </c>
      <c r="E2693" s="1" t="n">
        <f aca="false">LN(C2693/C2692)</f>
        <v>1.55175891875561E-005</v>
      </c>
      <c r="F2693" s="1" t="n">
        <f aca="false">B2693/B2692-1</f>
        <v>0.0164744483716173</v>
      </c>
      <c r="G2693" s="1" t="n">
        <f aca="false">C2693/C2692-1</f>
        <v>1.5517709585966E-005</v>
      </c>
    </row>
    <row r="2694" customFormat="false" ht="15" hidden="false" customHeight="false" outlineLevel="0" collapsed="false">
      <c r="A2694" s="1" t="s">
        <v>2701</v>
      </c>
      <c r="B2694" s="5" t="n">
        <v>41.5996</v>
      </c>
      <c r="C2694" s="5" t="n">
        <v>12.8892</v>
      </c>
      <c r="D2694" s="1" t="n">
        <f aca="false">LN(B2694/B2693)</f>
        <v>0.00658177164932895</v>
      </c>
      <c r="E2694" s="1" t="n">
        <f aca="false">LN(C2694/C2693)</f>
        <v>3.87929195213124E-005</v>
      </c>
      <c r="F2694" s="1" t="n">
        <f aca="false">B2694/B2693-1</f>
        <v>0.00660347910672754</v>
      </c>
      <c r="G2694" s="1" t="n">
        <f aca="false">C2694/C2693-1</f>
        <v>3.87936719763449E-005</v>
      </c>
    </row>
    <row r="2695" customFormat="false" ht="15" hidden="false" customHeight="false" outlineLevel="0" collapsed="false">
      <c r="A2695" s="1" t="s">
        <v>2702</v>
      </c>
      <c r="B2695" s="5" t="n">
        <v>41.7693</v>
      </c>
      <c r="C2695" s="5" t="n">
        <v>12.8895</v>
      </c>
      <c r="D2695" s="1" t="n">
        <f aca="false">LN(B2695/B2694)</f>
        <v>0.00407106809321452</v>
      </c>
      <c r="E2695" s="1" t="n">
        <f aca="false">LN(C2695/C2694)</f>
        <v>2.32750293857707E-005</v>
      </c>
      <c r="F2695" s="1" t="n">
        <f aca="false">B2695/B2694-1</f>
        <v>0.0040793661477514</v>
      </c>
      <c r="G2695" s="1" t="n">
        <f aca="false">C2695/C2694-1</f>
        <v>2.32753002513686E-005</v>
      </c>
    </row>
    <row r="2696" customFormat="false" ht="15" hidden="false" customHeight="false" outlineLevel="0" collapsed="false">
      <c r="A2696" s="1" t="s">
        <v>2703</v>
      </c>
      <c r="B2696" s="5" t="n">
        <v>41.7624</v>
      </c>
      <c r="C2696" s="5" t="n">
        <v>12.8893</v>
      </c>
      <c r="D2696" s="1" t="n">
        <f aca="false">LN(B2696/B2695)</f>
        <v>-0.000165206742247458</v>
      </c>
      <c r="E2696" s="1" t="n">
        <f aca="false">LN(C2696/C2695)</f>
        <v>-1.55166260650972E-005</v>
      </c>
      <c r="F2696" s="1" t="n">
        <f aca="false">B2696/B2695-1</f>
        <v>-0.000165193096365091</v>
      </c>
      <c r="G2696" s="1" t="n">
        <f aca="false">C2696/C2695-1</f>
        <v>-1.55165056828777E-005</v>
      </c>
    </row>
    <row r="2697" customFormat="false" ht="15" hidden="false" customHeight="false" outlineLevel="0" collapsed="false">
      <c r="A2697" s="1" t="s">
        <v>2704</v>
      </c>
      <c r="B2697" s="5" t="n">
        <v>41.8957</v>
      </c>
      <c r="C2697" s="5" t="n">
        <v>12.8892</v>
      </c>
      <c r="D2697" s="1" t="n">
        <f aca="false">LN(B2697/B2696)</f>
        <v>0.00318678317608513</v>
      </c>
      <c r="E2697" s="1" t="n">
        <f aca="false">LN(C2697/C2696)</f>
        <v>-7.75840332064238E-006</v>
      </c>
      <c r="F2697" s="1" t="n">
        <f aca="false">B2697/B2696-1</f>
        <v>0.0031918663678332</v>
      </c>
      <c r="G2697" s="1" t="n">
        <f aca="false">C2697/C2696-1</f>
        <v>-7.75837322430917E-006</v>
      </c>
    </row>
    <row r="2698" customFormat="false" ht="15" hidden="false" customHeight="false" outlineLevel="0" collapsed="false">
      <c r="A2698" s="1" t="s">
        <v>2705</v>
      </c>
      <c r="B2698" s="5" t="n">
        <v>42.1838</v>
      </c>
      <c r="C2698" s="5" t="n">
        <v>12.8894</v>
      </c>
      <c r="D2698" s="1" t="n">
        <f aca="false">LN(B2698/B2697)</f>
        <v>0.00685306471942372</v>
      </c>
      <c r="E2698" s="1" t="n">
        <f aca="false">LN(C2698/C2697)</f>
        <v>1.55167464489869E-005</v>
      </c>
      <c r="F2698" s="1" t="n">
        <f aca="false">B2698/B2697-1</f>
        <v>0.00687660070126528</v>
      </c>
      <c r="G2698" s="1" t="n">
        <f aca="false">C2698/C2697-1</f>
        <v>1.55168668343197E-005</v>
      </c>
    </row>
    <row r="2699" customFormat="false" ht="15" hidden="false" customHeight="false" outlineLevel="0" collapsed="false">
      <c r="A2699" s="1" t="s">
        <v>2706</v>
      </c>
      <c r="B2699" s="5" t="n">
        <v>42.4369</v>
      </c>
      <c r="C2699" s="5" t="n">
        <v>12.8889</v>
      </c>
      <c r="D2699" s="1" t="n">
        <f aca="false">LN(B2699/B2698)</f>
        <v>0.0059820056972355</v>
      </c>
      <c r="E2699" s="1" t="n">
        <f aca="false">LN(C2699/C2698)</f>
        <v>-3.87923175742884E-005</v>
      </c>
      <c r="F2699" s="1" t="n">
        <f aca="false">B2699/B2698-1</f>
        <v>0.00599993362380835</v>
      </c>
      <c r="G2699" s="1" t="n">
        <f aca="false">C2699/C2698-1</f>
        <v>-3.87915651620663E-005</v>
      </c>
    </row>
    <row r="2700" customFormat="false" ht="15" hidden="false" customHeight="false" outlineLevel="0" collapsed="false">
      <c r="A2700" s="1" t="s">
        <v>2707</v>
      </c>
      <c r="B2700" s="5" t="n">
        <v>42.7707</v>
      </c>
      <c r="C2700" s="5" t="n">
        <v>12.8895</v>
      </c>
      <c r="D2700" s="1" t="n">
        <f aca="false">LN(B2700/B2699)</f>
        <v>0.00783502193691146</v>
      </c>
      <c r="E2700" s="1" t="n">
        <f aca="false">LN(C2700/C2699)</f>
        <v>4.65506005111181E-005</v>
      </c>
      <c r="F2700" s="1" t="n">
        <f aca="false">B2700/B2699-1</f>
        <v>0.00786579604070981</v>
      </c>
      <c r="G2700" s="1" t="n">
        <f aca="false">C2700/C2699-1</f>
        <v>4.65516840071345E-005</v>
      </c>
    </row>
    <row r="2701" customFormat="false" ht="15" hidden="false" customHeight="false" outlineLevel="0" collapsed="false">
      <c r="A2701" s="1" t="s">
        <v>2708</v>
      </c>
      <c r="B2701" s="5" t="n">
        <v>42.8885</v>
      </c>
      <c r="C2701" s="5" t="n">
        <v>12.8896</v>
      </c>
      <c r="D2701" s="1" t="n">
        <f aca="false">LN(B2701/B2700)</f>
        <v>0.00275043601299288</v>
      </c>
      <c r="E2701" s="1" t="n">
        <f aca="false">LN(C2701/C2700)</f>
        <v>7.75822274640642E-006</v>
      </c>
      <c r="F2701" s="1" t="n">
        <f aca="false">B2701/B2700-1</f>
        <v>0.00275422193230424</v>
      </c>
      <c r="G2701" s="1" t="n">
        <f aca="false">C2701/C2700-1</f>
        <v>7.75825284149434E-006</v>
      </c>
    </row>
    <row r="2702" customFormat="false" ht="15" hidden="false" customHeight="false" outlineLevel="0" collapsed="false">
      <c r="A2702" s="1" t="s">
        <v>2709</v>
      </c>
      <c r="B2702" s="5" t="n">
        <v>42.4663</v>
      </c>
      <c r="C2702" s="5" t="n">
        <v>12.8905</v>
      </c>
      <c r="D2702" s="1" t="n">
        <f aca="false">LN(B2702/B2701)</f>
        <v>-0.00989290452023166</v>
      </c>
      <c r="E2702" s="1" t="n">
        <f aca="false">LN(C2702/C2701)</f>
        <v>6.98212962995554E-005</v>
      </c>
      <c r="F2702" s="1" t="n">
        <f aca="false">B2702/B2701-1</f>
        <v>-0.00984413071102985</v>
      </c>
      <c r="G2702" s="1" t="n">
        <f aca="false">C2702/C2701-1</f>
        <v>6.98237338629948E-005</v>
      </c>
    </row>
    <row r="2703" customFormat="false" ht="15" hidden="false" customHeight="false" outlineLevel="0" collapsed="false">
      <c r="A2703" s="1" t="s">
        <v>2710</v>
      </c>
      <c r="B2703" s="5" t="n">
        <v>42.4045</v>
      </c>
      <c r="C2703" s="5" t="n">
        <v>12.8915</v>
      </c>
      <c r="D2703" s="1" t="n">
        <f aca="false">LN(B2703/B2702)</f>
        <v>-0.00145633152798468</v>
      </c>
      <c r="E2703" s="1" t="n">
        <f aca="false">LN(C2703/C2702)</f>
        <v>7.75735009310397E-005</v>
      </c>
      <c r="F2703" s="1" t="n">
        <f aca="false">B2703/B2702-1</f>
        <v>-0.0014552715918269</v>
      </c>
      <c r="G2703" s="1" t="n">
        <f aca="false">C2703/C2702-1</f>
        <v>7.75765098328662E-005</v>
      </c>
    </row>
    <row r="2704" customFormat="false" ht="15" hidden="false" customHeight="false" outlineLevel="0" collapsed="false">
      <c r="A2704" s="1" t="s">
        <v>2711</v>
      </c>
      <c r="B2704" s="5" t="n">
        <v>42.5934</v>
      </c>
      <c r="C2704" s="5" t="n">
        <v>12.8909</v>
      </c>
      <c r="D2704" s="1" t="n">
        <f aca="false">LN(B2704/B2703)</f>
        <v>0.00444482301325978</v>
      </c>
      <c r="E2704" s="1" t="n">
        <f aca="false">LN(C2704/C2703)</f>
        <v>-4.65433784371036E-005</v>
      </c>
      <c r="F2704" s="1" t="n">
        <f aca="false">B2704/B2703-1</f>
        <v>0.00445471589100221</v>
      </c>
      <c r="G2704" s="1" t="n">
        <f aca="false">C2704/C2703-1</f>
        <v>-4.65422953108696E-005</v>
      </c>
    </row>
    <row r="2705" customFormat="false" ht="15" hidden="false" customHeight="false" outlineLevel="0" collapsed="false">
      <c r="A2705" s="1" t="s">
        <v>2712</v>
      </c>
      <c r="B2705" s="5" t="n">
        <v>42.3541</v>
      </c>
      <c r="C2705" s="5" t="n">
        <v>12.8906</v>
      </c>
      <c r="D2705" s="1" t="n">
        <f aca="false">LN(B2705/B2704)</f>
        <v>-0.0056340830043456</v>
      </c>
      <c r="E2705" s="1" t="n">
        <f aca="false">LN(C2705/C2704)</f>
        <v>-2.32725016011302E-005</v>
      </c>
      <c r="F2705" s="1" t="n">
        <f aca="false">B2705/B2704-1</f>
        <v>-0.0056182413237732</v>
      </c>
      <c r="G2705" s="1" t="n">
        <f aca="false">C2705/C2704-1</f>
        <v>-2.32722307985656E-005</v>
      </c>
    </row>
    <row r="2706" customFormat="false" ht="15" hidden="false" customHeight="false" outlineLevel="0" collapsed="false">
      <c r="A2706" s="1" t="s">
        <v>2713</v>
      </c>
      <c r="B2706" s="5" t="n">
        <v>41.9642</v>
      </c>
      <c r="C2706" s="5" t="n">
        <v>12.8909</v>
      </c>
      <c r="D2706" s="1" t="n">
        <f aca="false">LN(B2706/B2705)</f>
        <v>-0.0092483548429098</v>
      </c>
      <c r="E2706" s="1" t="n">
        <f aca="false">LN(C2706/C2705)</f>
        <v>2.32725016011123E-005</v>
      </c>
      <c r="F2706" s="1" t="n">
        <f aca="false">B2706/B2705-1</f>
        <v>-0.0092057203434851</v>
      </c>
      <c r="G2706" s="1" t="n">
        <f aca="false">C2706/C2705-1</f>
        <v>2.32727724078785E-005</v>
      </c>
    </row>
    <row r="2707" customFormat="false" ht="15" hidden="false" customHeight="false" outlineLevel="0" collapsed="false">
      <c r="A2707" s="1" t="s">
        <v>2714</v>
      </c>
      <c r="B2707" s="5" t="n">
        <v>42.44</v>
      </c>
      <c r="C2707" s="5" t="n">
        <v>12.8909</v>
      </c>
      <c r="D2707" s="1" t="n">
        <f aca="false">LN(B2707/B2706)</f>
        <v>0.0112744398980045</v>
      </c>
      <c r="E2707" s="1" t="n">
        <f aca="false">LN(C2707/C2706)</f>
        <v>0</v>
      </c>
      <c r="F2707" s="1" t="n">
        <f aca="false">B2707/B2706-1</f>
        <v>0.0113382359249075</v>
      </c>
      <c r="G2707" s="1" t="n">
        <f aca="false">C2707/C2706-1</f>
        <v>0</v>
      </c>
    </row>
  </sheetData>
  <mergeCells count="3">
    <mergeCell ref="A2:F2"/>
    <mergeCell ref="A3:F3"/>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46"/>
    <col collapsed="false" customWidth="true" hidden="false" outlineLevel="0" max="5" min="4" style="1" width="16"/>
    <col collapsed="false" customWidth="true" hidden="false" outlineLevel="0" max="7" min="6" style="1" width="10"/>
    <col collapsed="false" customWidth="true" hidden="false" outlineLevel="0" max="8" min="8" style="1" width="60"/>
  </cols>
  <sheetData>
    <row r="1" customFormat="false" ht="17.35" hidden="false" customHeight="false" outlineLevel="0" collapsed="false">
      <c r="A1" s="2" t="s">
        <v>2715</v>
      </c>
    </row>
    <row r="2" customFormat="false" ht="39.75" hidden="false" customHeight="true" outlineLevel="0" collapsed="false">
      <c r="A2" s="8" t="s">
        <v>2716</v>
      </c>
      <c r="B2" s="8"/>
      <c r="C2" s="8"/>
      <c r="D2" s="8"/>
      <c r="E2" s="8"/>
      <c r="F2" s="8"/>
      <c r="G2" s="8"/>
      <c r="H2" s="8"/>
    </row>
    <row r="4" customFormat="false" ht="15" hidden="false" customHeight="false" outlineLevel="0" collapsed="false">
      <c r="A4" s="4" t="s">
        <v>2717</v>
      </c>
      <c r="B4" s="4" t="s">
        <v>2718</v>
      </c>
      <c r="C4" s="4" t="s">
        <v>2719</v>
      </c>
      <c r="D4" s="4" t="s">
        <v>2720</v>
      </c>
      <c r="E4" s="4" t="s">
        <v>2721</v>
      </c>
      <c r="F4" s="4" t="s">
        <v>2722</v>
      </c>
      <c r="G4" s="4" t="s">
        <v>2723</v>
      </c>
      <c r="H4" s="4" t="s">
        <v>2724</v>
      </c>
    </row>
    <row r="5" customFormat="false" ht="15" hidden="false" customHeight="false" outlineLevel="0" collapsed="false">
      <c r="A5" s="1" t="s">
        <v>2725</v>
      </c>
      <c r="B5" s="1" t="s">
        <v>2726</v>
      </c>
      <c r="C5" s="9" t="n">
        <f aca="false">CORREL('Raw Data'!D7:D2707,'Raw Data'!E7:E2707)</f>
        <v>0.207046485383322</v>
      </c>
      <c r="D5" s="1" t="n">
        <f aca="false">CORREL('Raw Data'!D7:D2707,'Raw Data'!E7:E2707)</f>
        <v>0.207046485383322</v>
      </c>
      <c r="E5" s="1" t="n">
        <v>0.207046485383322</v>
      </c>
      <c r="F5" s="1" t="n">
        <f aca="false">ROUND(ABS(E5-D5),6)</f>
        <v>0</v>
      </c>
      <c r="G5" s="1" t="str">
        <f aca="false">IF(F5=0,"Y","N")</f>
        <v>Y</v>
      </c>
      <c r="H5" s="10" t="s">
        <v>2727</v>
      </c>
    </row>
    <row r="6" customFormat="false" ht="15" hidden="false" customHeight="false" outlineLevel="0" collapsed="false">
      <c r="A6" s="1" t="s">
        <v>2728</v>
      </c>
      <c r="B6" s="1" t="s">
        <v>2729</v>
      </c>
      <c r="C6" s="9" t="n">
        <f aca="false">AVERAGE('Raw Data'!D7:D2707)*252</f>
        <v>0.0375407606261881</v>
      </c>
      <c r="D6" s="1" t="n">
        <f aca="false">AVERAGE('Raw Data'!D7:D2707)*252</f>
        <v>0.0375407606261881</v>
      </c>
      <c r="E6" s="1" t="n">
        <v>0.0375407606261881</v>
      </c>
      <c r="F6" s="1" t="n">
        <f aca="false">ROUND(ABS(E6-D6),6)</f>
        <v>0</v>
      </c>
      <c r="G6" s="1" t="str">
        <f aca="false">IF(F6=0,"Y","N")</f>
        <v>Y</v>
      </c>
      <c r="H6" s="10" t="s">
        <v>2730</v>
      </c>
    </row>
    <row r="7" customFormat="false" ht="15" hidden="false" customHeight="false" outlineLevel="0" collapsed="false">
      <c r="A7" s="1" t="s">
        <v>2728</v>
      </c>
      <c r="B7" s="1" t="s">
        <v>2731</v>
      </c>
      <c r="C7" s="9" t="n">
        <f aca="false">AVERAGE('Raw Data'!E7:E2707)*252</f>
        <v>0.00981078959740622</v>
      </c>
      <c r="D7" s="1" t="n">
        <f aca="false">AVERAGE('Raw Data'!E7:E2707)*252</f>
        <v>0.00981078959740622</v>
      </c>
      <c r="E7" s="1" t="n">
        <v>0.00981078959740622</v>
      </c>
      <c r="F7" s="1" t="n">
        <f aca="false">ROUND(ABS(E7-D7),6)</f>
        <v>0</v>
      </c>
      <c r="G7" s="1" t="str">
        <f aca="false">IF(F7=0,"Y","N")</f>
        <v>Y</v>
      </c>
      <c r="H7" s="10" t="s">
        <v>2730</v>
      </c>
    </row>
    <row r="8" customFormat="false" ht="15" hidden="false" customHeight="false" outlineLevel="0" collapsed="false">
      <c r="A8" s="1" t="s">
        <v>2732</v>
      </c>
      <c r="B8" s="1" t="s">
        <v>2729</v>
      </c>
      <c r="C8" s="9" t="n">
        <f aca="false">_xlfn.STDEV.S('Raw Data'!D7:D2707)*SQRT(252)</f>
        <v>0.17290344780092</v>
      </c>
      <c r="D8" s="1" t="n">
        <f aca="false">_xlfn.STDEV.S('Raw Data'!D7:D2707)*SQRT(252)</f>
        <v>0.17290344780092</v>
      </c>
      <c r="E8" s="1" t="n">
        <v>0.17290344780092</v>
      </c>
      <c r="F8" s="1" t="n">
        <f aca="false">ROUND(ABS(E8-D8),6)</f>
        <v>0</v>
      </c>
      <c r="G8" s="1" t="str">
        <f aca="false">IF(F8=0,"Y","N")</f>
        <v>Y</v>
      </c>
      <c r="H8" s="10" t="s">
        <v>2733</v>
      </c>
    </row>
    <row r="9" customFormat="false" ht="15" hidden="false" customHeight="false" outlineLevel="0" collapsed="false">
      <c r="A9" s="1" t="s">
        <v>2732</v>
      </c>
      <c r="B9" s="1" t="s">
        <v>2731</v>
      </c>
      <c r="C9" s="9" t="n">
        <f aca="false">_xlfn.STDEV.S('Raw Data'!E7:E2707)*SQRT(252)</f>
        <v>0.00226173811402104</v>
      </c>
      <c r="D9" s="1" t="n">
        <f aca="false">_xlfn.STDEV.S('Raw Data'!E7:E2707)*SQRT(252)</f>
        <v>0.00226173811402104</v>
      </c>
      <c r="E9" s="1" t="n">
        <v>0.00226173811402104</v>
      </c>
      <c r="F9" s="1" t="n">
        <f aca="false">ROUND(ABS(E9-D9),6)</f>
        <v>0</v>
      </c>
      <c r="G9" s="1" t="str">
        <f aca="false">IF(F9=0,"Y","N")</f>
        <v>Y</v>
      </c>
      <c r="H9" s="10" t="s">
        <v>2733</v>
      </c>
    </row>
    <row r="10" customFormat="false" ht="85.05" hidden="false" customHeight="false" outlineLevel="0" collapsed="false">
      <c r="A10" s="1" t="s">
        <v>2734</v>
      </c>
      <c r="B10" s="1" t="s">
        <v>2729</v>
      </c>
      <c r="C10" s="9" t="n">
        <f aca="false">EXP(SUMPRODUCT(LN(1+'Raw Data'!D7:D2707)))^(252/COUNT('Raw Data'!D7:D2707))-1</f>
        <v>0.0228027784285441</v>
      </c>
      <c r="D10" s="1" t="n">
        <f aca="false">EXP(SUMPRODUCT(LN(1+'Raw Data'!D7:D2707)))^(252/COUNT('Raw Data'!D7:D2707))-1</f>
        <v>0.0228027784285441</v>
      </c>
      <c r="E10" s="1" t="n">
        <v>0.0228027784285443</v>
      </c>
      <c r="F10" s="1" t="n">
        <f aca="false">ROUND(ABS(E10-D10),6)</f>
        <v>0</v>
      </c>
      <c r="G10" s="1" t="str">
        <f aca="false">IF(F10=0,"Y","N")</f>
        <v>Y</v>
      </c>
      <c r="H10" s="10" t="s">
        <v>2735</v>
      </c>
    </row>
    <row r="11" customFormat="false" ht="15" hidden="false" customHeight="false" outlineLevel="0" collapsed="false">
      <c r="A11" s="1" t="s">
        <v>2734</v>
      </c>
      <c r="B11" s="1" t="s">
        <v>2731</v>
      </c>
      <c r="C11" s="9" t="n">
        <f aca="false">EXP(SUMPRODUCT(LN(1+'Raw Data'!E7:E2707)))^(252/COUNT('Raw Data'!E7:E2707))-1</f>
        <v>0.0098563086417014</v>
      </c>
      <c r="D11" s="1" t="n">
        <f aca="false">EXP(SUMPRODUCT(LN(1+'Raw Data'!E7:E2707)))^(252/COUNT('Raw Data'!E7:E2707))-1</f>
        <v>0.0098563086417014</v>
      </c>
      <c r="E11" s="1" t="n">
        <v>0.00985630864170117</v>
      </c>
      <c r="F11" s="1" t="n">
        <f aca="false">ROUND(ABS(E11-D11),6)</f>
        <v>0</v>
      </c>
      <c r="G11" s="1" t="str">
        <f aca="false">IF(F11=0,"Y","N")</f>
        <v>Y</v>
      </c>
      <c r="H11" s="10" t="s">
        <v>2736</v>
      </c>
    </row>
    <row r="13" customFormat="false" ht="15" hidden="false" customHeight="false" outlineLevel="0" collapsed="false">
      <c r="A13" s="11" t="s">
        <v>2737</v>
      </c>
    </row>
    <row r="14" customFormat="false" ht="90" hidden="false" customHeight="true" outlineLevel="0" collapsed="false">
      <c r="A14" s="8" t="s">
        <v>2738</v>
      </c>
      <c r="B14" s="8"/>
      <c r="C14" s="8"/>
      <c r="D14" s="8"/>
      <c r="E14" s="8"/>
      <c r="F14" s="8"/>
      <c r="G14" s="8"/>
      <c r="H14" s="8"/>
    </row>
    <row r="16" customFormat="false" ht="15" hidden="false" customHeight="false" outlineLevel="0" collapsed="false">
      <c r="A16" s="11" t="s">
        <v>2739</v>
      </c>
      <c r="B16" s="5" t="n">
        <v>0.5</v>
      </c>
    </row>
    <row r="17" customFormat="false" ht="15" hidden="false" customHeight="false" outlineLevel="0" collapsed="false">
      <c r="A17" s="11" t="s">
        <v>2740</v>
      </c>
      <c r="B17" s="5" t="n">
        <v>0.5</v>
      </c>
    </row>
    <row r="18" customFormat="false" ht="15" hidden="false" customHeight="false" outlineLevel="0" collapsed="false">
      <c r="A18" s="1" t="s">
        <v>2741</v>
      </c>
      <c r="B18" s="1" t="n">
        <f aca="false">B16*AVERAGE('Raw Data'!D7:D2707)*252+B17*AVERAGE('Raw Data'!E7:E2707)*252</f>
        <v>0.0236757751117972</v>
      </c>
    </row>
    <row r="19" customFormat="false" ht="15" hidden="false" customHeight="false" outlineLevel="0" collapsed="false">
      <c r="A19" s="1" t="s">
        <v>2742</v>
      </c>
      <c r="B19" s="1" t="n">
        <f aca="false">B16^2*(_xlfn.STDEV.S('Raw Data'!D7:D2707)*SQRT(252))^2+B17^2*(_xlfn.STDEV.S('Raw Data'!E7:E2707)*SQRT(252))^2+2*B16*B17*_xlfn.COVARIANCE.S('Raw Data'!D7:D2707,'Raw Data'!E7:E2707)*252</f>
        <v>0.00751566346943287</v>
      </c>
    </row>
    <row r="20" customFormat="false" ht="15" hidden="false" customHeight="false" outlineLevel="0" collapsed="false">
      <c r="A20" s="1" t="s">
        <v>2743</v>
      </c>
      <c r="B20" s="1" t="n">
        <f aca="false">SQRT(B19)</f>
        <v>0.086692926294092</v>
      </c>
    </row>
    <row r="21" customFormat="false" ht="15" hidden="false" customHeight="false" outlineLevel="0" collapsed="false">
      <c r="A21" s="1" t="s">
        <v>2744</v>
      </c>
      <c r="B21" s="1" t="n">
        <f aca="false">_xlfn.NORM.S.INV(0.9)</f>
        <v>1.2815515655446</v>
      </c>
    </row>
    <row r="22" customFormat="false" ht="15" hidden="false" customHeight="false" outlineLevel="0" collapsed="false">
      <c r="A22" s="1" t="s">
        <v>2745</v>
      </c>
      <c r="B22" s="1" t="n">
        <f aca="false">-B18+B21*B20</f>
        <v>0.0874256803020391</v>
      </c>
    </row>
    <row r="23" customFormat="false" ht="15" hidden="false" customHeight="false" outlineLevel="0" collapsed="false">
      <c r="A23" s="1" t="s">
        <v>2746</v>
      </c>
      <c r="B23" s="1" t="n">
        <f aca="false">-B18+(_xlfn.NORM.S.DIST(B21,FALSE())/(1-0.9))*B20</f>
        <v>0.128468864437795</v>
      </c>
    </row>
    <row r="24" customFormat="false" ht="15" hidden="false" customHeight="false" outlineLevel="0" collapsed="false">
      <c r="A24" s="1" t="s">
        <v>2747</v>
      </c>
      <c r="B24" s="1" t="n">
        <v>0.087425680302039</v>
      </c>
      <c r="C24" s="1" t="n">
        <f aca="false">ROUND(ABS(B24-B22),6)</f>
        <v>0</v>
      </c>
      <c r="D24" s="1" t="str">
        <f aca="false">IF(C24=0,"Y","N")</f>
        <v>Y</v>
      </c>
    </row>
    <row r="25" customFormat="false" ht="15" hidden="false" customHeight="false" outlineLevel="0" collapsed="false">
      <c r="A25" s="1" t="s">
        <v>2748</v>
      </c>
      <c r="B25" s="1" t="n">
        <v>0.128468864437795</v>
      </c>
      <c r="C25" s="1" t="n">
        <f aca="false">ROUND(ABS(B25-B23),6)</f>
        <v>0</v>
      </c>
      <c r="D25" s="1" t="str">
        <f aca="false">IF(C25=0,"Y","N")</f>
        <v>Y</v>
      </c>
    </row>
  </sheetData>
  <mergeCells count="2">
    <mergeCell ref="A2:H2"/>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5"/>
    <col collapsed="false" customWidth="true" hidden="false" outlineLevel="0" max="2" min="2" style="1" width="22"/>
    <col collapsed="false" customWidth="true" hidden="false" outlineLevel="0" max="3" min="3" style="1" width="34"/>
    <col collapsed="false" customWidth="true" hidden="false" outlineLevel="0" max="4" min="4" style="1" width="20"/>
    <col collapsed="false" customWidth="true" hidden="false" outlineLevel="0" max="5" min="5" style="1" width="10"/>
    <col collapsed="false" customWidth="true" hidden="false" outlineLevel="0" max="6" min="6" style="1" width="12"/>
  </cols>
  <sheetData>
    <row r="1" customFormat="false" ht="17.35" hidden="false" customHeight="false" outlineLevel="0" collapsed="false">
      <c r="A1" s="2" t="s">
        <v>2749</v>
      </c>
    </row>
    <row r="2" customFormat="false" ht="79.5" hidden="false" customHeight="true" outlineLevel="0" collapsed="false">
      <c r="A2" s="8" t="s">
        <v>2750</v>
      </c>
      <c r="B2" s="8"/>
      <c r="C2" s="8"/>
      <c r="D2" s="8"/>
      <c r="E2" s="8"/>
      <c r="F2" s="8"/>
    </row>
    <row r="4" customFormat="false" ht="15" hidden="false" customHeight="false" outlineLevel="0" collapsed="false">
      <c r="A4" s="11" t="s">
        <v>2751</v>
      </c>
    </row>
    <row r="5" customFormat="false" ht="15" hidden="false" customHeight="false" outlineLevel="0" collapsed="false">
      <c r="A5" s="4" t="s">
        <v>2718</v>
      </c>
      <c r="B5" s="4" t="s">
        <v>2752</v>
      </c>
    </row>
    <row r="6" customFormat="false" ht="15" hidden="false" customHeight="false" outlineLevel="0" collapsed="false">
      <c r="A6" s="1" t="s">
        <v>2753</v>
      </c>
      <c r="B6" s="1" t="n">
        <f aca="false">AVERAGE('Raw Data'!D7:D2707)*252</f>
        <v>0.0375407606261881</v>
      </c>
    </row>
    <row r="7" customFormat="false" ht="15" hidden="false" customHeight="false" outlineLevel="0" collapsed="false">
      <c r="A7" s="1" t="s">
        <v>2754</v>
      </c>
      <c r="B7" s="1" t="n">
        <f aca="false">AVERAGE('Raw Data'!E7:E2707)*252</f>
        <v>0.00981078959740622</v>
      </c>
    </row>
    <row r="9" customFormat="false" ht="15" hidden="false" customHeight="false" outlineLevel="0" collapsed="false">
      <c r="A9" s="11" t="s">
        <v>2755</v>
      </c>
    </row>
    <row r="10" customFormat="false" ht="15" hidden="false" customHeight="false" outlineLevel="0" collapsed="false">
      <c r="B10" s="4" t="s">
        <v>2729</v>
      </c>
      <c r="C10" s="4" t="s">
        <v>2731</v>
      </c>
      <c r="D10" s="4"/>
    </row>
    <row r="11" customFormat="false" ht="15" hidden="false" customHeight="false" outlineLevel="0" collapsed="false">
      <c r="A11" s="1" t="s">
        <v>2729</v>
      </c>
      <c r="B11" s="1" t="n">
        <f aca="false">_xlfn.STDEV.S('Raw Data'!D7:D2707)^2*252</f>
        <v>0.0298956022614456</v>
      </c>
      <c r="C11" s="1" t="n">
        <f aca="false">_xlfn.COVARIANCE.S('Raw Data'!D7:D2707,'Raw Data'!E7:E2707)*252</f>
        <v>8.09680784947086E-005</v>
      </c>
    </row>
    <row r="12" customFormat="false" ht="15" hidden="false" customHeight="false" outlineLevel="0" collapsed="false">
      <c r="A12" s="1" t="s">
        <v>2731</v>
      </c>
      <c r="B12" s="1" t="n">
        <f aca="false">_xlfn.COVARIANCE.S('Raw Data'!D7:D2707,'Raw Data'!E7:E2707)*252</f>
        <v>8.09680784947086E-005</v>
      </c>
      <c r="C12" s="1" t="n">
        <f aca="false">_xlfn.STDEV.S('Raw Data'!E7:E2707)^2*252</f>
        <v>5.11545929641543E-006</v>
      </c>
    </row>
    <row r="14" customFormat="false" ht="15" hidden="false" customHeight="false" outlineLevel="0" collapsed="false">
      <c r="A14" s="11" t="s">
        <v>2756</v>
      </c>
    </row>
    <row r="15" customFormat="false" ht="15" hidden="false" customHeight="false" outlineLevel="0" collapsed="false">
      <c r="A15" s="1" t="s">
        <v>2757</v>
      </c>
      <c r="B15" s="5" t="n">
        <v>0.5</v>
      </c>
    </row>
    <row r="16" customFormat="false" ht="15" hidden="false" customHeight="false" outlineLevel="0" collapsed="false">
      <c r="A16" s="1" t="s">
        <v>2758</v>
      </c>
      <c r="B16" s="5" t="n">
        <v>0.5</v>
      </c>
    </row>
    <row r="18" customFormat="false" ht="15" hidden="false" customHeight="false" outlineLevel="0" collapsed="false">
      <c r="A18" s="11" t="s">
        <v>2759</v>
      </c>
    </row>
    <row r="19" customFormat="false" ht="15" hidden="false" customHeight="false" outlineLevel="0" collapsed="false">
      <c r="A19" s="1" t="s">
        <v>2760</v>
      </c>
      <c r="B19" s="1" t="n">
        <f aca="false">SUMPRODUCT(B15:B16,B6:B7)</f>
        <v>0.0236757751117972</v>
      </c>
      <c r="C19" s="1" t="s">
        <v>2761</v>
      </c>
      <c r="D19" s="1" t="n">
        <v>0.0236757751117972</v>
      </c>
      <c r="E19" s="1" t="n">
        <f aca="false">ROUND(ABS(D19-B19),6)</f>
        <v>0</v>
      </c>
      <c r="F19" s="1" t="str">
        <f aca="false">IF(E19=0,"Y","N")</f>
        <v>Y</v>
      </c>
    </row>
    <row r="20" customFormat="false" ht="15" hidden="false" customHeight="false" outlineLevel="0" collapsed="false">
      <c r="A20" s="1" t="s">
        <v>2762</v>
      </c>
      <c r="B20" s="1" t="n">
        <f aca="false">B15^2*B11+B16^2*C12+2*B15*B16*C11</f>
        <v>0.00751566346943286</v>
      </c>
      <c r="C20" s="1" t="s">
        <v>2763</v>
      </c>
      <c r="D20" s="1" t="n">
        <v>0.00751566346943285</v>
      </c>
      <c r="E20" s="1" t="n">
        <f aca="false">ROUND(ABS(D20-B20),6)</f>
        <v>0</v>
      </c>
      <c r="F20" s="1" t="str">
        <f aca="false">IF(E20=0,"Y","N")</f>
        <v>Y</v>
      </c>
    </row>
    <row r="21" customFormat="false" ht="15" hidden="false" customHeight="false" outlineLevel="0" collapsed="false">
      <c r="A21" s="1" t="s">
        <v>2764</v>
      </c>
      <c r="B21" s="1" t="n">
        <f aca="false">SQRT(B20)</f>
        <v>0.086692926294092</v>
      </c>
      <c r="C21" s="1" t="s">
        <v>2763</v>
      </c>
      <c r="D21" s="1" t="n">
        <v>0.0866929262940919</v>
      </c>
      <c r="E21" s="1" t="n">
        <f aca="false">ROUND(ABS(D21-B21),6)</f>
        <v>0</v>
      </c>
      <c r="F21" s="1" t="str">
        <f aca="false">IF(E21=0,"Y","N")</f>
        <v>Y</v>
      </c>
    </row>
    <row r="23" customFormat="false" ht="15" hidden="false" customHeight="false" outlineLevel="0" collapsed="false">
      <c r="A23" s="11" t="s">
        <v>2765</v>
      </c>
    </row>
    <row r="24" customFormat="false" ht="22.35" hidden="false" customHeight="true" outlineLevel="0" collapsed="false">
      <c r="A24" s="8" t="s">
        <v>2766</v>
      </c>
      <c r="B24" s="8"/>
      <c r="C24" s="8"/>
      <c r="D24" s="8"/>
      <c r="E24" s="8"/>
      <c r="F24" s="8"/>
    </row>
    <row r="25" customFormat="false" ht="15" hidden="false" customHeight="false" outlineLevel="0" collapsed="false">
      <c r="A25" s="1" t="s">
        <v>2767</v>
      </c>
      <c r="B25" s="1" t="n">
        <f aca="false">B19-0.5*B20</f>
        <v>0.0199179433770807</v>
      </c>
    </row>
    <row r="26" customFormat="false" ht="15" hidden="false" customHeight="false" outlineLevel="0" collapsed="false">
      <c r="A26" s="1" t="s">
        <v>2768</v>
      </c>
      <c r="B26" s="1" t="n">
        <v>0.00245597257083885</v>
      </c>
    </row>
    <row r="27" customFormat="false" ht="15" hidden="false" customHeight="false" outlineLevel="0" collapsed="false">
      <c r="A27" s="1" t="s">
        <v>2769</v>
      </c>
      <c r="B27" s="1" t="n">
        <v>0.00245597257083885</v>
      </c>
    </row>
    <row r="28" customFormat="false" ht="15" hidden="false" customHeight="false" outlineLevel="0" collapsed="false">
      <c r="A28" s="1" t="s">
        <v>2770</v>
      </c>
      <c r="B28" s="1" t="n">
        <f aca="false">ROUND(ABS(B25-B26),6)</f>
        <v>0.017462</v>
      </c>
    </row>
    <row r="29" customFormat="false" ht="15" hidden="false" customHeight="false" outlineLevel="0" collapsed="false">
      <c r="A29" s="1" t="s">
        <v>2771</v>
      </c>
      <c r="B29" s="1" t="str">
        <f aca="false">IF(B28&lt;0.03,"Y - plausible","N - investigate")</f>
        <v>Y - plausible</v>
      </c>
    </row>
  </sheetData>
  <mergeCells count="2">
    <mergeCell ref="A2:F2"/>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6" min="2" style="1" width="20"/>
  </cols>
  <sheetData>
    <row r="1" customFormat="false" ht="17.35" hidden="false" customHeight="false" outlineLevel="0" collapsed="false">
      <c r="A1" s="2" t="s">
        <v>2772</v>
      </c>
    </row>
    <row r="2" customFormat="false" ht="60" hidden="false" customHeight="true" outlineLevel="0" collapsed="false">
      <c r="A2" s="8" t="s">
        <v>2773</v>
      </c>
      <c r="B2" s="8"/>
      <c r="C2" s="8"/>
      <c r="D2" s="8"/>
      <c r="E2" s="8"/>
      <c r="F2" s="8"/>
      <c r="G2" s="8"/>
    </row>
    <row r="4" customFormat="false" ht="15" hidden="false" customHeight="false" outlineLevel="0" collapsed="false">
      <c r="A4" s="11" t="s">
        <v>2774</v>
      </c>
    </row>
    <row r="5" customFormat="false" ht="15" hidden="false" customHeight="false" outlineLevel="0" collapsed="false">
      <c r="A5" s="1" t="s">
        <v>2775</v>
      </c>
      <c r="B5" s="1" t="n">
        <v>2000</v>
      </c>
    </row>
    <row r="6" customFormat="false" ht="15" hidden="false" customHeight="false" outlineLevel="0" collapsed="false">
      <c r="A6" s="1" t="s">
        <v>2776</v>
      </c>
      <c r="B6" s="1" t="n">
        <v>2000</v>
      </c>
    </row>
    <row r="7" customFormat="false" ht="15" hidden="false" customHeight="false" outlineLevel="0" collapsed="false">
      <c r="A7" s="1" t="s">
        <v>2777</v>
      </c>
      <c r="B7" s="1" t="n">
        <v>1</v>
      </c>
    </row>
    <row r="8" customFormat="false" ht="15" hidden="false" customHeight="false" outlineLevel="0" collapsed="false">
      <c r="A8" s="1" t="s">
        <v>2778</v>
      </c>
      <c r="B8" s="1" t="n">
        <v>1012340.34346694</v>
      </c>
    </row>
    <row r="9" customFormat="false" ht="15" hidden="false" customHeight="false" outlineLevel="0" collapsed="false">
      <c r="A9" s="1" t="s">
        <v>2779</v>
      </c>
      <c r="B9" s="1" t="n">
        <v>0.00245597257083885</v>
      </c>
    </row>
    <row r="11" customFormat="false" ht="15" hidden="false" customHeight="false" outlineLevel="0" collapsed="false">
      <c r="A11" s="11" t="s">
        <v>2780</v>
      </c>
    </row>
    <row r="12" customFormat="false" ht="15" hidden="false" customHeight="false" outlineLevel="0" collapsed="false">
      <c r="A12" s="4" t="s">
        <v>2781</v>
      </c>
      <c r="B12" s="4" t="s">
        <v>2782</v>
      </c>
      <c r="C12" s="4" t="s">
        <v>2783</v>
      </c>
      <c r="D12" s="4" t="s">
        <v>2784</v>
      </c>
      <c r="E12" s="4" t="s">
        <v>2785</v>
      </c>
      <c r="F12" s="4" t="s">
        <v>2786</v>
      </c>
    </row>
    <row r="13" customFormat="false" ht="15" hidden="false" customHeight="false" outlineLevel="0" collapsed="false">
      <c r="A13" s="1" t="n">
        <v>10</v>
      </c>
      <c r="B13" s="1" t="n">
        <v>774016.824467546</v>
      </c>
      <c r="C13" s="1" t="n">
        <v>-0.0499420868901792</v>
      </c>
      <c r="D13" s="1" t="n">
        <v>-0.0499420868901792</v>
      </c>
      <c r="E13" s="1" t="n">
        <v>-0.0472089326082185</v>
      </c>
      <c r="F13" s="1" t="n">
        <v>0.0402608257677524</v>
      </c>
    </row>
    <row r="14" customFormat="false" ht="15" hidden="false" customHeight="false" outlineLevel="0" collapsed="false">
      <c r="A14" s="1" t="n">
        <v>25</v>
      </c>
      <c r="B14" s="1" t="n">
        <v>873896.493549676</v>
      </c>
      <c r="C14" s="1" t="n">
        <v>-0.0265985269892537</v>
      </c>
      <c r="D14" s="1" t="n">
        <v>-0.0265985269892537</v>
      </c>
      <c r="E14" s="1" t="n">
        <v>-0.0242077519542706</v>
      </c>
      <c r="F14" s="1" t="n">
        <v>0.0546497822858295</v>
      </c>
    </row>
    <row r="15" customFormat="false" ht="15" hidden="false" customHeight="false" outlineLevel="0" collapsed="false">
      <c r="A15" s="1" t="n">
        <v>50</v>
      </c>
      <c r="B15" s="1" t="n">
        <v>1012340.34346694</v>
      </c>
      <c r="C15" s="1" t="n">
        <v>0.00245597257083885</v>
      </c>
      <c r="D15" s="1" t="n">
        <v>0.00245597257083885</v>
      </c>
      <c r="E15" s="1" t="n">
        <v>0.00540551577218656</v>
      </c>
      <c r="F15" s="1" t="n">
        <v>0.0724206650807183</v>
      </c>
    </row>
    <row r="16" customFormat="false" ht="15" hidden="false" customHeight="false" outlineLevel="0" collapsed="false">
      <c r="A16" s="1" t="n">
        <v>75</v>
      </c>
      <c r="B16" s="1" t="n">
        <v>1177776.84856571</v>
      </c>
      <c r="C16" s="1" t="n">
        <v>0.0332671030696308</v>
      </c>
      <c r="D16" s="1" t="n">
        <v>0.0332671030696308</v>
      </c>
      <c r="E16" s="1" t="n">
        <v>0.0363435323995193</v>
      </c>
      <c r="F16" s="1" t="n">
        <v>0.0933961021301018</v>
      </c>
    </row>
    <row r="17" customFormat="false" ht="15" hidden="false" customHeight="false" outlineLevel="0" collapsed="false">
      <c r="A17" s="1" t="n">
        <v>90</v>
      </c>
      <c r="B17" s="1" t="n">
        <v>1339812.16662328</v>
      </c>
      <c r="C17" s="1" t="n">
        <v>0.0602512244248998</v>
      </c>
      <c r="D17" s="1" t="n">
        <v>0.0602512244248998</v>
      </c>
      <c r="E17" s="1" t="n">
        <v>0.0640312907651092</v>
      </c>
      <c r="F17" s="1" t="n">
        <v>0.111385253896488</v>
      </c>
    </row>
    <row r="19" customFormat="false" ht="15" hidden="false" customHeight="false" outlineLevel="0" collapsed="false">
      <c r="A19" s="1" t="s">
        <v>2787</v>
      </c>
      <c r="B19" s="1" t="str">
        <f aca="false">IF(AND(B17&gt;B16,B16&gt;B15,B15&gt;B14,B14&gt;B13),"Y","N")</f>
        <v>Y</v>
      </c>
    </row>
    <row r="20" customFormat="false" ht="15" hidden="false" customHeight="false" outlineLevel="0" collapsed="false">
      <c r="A20" s="1" t="s">
        <v>2788</v>
      </c>
      <c r="B20" s="1" t="str">
        <f aca="false">IF(AND(C17&gt;C16,C16&gt;C15,C15&gt;C14,C14&gt;C13),"Y","N")</f>
        <v>Y</v>
      </c>
    </row>
    <row r="21" customFormat="false" ht="15" hidden="false" customHeight="false" outlineLevel="0" collapsed="false">
      <c r="A21" s="11" t="s">
        <v>2789</v>
      </c>
    </row>
    <row r="22" customFormat="false" ht="32.8" hidden="false" customHeight="true" outlineLevel="0" collapsed="false">
      <c r="A22" s="8" t="s">
        <v>2790</v>
      </c>
      <c r="B22" s="8"/>
      <c r="C22" s="8"/>
      <c r="D22" s="8"/>
      <c r="E22" s="8"/>
      <c r="F22" s="8"/>
      <c r="G22" s="8"/>
    </row>
    <row r="23" customFormat="false" ht="15" hidden="false" customHeight="false" outlineLevel="0" collapsed="false">
      <c r="A23" s="1" t="s">
        <v>2791</v>
      </c>
      <c r="B23" s="1" t="n">
        <f aca="false">C13-D13</f>
        <v>0</v>
      </c>
      <c r="C23" s="1" t="str">
        <f aca="false">IF(B23=0,"IDENTICAL (confirms bug)","DIFFERENT")</f>
        <v>IDENTICAL (confirms bug)</v>
      </c>
    </row>
    <row r="24" customFormat="false" ht="15" hidden="false" customHeight="false" outlineLevel="0" collapsed="false">
      <c r="A24" s="1" t="s">
        <v>2792</v>
      </c>
      <c r="B24" s="1" t="n">
        <f aca="false">C14-D14</f>
        <v>0</v>
      </c>
      <c r="C24" s="1" t="str">
        <f aca="false">IF(B24=0,"IDENTICAL (confirms bug)","DIFFERENT")</f>
        <v>IDENTICAL (confirms bug)</v>
      </c>
    </row>
    <row r="25" customFormat="false" ht="15" hidden="false" customHeight="false" outlineLevel="0" collapsed="false">
      <c r="A25" s="1" t="s">
        <v>2793</v>
      </c>
      <c r="B25" s="1" t="n">
        <f aca="false">C15-D15</f>
        <v>0</v>
      </c>
      <c r="C25" s="1" t="str">
        <f aca="false">IF(B25=0,"IDENTICAL (confirms bug)","DIFFERENT")</f>
        <v>IDENTICAL (confirms bug)</v>
      </c>
    </row>
    <row r="26" customFormat="false" ht="15" hidden="false" customHeight="false" outlineLevel="0" collapsed="false">
      <c r="A26" s="1" t="s">
        <v>2794</v>
      </c>
      <c r="B26" s="1" t="n">
        <f aca="false">C16-D16</f>
        <v>0</v>
      </c>
      <c r="C26" s="1" t="str">
        <f aca="false">IF(B26=0,"IDENTICAL (confirms bug)","DIFFERENT")</f>
        <v>IDENTICAL (confirms bug)</v>
      </c>
    </row>
    <row r="27" customFormat="false" ht="15" hidden="false" customHeight="false" outlineLevel="0" collapsed="false">
      <c r="A27" s="1" t="s">
        <v>2795</v>
      </c>
      <c r="B27" s="1" t="n">
        <f aca="false">C17-D17</f>
        <v>0</v>
      </c>
      <c r="C27" s="1" t="str">
        <f aca="false">IF(B27=0,"IDENTICAL (confirms bug)","DIFFERENT")</f>
        <v>IDENTICAL (confirms bug)</v>
      </c>
    </row>
    <row r="29" customFormat="false" ht="109.5" hidden="false" customHeight="true" outlineLevel="0" collapsed="false">
      <c r="A29" s="8" t="s">
        <v>2796</v>
      </c>
      <c r="B29" s="8"/>
      <c r="C29" s="8"/>
      <c r="D29" s="8"/>
      <c r="E29" s="8"/>
      <c r="F29" s="8"/>
      <c r="G29" s="8"/>
    </row>
  </sheetData>
  <mergeCells count="3">
    <mergeCell ref="A2:G2"/>
    <mergeCell ref="A22:G22"/>
    <mergeCell ref="A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6" min="2" style="1" width="14"/>
    <col collapsed="false" customWidth="true" hidden="false" outlineLevel="0" max="7" min="7" style="1" width="20"/>
    <col collapsed="false" customWidth="true" hidden="false" outlineLevel="0" max="8" min="8" style="1" width="14"/>
  </cols>
  <sheetData>
    <row r="1" customFormat="false" ht="17.35" hidden="false" customHeight="false" outlineLevel="0" collapsed="false">
      <c r="A1" s="2" t="s">
        <v>2797</v>
      </c>
    </row>
    <row r="2" customFormat="false" ht="90" hidden="false" customHeight="true" outlineLevel="0" collapsed="false">
      <c r="A2" s="8" t="s">
        <v>2798</v>
      </c>
      <c r="B2" s="8"/>
      <c r="C2" s="8"/>
      <c r="D2" s="8"/>
      <c r="E2" s="8"/>
      <c r="F2" s="8"/>
      <c r="G2" s="8"/>
      <c r="H2" s="8"/>
    </row>
    <row r="4" customFormat="false" ht="15" hidden="false" customHeight="false" outlineLevel="0" collapsed="false">
      <c r="A4" s="11" t="s">
        <v>2799</v>
      </c>
    </row>
    <row r="5" customFormat="false" ht="15" hidden="false" customHeight="false" outlineLevel="0" collapsed="false">
      <c r="A5" s="4" t="s">
        <v>2800</v>
      </c>
      <c r="B5" s="4" t="s">
        <v>2801</v>
      </c>
      <c r="C5" s="4" t="s">
        <v>2802</v>
      </c>
      <c r="D5" s="4" t="s">
        <v>2803</v>
      </c>
      <c r="E5" s="4" t="s">
        <v>2804</v>
      </c>
      <c r="F5" s="4" t="s">
        <v>2805</v>
      </c>
      <c r="G5" s="4" t="s">
        <v>2806</v>
      </c>
    </row>
    <row r="6" customFormat="false" ht="15" hidden="false" customHeight="false" outlineLevel="0" collapsed="false">
      <c r="A6" s="1" t="n">
        <v>1</v>
      </c>
      <c r="B6" s="1" t="n">
        <v>-0.0866402305482606</v>
      </c>
      <c r="C6" s="1" t="n">
        <v>-0.0437893106987871</v>
      </c>
      <c r="D6" s="1" t="n">
        <v>0.0149709377835768</v>
      </c>
      <c r="E6" s="1" t="n">
        <v>0.0776298167040209</v>
      </c>
      <c r="F6" s="1" t="n">
        <v>0.138752458057919</v>
      </c>
      <c r="G6" s="1" t="str">
        <f aca="false">IF(AND(F6&gt;E6,E6&gt;D6,D6&gt;C6,C6&gt;B6),"Y","N")</f>
        <v>Y</v>
      </c>
    </row>
    <row r="7" customFormat="false" ht="15" hidden="false" customHeight="false" outlineLevel="0" collapsed="false">
      <c r="A7" s="1" t="n">
        <v>3</v>
      </c>
      <c r="B7" s="1" t="n">
        <v>-0.0586083584516808</v>
      </c>
      <c r="C7" s="1" t="n">
        <v>-0.0322038628068561</v>
      </c>
      <c r="D7" s="1" t="n">
        <v>0.00323294501074345</v>
      </c>
      <c r="E7" s="1" t="n">
        <v>0.04284817851784</v>
      </c>
      <c r="F7" s="1" t="n">
        <v>0.0789626512795173</v>
      </c>
      <c r="G7" s="1" t="str">
        <f aca="false">IF(AND(F7&gt;E7,E7&gt;D7,D7&gt;C7,C7&gt;B7),"Y","N")</f>
        <v>Y</v>
      </c>
    </row>
    <row r="8" customFormat="false" ht="15" hidden="false" customHeight="false" outlineLevel="0" collapsed="false">
      <c r="A8" s="1" t="n">
        <v>5</v>
      </c>
      <c r="B8" s="1" t="n">
        <v>-0.0499420868901792</v>
      </c>
      <c r="C8" s="1" t="n">
        <v>-0.0265985269892537</v>
      </c>
      <c r="D8" s="1" t="n">
        <v>0.00245597257083885</v>
      </c>
      <c r="E8" s="1" t="n">
        <v>0.0332671030696308</v>
      </c>
      <c r="F8" s="1" t="n">
        <v>0.0602512244248998</v>
      </c>
      <c r="G8" s="1" t="str">
        <f aca="false">IF(AND(F8&gt;E8,E8&gt;D8,D8&gt;C8,C8&gt;B8),"Y","N")</f>
        <v>Y</v>
      </c>
    </row>
    <row r="10" customFormat="false" ht="15" hidden="false" customHeight="false" outlineLevel="0" collapsed="false">
      <c r="A10" s="11" t="s">
        <v>2807</v>
      </c>
    </row>
    <row r="11" customFormat="false" ht="15" hidden="false" customHeight="false" outlineLevel="0" collapsed="false">
      <c r="A11" s="4" t="s">
        <v>2808</v>
      </c>
      <c r="B11" s="4" t="s">
        <v>2809</v>
      </c>
      <c r="C11" s="4" t="s">
        <v>2810</v>
      </c>
      <c r="D11" s="4" t="s">
        <v>2811</v>
      </c>
    </row>
    <row r="12" customFormat="false" ht="15" hidden="false" customHeight="false" outlineLevel="0" collapsed="false">
      <c r="A12" s="1" t="s">
        <v>2812</v>
      </c>
      <c r="B12" s="1" t="n">
        <v>0.568</v>
      </c>
      <c r="C12" s="1" t="n">
        <v>0.516</v>
      </c>
      <c r="D12" s="1" t="n">
        <v>0.52</v>
      </c>
    </row>
    <row r="13" customFormat="false" ht="15" hidden="false" customHeight="false" outlineLevel="0" collapsed="false">
      <c r="A13" s="1" t="s">
        <v>2813</v>
      </c>
      <c r="B13" s="1" t="n">
        <v>0.465</v>
      </c>
      <c r="C13" s="1" t="n">
        <v>0.3575</v>
      </c>
      <c r="D13" s="1" t="n">
        <v>0.304</v>
      </c>
    </row>
    <row r="14" customFormat="false" ht="15" hidden="false" customHeight="false" outlineLevel="0" collapsed="false">
      <c r="A14" s="1" t="s">
        <v>2814</v>
      </c>
      <c r="B14" s="1" t="n">
        <v>0.353</v>
      </c>
      <c r="C14" s="1" t="n">
        <v>0.2135</v>
      </c>
      <c r="D14" s="1" t="n">
        <v>0.1465</v>
      </c>
    </row>
    <row r="15" customFormat="false" ht="15" hidden="false" customHeight="false" outlineLevel="0" collapsed="false">
      <c r="A15" s="1" t="s">
        <v>2815</v>
      </c>
      <c r="B15" s="1" t="n">
        <v>0.258</v>
      </c>
      <c r="C15" s="1" t="n">
        <v>0.1155</v>
      </c>
      <c r="D15" s="1" t="n">
        <v>0.06</v>
      </c>
    </row>
    <row r="16" customFormat="false" ht="15" hidden="false" customHeight="false" outlineLevel="0" collapsed="false">
      <c r="A16" s="1" t="s">
        <v>2816</v>
      </c>
      <c r="B16" s="1" t="n">
        <v>0.1875</v>
      </c>
      <c r="C16" s="1" t="n">
        <v>0.057</v>
      </c>
      <c r="D16" s="1" t="n">
        <v>0.0235</v>
      </c>
    </row>
    <row r="17" customFormat="false" ht="15" hidden="false" customHeight="false" outlineLevel="0" collapsed="false">
      <c r="A17" s="1" t="s">
        <v>2817</v>
      </c>
      <c r="B17" s="1" t="n">
        <v>0.1275</v>
      </c>
      <c r="C17" s="1" t="n">
        <v>0.0225</v>
      </c>
      <c r="D17" s="1" t="n">
        <v>0.006</v>
      </c>
    </row>
    <row r="19" customFormat="false" ht="15" hidden="false" customHeight="false" outlineLevel="0" collapsed="false">
      <c r="A19" s="1" t="s">
        <v>2818</v>
      </c>
      <c r="B19" s="1" t="str">
        <f aca="false">IF(AND(B13&lt;B12,B14&lt;B13,B15&lt;B14,B16&lt;B15,B17&lt;B16),"Y","N")</f>
        <v>Y</v>
      </c>
    </row>
    <row r="20" customFormat="false" ht="15" hidden="false" customHeight="false" outlineLevel="0" collapsed="false">
      <c r="A20" s="1" t="s">
        <v>2819</v>
      </c>
      <c r="B20" s="1" t="str">
        <f aca="false">IF(AND(C13&lt;C12,C14&lt;C13,C15&lt;C14,C16&lt;C15,C17&lt;C16),"Y","N")</f>
        <v>Y</v>
      </c>
    </row>
    <row r="21" customFormat="false" ht="15" hidden="false" customHeight="false" outlineLevel="0" collapsed="false">
      <c r="A21" s="1" t="s">
        <v>2820</v>
      </c>
      <c r="B21" s="1" t="str">
        <f aca="false">IF(AND(D13&lt;D12,D14&lt;D13,D15&lt;D14,D16&lt;D15,D17&lt;D16),"Y","N")</f>
        <v>Y</v>
      </c>
    </row>
    <row r="23" customFormat="false" ht="22.35" hidden="false" customHeight="true" outlineLevel="0" collapsed="false">
      <c r="A23" s="8" t="s">
        <v>2821</v>
      </c>
      <c r="B23" s="8"/>
      <c r="C23" s="8"/>
      <c r="D23" s="8"/>
      <c r="E23" s="8"/>
      <c r="F23" s="8"/>
      <c r="G23" s="8"/>
      <c r="H23" s="8"/>
    </row>
  </sheetData>
  <mergeCells count="2">
    <mergeCell ref="A2:H2"/>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5"/>
    <col collapsed="false" customWidth="true" hidden="false" outlineLevel="0" max="8" min="2" style="1" width="14"/>
    <col collapsed="false" customWidth="true" hidden="false" outlineLevel="0" max="9" min="9" style="1" width="18"/>
  </cols>
  <sheetData>
    <row r="1" customFormat="false" ht="17.35" hidden="false" customHeight="false" outlineLevel="0" collapsed="false">
      <c r="A1" s="2" t="s">
        <v>2822</v>
      </c>
    </row>
    <row r="2" customFormat="false" ht="60" hidden="false" customHeight="true" outlineLevel="0" collapsed="false">
      <c r="A2" s="8" t="s">
        <v>2823</v>
      </c>
      <c r="B2" s="8"/>
      <c r="C2" s="8"/>
      <c r="D2" s="8"/>
      <c r="E2" s="8"/>
      <c r="F2" s="8"/>
      <c r="G2" s="8"/>
      <c r="H2" s="8"/>
    </row>
    <row r="4" customFormat="false" ht="15" hidden="false" customHeight="false" outlineLevel="0" collapsed="false">
      <c r="A4" s="11" t="s">
        <v>2824</v>
      </c>
    </row>
    <row r="5" customFormat="false" ht="15" hidden="false" customHeight="false" outlineLevel="0" collapsed="false">
      <c r="A5" s="4" t="s">
        <v>2825</v>
      </c>
      <c r="B5" s="4" t="s">
        <v>2826</v>
      </c>
      <c r="C5" s="4" t="s">
        <v>2827</v>
      </c>
      <c r="D5" s="4" t="s">
        <v>2828</v>
      </c>
      <c r="E5" s="4" t="s">
        <v>2829</v>
      </c>
    </row>
    <row r="6" customFormat="false" ht="15" hidden="false" customHeight="false" outlineLevel="0" collapsed="false">
      <c r="A6" s="5" t="n">
        <v>0.08</v>
      </c>
      <c r="B6" s="5" t="n">
        <v>-0.05</v>
      </c>
      <c r="C6" s="5" t="n">
        <v>0.12</v>
      </c>
      <c r="D6" s="5" t="n">
        <v>0.03</v>
      </c>
      <c r="E6" s="5" t="n">
        <v>-0.02</v>
      </c>
    </row>
    <row r="8" customFormat="false" ht="15" hidden="false" customHeight="false" outlineLevel="0" collapsed="false">
      <c r="A8" s="11" t="s">
        <v>2830</v>
      </c>
    </row>
    <row r="9" customFormat="false" ht="15" hidden="false" customHeight="false" outlineLevel="0" collapsed="false">
      <c r="A9" s="1" t="n">
        <f aca="false">1+A6</f>
        <v>1.08</v>
      </c>
      <c r="B9" s="1" t="n">
        <f aca="false">1+B6</f>
        <v>0.95</v>
      </c>
      <c r="C9" s="1" t="n">
        <f aca="false">1+C6</f>
        <v>1.12</v>
      </c>
      <c r="D9" s="1" t="n">
        <f aca="false">1+D6</f>
        <v>1.03</v>
      </c>
      <c r="E9" s="1" t="n">
        <f aca="false">1+E6</f>
        <v>0.98</v>
      </c>
    </row>
    <row r="11" customFormat="false" ht="15" hidden="false" customHeight="false" outlineLevel="0" collapsed="false">
      <c r="A11" s="1" t="s">
        <v>2831</v>
      </c>
      <c r="B11" s="1" t="n">
        <f aca="false">PRODUCT(A9:E9)^(1/5)-1</f>
        <v>0.0301150606752088</v>
      </c>
    </row>
    <row r="12" customFormat="false" ht="15" hidden="false" customHeight="false" outlineLevel="0" collapsed="false">
      <c r="A12" s="1" t="s">
        <v>2832</v>
      </c>
      <c r="B12" s="1" t="n">
        <f aca="false">AVERAGE(A6:E6)</f>
        <v>0.032</v>
      </c>
    </row>
    <row r="13" customFormat="false" ht="15" hidden="false" customHeight="false" outlineLevel="0" collapsed="false">
      <c r="A13" s="1" t="s">
        <v>2833</v>
      </c>
      <c r="B13" s="1" t="n">
        <f aca="false">_xlfn.STDEV.S(A6:E6)</f>
        <v>0.0697853852894716</v>
      </c>
    </row>
    <row r="14" customFormat="false" ht="15" hidden="false" customHeight="false" outlineLevel="0" collapsed="false">
      <c r="A14" s="1" t="s">
        <v>2834</v>
      </c>
      <c r="B14" s="1" t="n">
        <f aca="false">SQRT(SUMPRODUCT((A6:E6&lt;0)*A6:E6^2)/COUNT(A6:E6))</f>
        <v>0.0240831891575846</v>
      </c>
    </row>
    <row r="16" customFormat="false" ht="15" hidden="false" customHeight="false" outlineLevel="0" collapsed="false">
      <c r="A16" s="11" t="s">
        <v>2835</v>
      </c>
      <c r="B16" s="5" t="n">
        <v>0</v>
      </c>
    </row>
    <row r="18" customFormat="false" ht="15" hidden="false" customHeight="false" outlineLevel="0" collapsed="false">
      <c r="A18" s="11" t="s">
        <v>2836</v>
      </c>
    </row>
    <row r="19" customFormat="false" ht="15" hidden="false" customHeight="false" outlineLevel="0" collapsed="false">
      <c r="A19" s="1" t="s">
        <v>2837</v>
      </c>
      <c r="B19" s="1" t="n">
        <f aca="false">(B11-B16)/B13</f>
        <v>0.431538216064735</v>
      </c>
    </row>
    <row r="20" customFormat="false" ht="15" hidden="false" customHeight="false" outlineLevel="0" collapsed="false">
      <c r="A20" s="1" t="s">
        <v>2838</v>
      </c>
      <c r="B20" s="1" t="n">
        <f aca="false">(B12-B16)/B13</f>
        <v>0.458548732908232</v>
      </c>
    </row>
    <row r="21" customFormat="false" ht="15" hidden="false" customHeight="false" outlineLevel="0" collapsed="false">
      <c r="A21" s="1" t="s">
        <v>2839</v>
      </c>
      <c r="B21" s="1" t="n">
        <f aca="false">ABS(B19-B20)</f>
        <v>0.0270105168434978</v>
      </c>
    </row>
    <row r="22" customFormat="false" ht="15" hidden="false" customHeight="false" outlineLevel="0" collapsed="false">
      <c r="A22" s="1" t="s">
        <v>2840</v>
      </c>
      <c r="B22" s="1" t="n">
        <f aca="false">IFERROR(ABS(B19-B20)/ABS(B20),"n/a")</f>
        <v>0.0589043538997267</v>
      </c>
    </row>
    <row r="24" customFormat="false" ht="15" hidden="false" customHeight="false" outlineLevel="0" collapsed="false">
      <c r="A24" s="11" t="s">
        <v>2841</v>
      </c>
    </row>
    <row r="25" customFormat="false" ht="15" hidden="false" customHeight="false" outlineLevel="0" collapsed="false">
      <c r="A25" s="1" t="s">
        <v>2842</v>
      </c>
      <c r="B25" s="1" t="n">
        <f aca="false">(B11-B16)/B14</f>
        <v>1.2504598322986</v>
      </c>
    </row>
    <row r="26" customFormat="false" ht="15" hidden="false" customHeight="false" outlineLevel="0" collapsed="false">
      <c r="A26" s="1" t="s">
        <v>2843</v>
      </c>
      <c r="B26" s="1" t="n">
        <f aca="false">(B12-B16)/B14</f>
        <v>1.32872767765984</v>
      </c>
    </row>
    <row r="27" customFormat="false" ht="15" hidden="false" customHeight="false" outlineLevel="0" collapsed="false">
      <c r="A27" s="1" t="s">
        <v>2844</v>
      </c>
      <c r="B27" s="1" t="n">
        <f aca="false">ABS(B25-B26)</f>
        <v>0.0782678453612369</v>
      </c>
    </row>
    <row r="28" customFormat="false" ht="15" hidden="false" customHeight="false" outlineLevel="0" collapsed="false">
      <c r="A28" s="1" t="s">
        <v>2840</v>
      </c>
      <c r="B28" s="1" t="n">
        <f aca="false">IFERROR(ABS(B25-B26)/ABS(B26),"n/a")</f>
        <v>0.0589043538997265</v>
      </c>
    </row>
    <row r="29" customFormat="false" ht="90" hidden="false" customHeight="true" outlineLevel="0" collapsed="false">
      <c r="A29" s="8" t="s">
        <v>2845</v>
      </c>
      <c r="B29" s="8"/>
      <c r="C29" s="8"/>
      <c r="D29" s="8"/>
      <c r="E29" s="8"/>
      <c r="F29" s="8"/>
      <c r="G29" s="8"/>
      <c r="H29" s="8"/>
    </row>
    <row r="31" customFormat="false" ht="15" hidden="false" customHeight="false" outlineLevel="0" collapsed="false">
      <c r="A31" s="11" t="s">
        <v>2846</v>
      </c>
    </row>
    <row r="32" customFormat="false" ht="54.75" hidden="false" customHeight="true" outlineLevel="0" collapsed="false">
      <c r="A32" s="8" t="s">
        <v>2847</v>
      </c>
      <c r="B32" s="8"/>
      <c r="C32" s="8"/>
      <c r="D32" s="8"/>
      <c r="E32" s="8"/>
      <c r="F32" s="8"/>
      <c r="G32" s="8"/>
      <c r="H32" s="8"/>
    </row>
    <row r="33" customFormat="false" ht="15" hidden="false" customHeight="false" outlineLevel="0" collapsed="false">
      <c r="A33" s="4" t="s">
        <v>2848</v>
      </c>
      <c r="B33" s="4" t="s">
        <v>2849</v>
      </c>
      <c r="C33" s="4" t="s">
        <v>2850</v>
      </c>
      <c r="D33" s="4" t="s">
        <v>2851</v>
      </c>
      <c r="E33" s="4" t="s">
        <v>2852</v>
      </c>
      <c r="F33" s="4" t="s">
        <v>2853</v>
      </c>
      <c r="G33" s="4" t="s">
        <v>2854</v>
      </c>
      <c r="H33" s="4" t="s">
        <v>2855</v>
      </c>
      <c r="I33" s="4" t="s">
        <v>2856</v>
      </c>
    </row>
    <row r="34" customFormat="false" ht="15" hidden="false" customHeight="false" outlineLevel="0" collapsed="false">
      <c r="A34" s="1" t="n">
        <v>1</v>
      </c>
      <c r="B34" s="1" t="n">
        <v>0</v>
      </c>
      <c r="C34" s="1" t="n">
        <v>1</v>
      </c>
      <c r="D34" s="1" t="n">
        <f aca="false">(B34+C34)/2</f>
        <v>0.5</v>
      </c>
      <c r="E34" s="1" t="n">
        <f aca="false">MAX(1*A9-D34,0)</f>
        <v>0.58</v>
      </c>
      <c r="F34" s="1" t="n">
        <f aca="false">MAX(E34*B9-D34,0)</f>
        <v>0.051</v>
      </c>
      <c r="G34" s="1" t="n">
        <f aca="false">MAX(F34*C9-D34,0)</f>
        <v>0</v>
      </c>
      <c r="H34" s="1" t="n">
        <f aca="false">MAX(G34*D9-D34,0)</f>
        <v>0</v>
      </c>
      <c r="I34" s="1" t="n">
        <f aca="false">MAX(H34*E9-D34,0)</f>
        <v>0</v>
      </c>
    </row>
    <row r="35" customFormat="false" ht="15" hidden="false" customHeight="false" outlineLevel="0" collapsed="false">
      <c r="A35" s="1" t="n">
        <v>2</v>
      </c>
      <c r="B35" s="1" t="n">
        <f aca="false">IF(I34&gt;0,D34,B34)</f>
        <v>0</v>
      </c>
      <c r="C35" s="1" t="n">
        <f aca="false">IF(I34&gt;0,C34,D34)</f>
        <v>0.5</v>
      </c>
      <c r="D35" s="1" t="n">
        <f aca="false">(B35+C35)/2</f>
        <v>0.25</v>
      </c>
      <c r="E35" s="1" t="n">
        <f aca="false">MAX(1*A9-D35,0)</f>
        <v>0.83</v>
      </c>
      <c r="F35" s="1" t="n">
        <f aca="false">MAX(E35*B9-D35,0)</f>
        <v>0.5385</v>
      </c>
      <c r="G35" s="1" t="n">
        <f aca="false">MAX(F35*C9-D35,0)</f>
        <v>0.35312</v>
      </c>
      <c r="H35" s="1" t="n">
        <f aca="false">MAX(G35*D9-D35,0)</f>
        <v>0.1137136</v>
      </c>
      <c r="I35" s="1" t="n">
        <f aca="false">MAX(H35*E9-D35,0)</f>
        <v>0</v>
      </c>
    </row>
    <row r="36" customFormat="false" ht="15" hidden="false" customHeight="false" outlineLevel="0" collapsed="false">
      <c r="A36" s="1" t="n">
        <v>3</v>
      </c>
      <c r="B36" s="1" t="n">
        <f aca="false">IF(I35&gt;0,D35,B35)</f>
        <v>0</v>
      </c>
      <c r="C36" s="1" t="n">
        <f aca="false">IF(I35&gt;0,C35,D35)</f>
        <v>0.25</v>
      </c>
      <c r="D36" s="1" t="n">
        <f aca="false">(B36+C36)/2</f>
        <v>0.125</v>
      </c>
      <c r="E36" s="1" t="n">
        <f aca="false">MAX(1*A9-D36,0)</f>
        <v>0.955</v>
      </c>
      <c r="F36" s="1" t="n">
        <f aca="false">MAX(E36*B9-D36,0)</f>
        <v>0.78225</v>
      </c>
      <c r="G36" s="1" t="n">
        <f aca="false">MAX(F36*C9-D36,0)</f>
        <v>0.75112</v>
      </c>
      <c r="H36" s="1" t="n">
        <f aca="false">MAX(G36*D9-D36,0)</f>
        <v>0.6486536</v>
      </c>
      <c r="I36" s="1" t="n">
        <f aca="false">MAX(H36*E9-D36,0)</f>
        <v>0.510680528</v>
      </c>
    </row>
    <row r="37" customFormat="false" ht="15" hidden="false" customHeight="false" outlineLevel="0" collapsed="false">
      <c r="A37" s="1" t="n">
        <v>4</v>
      </c>
      <c r="B37" s="1" t="n">
        <f aca="false">IF(I36&gt;0,D36,B36)</f>
        <v>0.125</v>
      </c>
      <c r="C37" s="1" t="n">
        <f aca="false">IF(I36&gt;0,C36,D36)</f>
        <v>0.25</v>
      </c>
      <c r="D37" s="1" t="n">
        <f aca="false">(B37+C37)/2</f>
        <v>0.1875</v>
      </c>
      <c r="E37" s="1" t="n">
        <f aca="false">MAX(1*A9-D37,0)</f>
        <v>0.8925</v>
      </c>
      <c r="F37" s="1" t="n">
        <f aca="false">MAX(E37*B9-D37,0)</f>
        <v>0.660375</v>
      </c>
      <c r="G37" s="1" t="n">
        <f aca="false">MAX(F37*C9-D37,0)</f>
        <v>0.55212</v>
      </c>
      <c r="H37" s="1" t="n">
        <f aca="false">MAX(G37*D9-D37,0)</f>
        <v>0.3811836</v>
      </c>
      <c r="I37" s="1" t="n">
        <f aca="false">MAX(H37*E9-D37,0)</f>
        <v>0.186059928</v>
      </c>
    </row>
    <row r="38" customFormat="false" ht="15" hidden="false" customHeight="false" outlineLevel="0" collapsed="false">
      <c r="A38" s="1" t="n">
        <v>5</v>
      </c>
      <c r="B38" s="1" t="n">
        <f aca="false">IF(I37&gt;0,D37,B37)</f>
        <v>0.1875</v>
      </c>
      <c r="C38" s="1" t="n">
        <f aca="false">IF(I37&gt;0,C37,D37)</f>
        <v>0.25</v>
      </c>
      <c r="D38" s="1" t="n">
        <f aca="false">(B38+C38)/2</f>
        <v>0.21875</v>
      </c>
      <c r="E38" s="1" t="n">
        <f aca="false">MAX(1*A9-D38,0)</f>
        <v>0.86125</v>
      </c>
      <c r="F38" s="1" t="n">
        <f aca="false">MAX(E38*B9-D38,0)</f>
        <v>0.5994375</v>
      </c>
      <c r="G38" s="1" t="n">
        <f aca="false">MAX(F38*C9-D38,0)</f>
        <v>0.45262</v>
      </c>
      <c r="H38" s="1" t="n">
        <f aca="false">MAX(G38*D9-D38,0)</f>
        <v>0.2474486</v>
      </c>
      <c r="I38" s="1" t="n">
        <f aca="false">MAX(H38*E9-D38,0)</f>
        <v>0.0237496280000001</v>
      </c>
    </row>
    <row r="39" customFormat="false" ht="15" hidden="false" customHeight="false" outlineLevel="0" collapsed="false">
      <c r="A39" s="1" t="n">
        <v>6</v>
      </c>
      <c r="B39" s="1" t="n">
        <f aca="false">IF(I38&gt;0,D38,B38)</f>
        <v>0.21875</v>
      </c>
      <c r="C39" s="1" t="n">
        <f aca="false">IF(I38&gt;0,C38,D38)</f>
        <v>0.25</v>
      </c>
      <c r="D39" s="1" t="n">
        <f aca="false">(B39+C39)/2</f>
        <v>0.234375</v>
      </c>
      <c r="E39" s="1" t="n">
        <f aca="false">MAX(1*A9-D39,0)</f>
        <v>0.845625</v>
      </c>
      <c r="F39" s="1" t="n">
        <f aca="false">MAX(E39*B9-D39,0)</f>
        <v>0.56896875</v>
      </c>
      <c r="G39" s="1" t="n">
        <f aca="false">MAX(F39*C9-D39,0)</f>
        <v>0.40287</v>
      </c>
      <c r="H39" s="1" t="n">
        <f aca="false">MAX(G39*D9-D39,0)</f>
        <v>0.1805811</v>
      </c>
      <c r="I39" s="1" t="n">
        <f aca="false">MAX(H39*E9-D39,0)</f>
        <v>0</v>
      </c>
    </row>
    <row r="40" customFormat="false" ht="15" hidden="false" customHeight="false" outlineLevel="0" collapsed="false">
      <c r="A40" s="1" t="n">
        <v>7</v>
      </c>
      <c r="B40" s="1" t="n">
        <f aca="false">IF(I39&gt;0,D39,B39)</f>
        <v>0.21875</v>
      </c>
      <c r="C40" s="1" t="n">
        <f aca="false">IF(I39&gt;0,C39,D39)</f>
        <v>0.234375</v>
      </c>
      <c r="D40" s="1" t="n">
        <f aca="false">(B40+C40)/2</f>
        <v>0.2265625</v>
      </c>
      <c r="E40" s="1" t="n">
        <f aca="false">MAX(1*A9-D40,0)</f>
        <v>0.8534375</v>
      </c>
      <c r="F40" s="1" t="n">
        <f aca="false">MAX(E40*B9-D40,0)</f>
        <v>0.584203125</v>
      </c>
      <c r="G40" s="1" t="n">
        <f aca="false">MAX(F40*C9-D40,0)</f>
        <v>0.427745</v>
      </c>
      <c r="H40" s="1" t="n">
        <f aca="false">MAX(G40*D9-D40,0)</f>
        <v>0.21401485</v>
      </c>
      <c r="I40" s="1" t="n">
        <f aca="false">MAX(H40*E9-D40,0)</f>
        <v>0</v>
      </c>
    </row>
    <row r="41" customFormat="false" ht="15" hidden="false" customHeight="false" outlineLevel="0" collapsed="false">
      <c r="A41" s="1" t="n">
        <v>8</v>
      </c>
      <c r="B41" s="1" t="n">
        <f aca="false">IF(I40&gt;0,D40,B40)</f>
        <v>0.21875</v>
      </c>
      <c r="C41" s="1" t="n">
        <f aca="false">IF(I40&gt;0,C40,D40)</f>
        <v>0.2265625</v>
      </c>
      <c r="D41" s="1" t="n">
        <f aca="false">(B41+C41)/2</f>
        <v>0.22265625</v>
      </c>
      <c r="E41" s="1" t="n">
        <f aca="false">MAX(1*A9-D41,0)</f>
        <v>0.85734375</v>
      </c>
      <c r="F41" s="1" t="n">
        <f aca="false">MAX(E41*B9-D41,0)</f>
        <v>0.5918203125</v>
      </c>
      <c r="G41" s="1" t="n">
        <f aca="false">MAX(F41*C9-D41,0)</f>
        <v>0.4401825</v>
      </c>
      <c r="H41" s="1" t="n">
        <f aca="false">MAX(G41*D9-D41,0)</f>
        <v>0.230731725</v>
      </c>
      <c r="I41" s="1" t="n">
        <f aca="false">MAX(H41*E9-D41,0)</f>
        <v>0.00346084050000006</v>
      </c>
    </row>
    <row r="42" customFormat="false" ht="15" hidden="false" customHeight="false" outlineLevel="0" collapsed="false">
      <c r="A42" s="1" t="n">
        <v>9</v>
      </c>
      <c r="B42" s="1" t="n">
        <f aca="false">IF(I41&gt;0,D41,B41)</f>
        <v>0.22265625</v>
      </c>
      <c r="C42" s="1" t="n">
        <f aca="false">IF(I41&gt;0,C41,D41)</f>
        <v>0.2265625</v>
      </c>
      <c r="D42" s="1" t="n">
        <f aca="false">(B42+C42)/2</f>
        <v>0.224609375</v>
      </c>
      <c r="E42" s="1" t="n">
        <f aca="false">MAX(1*A9-D42,0)</f>
        <v>0.855390625</v>
      </c>
      <c r="F42" s="1" t="n">
        <f aca="false">MAX(E42*B9-D42,0)</f>
        <v>0.58801171875</v>
      </c>
      <c r="G42" s="1" t="n">
        <f aca="false">MAX(F42*C9-D42,0)</f>
        <v>0.43396375</v>
      </c>
      <c r="H42" s="1" t="n">
        <f aca="false">MAX(G42*D9-D42,0)</f>
        <v>0.2223732875</v>
      </c>
      <c r="I42" s="1" t="n">
        <f aca="false">MAX(H42*E9-D42,0)</f>
        <v>0</v>
      </c>
    </row>
    <row r="43" customFormat="false" ht="15" hidden="false" customHeight="false" outlineLevel="0" collapsed="false">
      <c r="A43" s="1" t="n">
        <v>10</v>
      </c>
      <c r="B43" s="1" t="n">
        <f aca="false">IF(I42&gt;0,D42,B42)</f>
        <v>0.22265625</v>
      </c>
      <c r="C43" s="1" t="n">
        <f aca="false">IF(I42&gt;0,C42,D42)</f>
        <v>0.224609375</v>
      </c>
      <c r="D43" s="1" t="n">
        <f aca="false">(B43+C43)/2</f>
        <v>0.2236328125</v>
      </c>
      <c r="E43" s="1" t="n">
        <f aca="false">MAX(1*A9-D43,0)</f>
        <v>0.8563671875</v>
      </c>
      <c r="F43" s="1" t="n">
        <f aca="false">MAX(E43*B9-D43,0)</f>
        <v>0.589916015625</v>
      </c>
      <c r="G43" s="1" t="n">
        <f aca="false">MAX(F43*C9-D43,0)</f>
        <v>0.437073125</v>
      </c>
      <c r="H43" s="1" t="n">
        <f aca="false">MAX(G43*D9-D43,0)</f>
        <v>0.22655250625</v>
      </c>
      <c r="I43" s="1" t="n">
        <f aca="false">MAX(H43*E9-D43,0)</f>
        <v>0</v>
      </c>
    </row>
    <row r="44" customFormat="false" ht="15" hidden="false" customHeight="false" outlineLevel="0" collapsed="false">
      <c r="A44" s="1" t="n">
        <v>11</v>
      </c>
      <c r="B44" s="1" t="n">
        <f aca="false">IF(I43&gt;0,D43,B43)</f>
        <v>0.22265625</v>
      </c>
      <c r="C44" s="1" t="n">
        <f aca="false">IF(I43&gt;0,C43,D43)</f>
        <v>0.2236328125</v>
      </c>
      <c r="D44" s="1" t="n">
        <f aca="false">(B44+C44)/2</f>
        <v>0.22314453125</v>
      </c>
      <c r="E44" s="1" t="n">
        <f aca="false">MAX(1*A9-D44,0)</f>
        <v>0.85685546875</v>
      </c>
      <c r="F44" s="1" t="n">
        <f aca="false">MAX(E44*B9-D44,0)</f>
        <v>0.5908681640625</v>
      </c>
      <c r="G44" s="1" t="n">
        <f aca="false">MAX(F44*C9-D44,0)</f>
        <v>0.4386278125</v>
      </c>
      <c r="H44" s="1" t="n">
        <f aca="false">MAX(G44*D9-D44,0)</f>
        <v>0.228642115625</v>
      </c>
      <c r="I44" s="1" t="n">
        <f aca="false">MAX(H44*E9-D44,0)</f>
        <v>0.000924742062500067</v>
      </c>
    </row>
    <row r="45" customFormat="false" ht="15" hidden="false" customHeight="false" outlineLevel="0" collapsed="false">
      <c r="A45" s="1" t="n">
        <v>12</v>
      </c>
      <c r="B45" s="1" t="n">
        <f aca="false">IF(I44&gt;0,D44,B44)</f>
        <v>0.22314453125</v>
      </c>
      <c r="C45" s="1" t="n">
        <f aca="false">IF(I44&gt;0,C44,D44)</f>
        <v>0.2236328125</v>
      </c>
      <c r="D45" s="1" t="n">
        <f aca="false">(B45+C45)/2</f>
        <v>0.223388671875</v>
      </c>
      <c r="E45" s="1" t="n">
        <f aca="false">MAX(1*A9-D45,0)</f>
        <v>0.856611328125</v>
      </c>
      <c r="F45" s="1" t="n">
        <f aca="false">MAX(E45*B9-D45,0)</f>
        <v>0.59039208984375</v>
      </c>
      <c r="G45" s="1" t="n">
        <f aca="false">MAX(F45*C9-D45,0)</f>
        <v>0.43785046875</v>
      </c>
      <c r="H45" s="1" t="n">
        <f aca="false">MAX(G45*D9-D45,0)</f>
        <v>0.2275973109375</v>
      </c>
      <c r="I45" s="1" t="n">
        <f aca="false">MAX(H45*E9-D45,0)</f>
        <v>0</v>
      </c>
    </row>
    <row r="46" customFormat="false" ht="15" hidden="false" customHeight="false" outlineLevel="0" collapsed="false">
      <c r="A46" s="1" t="n">
        <v>13</v>
      </c>
      <c r="B46" s="1" t="n">
        <f aca="false">IF(I45&gt;0,D45,B45)</f>
        <v>0.22314453125</v>
      </c>
      <c r="C46" s="1" t="n">
        <f aca="false">IF(I45&gt;0,C45,D45)</f>
        <v>0.223388671875</v>
      </c>
      <c r="D46" s="1" t="n">
        <f aca="false">(B46+C46)/2</f>
        <v>0.2232666015625</v>
      </c>
      <c r="E46" s="1" t="n">
        <f aca="false">MAX(1*A9-D46,0)</f>
        <v>0.8567333984375</v>
      </c>
      <c r="F46" s="1" t="n">
        <f aca="false">MAX(E46*B9-D46,0)</f>
        <v>0.590630126953125</v>
      </c>
      <c r="G46" s="1" t="n">
        <f aca="false">MAX(F46*C9-D46,0)</f>
        <v>0.438239140625</v>
      </c>
      <c r="H46" s="1" t="n">
        <f aca="false">MAX(G46*D9-D46,0)</f>
        <v>0.22811971328125</v>
      </c>
      <c r="I46" s="1" t="n">
        <f aca="false">MAX(H46*E9-D46,0)</f>
        <v>0.000290717453125033</v>
      </c>
    </row>
    <row r="47" customFormat="false" ht="15" hidden="false" customHeight="false" outlineLevel="0" collapsed="false">
      <c r="A47" s="1" t="n">
        <v>14</v>
      </c>
      <c r="B47" s="1" t="n">
        <f aca="false">IF(I46&gt;0,D46,B46)</f>
        <v>0.2232666015625</v>
      </c>
      <c r="C47" s="1" t="n">
        <f aca="false">IF(I46&gt;0,C46,D46)</f>
        <v>0.223388671875</v>
      </c>
      <c r="D47" s="1" t="n">
        <f aca="false">(B47+C47)/2</f>
        <v>0.22332763671875</v>
      </c>
      <c r="E47" s="1" t="n">
        <f aca="false">MAX(1*A9-D47,0)</f>
        <v>0.85667236328125</v>
      </c>
      <c r="F47" s="1" t="n">
        <f aca="false">MAX(E47*B9-D47,0)</f>
        <v>0.590511108398438</v>
      </c>
      <c r="G47" s="1" t="n">
        <f aca="false">MAX(F47*C9-D47,0)</f>
        <v>0.4380448046875</v>
      </c>
      <c r="H47" s="1" t="n">
        <f aca="false">MAX(G47*D9-D47,0)</f>
        <v>0.227858512109375</v>
      </c>
      <c r="I47" s="1" t="n">
        <f aca="false">MAX(H47*E9-D47,0)</f>
        <v>0</v>
      </c>
    </row>
    <row r="48" customFormat="false" ht="15" hidden="false" customHeight="false" outlineLevel="0" collapsed="false">
      <c r="A48" s="1" t="n">
        <v>15</v>
      </c>
      <c r="B48" s="1" t="n">
        <f aca="false">IF(I47&gt;0,D47,B47)</f>
        <v>0.2232666015625</v>
      </c>
      <c r="C48" s="1" t="n">
        <f aca="false">IF(I47&gt;0,C47,D47)</f>
        <v>0.22332763671875</v>
      </c>
      <c r="D48" s="1" t="n">
        <f aca="false">(B48+C48)/2</f>
        <v>0.223297119140625</v>
      </c>
      <c r="E48" s="1" t="n">
        <f aca="false">MAX(1*A9-D48,0)</f>
        <v>0.856702880859375</v>
      </c>
      <c r="F48" s="1" t="n">
        <f aca="false">MAX(E48*B9-D48,0)</f>
        <v>0.590570617675781</v>
      </c>
      <c r="G48" s="1" t="n">
        <f aca="false">MAX(F48*C9-D48,0)</f>
        <v>0.43814197265625</v>
      </c>
      <c r="H48" s="1" t="n">
        <f aca="false">MAX(G48*D9-D48,0)</f>
        <v>0.227989112695313</v>
      </c>
      <c r="I48" s="1" t="n">
        <f aca="false">MAX(H48*E9-D48,0)</f>
        <v>0.000132211300781282</v>
      </c>
    </row>
    <row r="49" customFormat="false" ht="15" hidden="false" customHeight="false" outlineLevel="0" collapsed="false">
      <c r="A49" s="1" t="n">
        <v>16</v>
      </c>
      <c r="B49" s="1" t="n">
        <f aca="false">IF(I48&gt;0,D48,B48)</f>
        <v>0.223297119140625</v>
      </c>
      <c r="C49" s="1" t="n">
        <f aca="false">IF(I48&gt;0,C48,D48)</f>
        <v>0.22332763671875</v>
      </c>
      <c r="D49" s="1" t="n">
        <f aca="false">(B49+C49)/2</f>
        <v>0.223312377929688</v>
      </c>
      <c r="E49" s="1" t="n">
        <f aca="false">MAX(1*A9-D49,0)</f>
        <v>0.856687622070313</v>
      </c>
      <c r="F49" s="1" t="n">
        <f aca="false">MAX(E49*B9-D49,0)</f>
        <v>0.590540863037109</v>
      </c>
      <c r="G49" s="1" t="n">
        <f aca="false">MAX(F49*C9-D49,0)</f>
        <v>0.438093388671875</v>
      </c>
      <c r="H49" s="1" t="n">
        <f aca="false">MAX(G49*D9-D49,0)</f>
        <v>0.227923812402344</v>
      </c>
      <c r="I49" s="1" t="n">
        <f aca="false">MAX(H49*E9-D49,0)</f>
        <v>5.2958224609434E-005</v>
      </c>
    </row>
    <row r="50" customFormat="false" ht="15" hidden="false" customHeight="false" outlineLevel="0" collapsed="false">
      <c r="A50" s="1" t="n">
        <v>17</v>
      </c>
      <c r="B50" s="1" t="n">
        <f aca="false">IF(I49&gt;0,D49,B49)</f>
        <v>0.223312377929688</v>
      </c>
      <c r="C50" s="1" t="n">
        <f aca="false">IF(I49&gt;0,C49,D49)</f>
        <v>0.22332763671875</v>
      </c>
      <c r="D50" s="1" t="n">
        <f aca="false">(B50+C50)/2</f>
        <v>0.223320007324219</v>
      </c>
      <c r="E50" s="1" t="n">
        <f aca="false">MAX(1*A9-D50,0)</f>
        <v>0.856679992675781</v>
      </c>
      <c r="F50" s="1" t="n">
        <f aca="false">MAX(E50*B9-D50,0)</f>
        <v>0.590525985717774</v>
      </c>
      <c r="G50" s="1" t="n">
        <f aca="false">MAX(F50*C9-D50,0)</f>
        <v>0.438069096679688</v>
      </c>
      <c r="H50" s="1" t="n">
        <f aca="false">MAX(G50*D9-D50,0)</f>
        <v>0.22789116225586</v>
      </c>
      <c r="I50" s="1" t="n">
        <f aca="false">MAX(H50*E9-D50,0)</f>
        <v>1.33316865235933E-005</v>
      </c>
    </row>
    <row r="51" customFormat="false" ht="15" hidden="false" customHeight="false" outlineLevel="0" collapsed="false">
      <c r="A51" s="1" t="n">
        <v>18</v>
      </c>
      <c r="B51" s="1" t="n">
        <f aca="false">IF(I50&gt;0,D50,B50)</f>
        <v>0.223320007324219</v>
      </c>
      <c r="C51" s="1" t="n">
        <f aca="false">IF(I50&gt;0,C50,D50)</f>
        <v>0.22332763671875</v>
      </c>
      <c r="D51" s="1" t="n">
        <f aca="false">(B51+C51)/2</f>
        <v>0.223323822021484</v>
      </c>
      <c r="E51" s="1" t="n">
        <f aca="false">MAX(1*A9-D51,0)</f>
        <v>0.856676177978516</v>
      </c>
      <c r="F51" s="1" t="n">
        <f aca="false">MAX(E51*B9-D51,0)</f>
        <v>0.590518547058106</v>
      </c>
      <c r="G51" s="1" t="n">
        <f aca="false">MAX(F51*C9-D51,0)</f>
        <v>0.438056950683594</v>
      </c>
      <c r="H51" s="1" t="n">
        <f aca="false">MAX(G51*D9-D51,0)</f>
        <v>0.227874837182617</v>
      </c>
      <c r="I51" s="1" t="n">
        <f aca="false">MAX(H51*E9-D51,0)</f>
        <v>0</v>
      </c>
    </row>
    <row r="52" customFormat="false" ht="15" hidden="false" customHeight="false" outlineLevel="0" collapsed="false">
      <c r="A52" s="1" t="n">
        <v>19</v>
      </c>
      <c r="B52" s="1" t="n">
        <f aca="false">IF(I51&gt;0,D51,B51)</f>
        <v>0.223320007324219</v>
      </c>
      <c r="C52" s="1" t="n">
        <f aca="false">IF(I51&gt;0,C51,D51)</f>
        <v>0.223323822021484</v>
      </c>
      <c r="D52" s="1" t="n">
        <f aca="false">(B52+C52)/2</f>
        <v>0.223321914672852</v>
      </c>
      <c r="E52" s="1" t="n">
        <f aca="false">MAX(1*A9-D52,0)</f>
        <v>0.856678085327149</v>
      </c>
      <c r="F52" s="1" t="n">
        <f aca="false">MAX(E52*B9-D52,0)</f>
        <v>0.59052226638794</v>
      </c>
      <c r="G52" s="1" t="n">
        <f aca="false">MAX(F52*C9-D52,0)</f>
        <v>0.438063023681641</v>
      </c>
      <c r="H52" s="1" t="n">
        <f aca="false">MAX(G52*D9-D52,0)</f>
        <v>0.227882999719238</v>
      </c>
      <c r="I52" s="1" t="n">
        <f aca="false">MAX(H52*E9-D52,0)</f>
        <v>3.42505200209842E-006</v>
      </c>
    </row>
    <row r="53" customFormat="false" ht="15" hidden="false" customHeight="false" outlineLevel="0" collapsed="false">
      <c r="A53" s="1" t="n">
        <v>20</v>
      </c>
      <c r="B53" s="1" t="n">
        <f aca="false">IF(I52&gt;0,D52,B52)</f>
        <v>0.223321914672852</v>
      </c>
      <c r="C53" s="1" t="n">
        <f aca="false">IF(I52&gt;0,C52,D52)</f>
        <v>0.223323822021484</v>
      </c>
      <c r="D53" s="1" t="n">
        <f aca="false">(B53+C53)/2</f>
        <v>0.223322868347168</v>
      </c>
      <c r="E53" s="1" t="n">
        <f aca="false">MAX(1*A9-D53,0)</f>
        <v>0.856677131652832</v>
      </c>
      <c r="F53" s="1" t="n">
        <f aca="false">MAX(E53*B9-D53,0)</f>
        <v>0.590520406723023</v>
      </c>
      <c r="G53" s="1" t="n">
        <f aca="false">MAX(F53*C9-D53,0)</f>
        <v>0.438059987182617</v>
      </c>
      <c r="H53" s="1" t="n">
        <f aca="false">MAX(G53*D9-D53,0)</f>
        <v>0.227878918450928</v>
      </c>
      <c r="I53" s="1" t="n">
        <f aca="false">MAX(H53*E9-D53,0)</f>
        <v>0</v>
      </c>
    </row>
    <row r="54" customFormat="false" ht="15" hidden="false" customHeight="false" outlineLevel="0" collapsed="false">
      <c r="A54" s="1" t="n">
        <v>21</v>
      </c>
      <c r="B54" s="1" t="n">
        <f aca="false">IF(I53&gt;0,D53,B53)</f>
        <v>0.223321914672852</v>
      </c>
      <c r="C54" s="1" t="n">
        <f aca="false">IF(I53&gt;0,C53,D53)</f>
        <v>0.223322868347168</v>
      </c>
      <c r="D54" s="1" t="n">
        <f aca="false">(B54+C54)/2</f>
        <v>0.22332239151001</v>
      </c>
      <c r="E54" s="1" t="n">
        <f aca="false">MAX(1*A9-D54,0)</f>
        <v>0.85667760848999</v>
      </c>
      <c r="F54" s="1" t="n">
        <f aca="false">MAX(E54*B9-D54,0)</f>
        <v>0.590521336555481</v>
      </c>
      <c r="G54" s="1" t="n">
        <f aca="false">MAX(F54*C9-D54,0)</f>
        <v>0.438061505432129</v>
      </c>
      <c r="H54" s="1" t="n">
        <f aca="false">MAX(G54*D9-D54,0)</f>
        <v>0.227880959085083</v>
      </c>
      <c r="I54" s="1" t="n">
        <f aca="false">MAX(H54*E9-D54,0)</f>
        <v>9.4839337178021E-007</v>
      </c>
    </row>
    <row r="55" customFormat="false" ht="15" hidden="false" customHeight="false" outlineLevel="0" collapsed="false">
      <c r="A55" s="1" t="n">
        <v>22</v>
      </c>
      <c r="B55" s="1" t="n">
        <f aca="false">IF(I54&gt;0,D54,B54)</f>
        <v>0.22332239151001</v>
      </c>
      <c r="C55" s="1" t="n">
        <f aca="false">IF(I54&gt;0,C54,D54)</f>
        <v>0.223322868347168</v>
      </c>
      <c r="D55" s="1" t="n">
        <f aca="false">(B55+C55)/2</f>
        <v>0.223322629928589</v>
      </c>
      <c r="E55" s="1" t="n">
        <f aca="false">MAX(1*A9-D55,0)</f>
        <v>0.856677370071411</v>
      </c>
      <c r="F55" s="1" t="n">
        <f aca="false">MAX(E55*B9-D55,0)</f>
        <v>0.590520871639252</v>
      </c>
      <c r="G55" s="1" t="n">
        <f aca="false">MAX(F55*C9-D55,0)</f>
        <v>0.438060746307373</v>
      </c>
      <c r="H55" s="1" t="n">
        <f aca="false">MAX(G55*D9-D55,0)</f>
        <v>0.227879938768005</v>
      </c>
      <c r="I55" s="1" t="n">
        <f aca="false">MAX(H55*E9-D55,0)</f>
        <v>0</v>
      </c>
    </row>
    <row r="56" customFormat="false" ht="15" hidden="false" customHeight="false" outlineLevel="0" collapsed="false">
      <c r="A56" s="1" t="n">
        <v>23</v>
      </c>
      <c r="B56" s="1" t="n">
        <f aca="false">IF(I55&gt;0,D55,B55)</f>
        <v>0.22332239151001</v>
      </c>
      <c r="C56" s="1" t="n">
        <f aca="false">IF(I55&gt;0,C55,D55)</f>
        <v>0.223322629928589</v>
      </c>
      <c r="D56" s="1" t="n">
        <f aca="false">(B56+C56)/2</f>
        <v>0.223322510719299</v>
      </c>
      <c r="E56" s="1" t="n">
        <f aca="false">MAX(1*A9-D56,0)</f>
        <v>0.856677489280701</v>
      </c>
      <c r="F56" s="1" t="n">
        <f aca="false">MAX(E56*B9-D56,0)</f>
        <v>0.590521104097366</v>
      </c>
      <c r="G56" s="1" t="n">
        <f aca="false">MAX(F56*C9-D56,0)</f>
        <v>0.438061125869751</v>
      </c>
      <c r="H56" s="1" t="n">
        <f aca="false">MAX(G56*D9-D56,0)</f>
        <v>0.227880448926544</v>
      </c>
      <c r="I56" s="1" t="n">
        <f aca="false">MAX(H56*E9-D56,0)</f>
        <v>3.29228714152086E-007</v>
      </c>
    </row>
    <row r="57" customFormat="false" ht="15" hidden="false" customHeight="false" outlineLevel="0" collapsed="false">
      <c r="A57" s="1" t="n">
        <v>24</v>
      </c>
      <c r="B57" s="1" t="n">
        <f aca="false">IF(I56&gt;0,D56,B56)</f>
        <v>0.223322510719299</v>
      </c>
      <c r="C57" s="1" t="n">
        <f aca="false">IF(I56&gt;0,C56,D56)</f>
        <v>0.223322629928589</v>
      </c>
      <c r="D57" s="1" t="n">
        <f aca="false">(B57+C57)/2</f>
        <v>0.223322570323944</v>
      </c>
      <c r="E57" s="1" t="n">
        <f aca="false">MAX(1*A9-D57,0)</f>
        <v>0.856677429676056</v>
      </c>
      <c r="F57" s="1" t="n">
        <f aca="false">MAX(E57*B9-D57,0)</f>
        <v>0.590520987868309</v>
      </c>
      <c r="G57" s="1" t="n">
        <f aca="false">MAX(F57*C9-D57,0)</f>
        <v>0.438060936088562</v>
      </c>
      <c r="H57" s="1" t="n">
        <f aca="false">MAX(G57*D9-D57,0)</f>
        <v>0.227880193847275</v>
      </c>
      <c r="I57" s="1" t="n">
        <f aca="false">MAX(H57*E9-D57,0)</f>
        <v>1.96463852686346E-008</v>
      </c>
    </row>
    <row r="58" customFormat="false" ht="15" hidden="false" customHeight="false" outlineLevel="0" collapsed="false">
      <c r="A58" s="1" t="n">
        <v>25</v>
      </c>
      <c r="B58" s="1" t="n">
        <f aca="false">IF(I57&gt;0,D57,B57)</f>
        <v>0.223322570323944</v>
      </c>
      <c r="C58" s="1" t="n">
        <f aca="false">IF(I57&gt;0,C57,D57)</f>
        <v>0.223322629928589</v>
      </c>
      <c r="D58" s="1" t="n">
        <f aca="false">(B58+C58)/2</f>
        <v>0.223322600126266</v>
      </c>
      <c r="E58" s="1" t="n">
        <f aca="false">MAX(1*A9-D58,0)</f>
        <v>0.856677399873734</v>
      </c>
      <c r="F58" s="1" t="n">
        <f aca="false">MAX(E58*B9-D58,0)</f>
        <v>0.59052092975378</v>
      </c>
      <c r="G58" s="1" t="n">
        <f aca="false">MAX(F58*C9-D58,0)</f>
        <v>0.438060841197968</v>
      </c>
      <c r="H58" s="1" t="n">
        <f aca="false">MAX(G58*D9-D58,0)</f>
        <v>0.22788006630764</v>
      </c>
      <c r="I58" s="1" t="n">
        <f aca="false">MAX(H58*E9-D58,0)</f>
        <v>0</v>
      </c>
    </row>
    <row r="60" customFormat="false" ht="15" hidden="false" customHeight="false" outlineLevel="0" collapsed="false">
      <c r="A60" s="1" t="s">
        <v>2857</v>
      </c>
      <c r="B60" s="1" t="n">
        <f aca="false">D58</f>
        <v>0.223322600126266</v>
      </c>
    </row>
    <row r="61" customFormat="false" ht="15" hidden="false" customHeight="false" outlineLevel="0" collapsed="false">
      <c r="A61" s="1" t="s">
        <v>2858</v>
      </c>
      <c r="B61" s="1" t="n">
        <f aca="false">I58</f>
        <v>0</v>
      </c>
    </row>
    <row r="62" customFormat="false" ht="54.75" hidden="false" customHeight="true" outlineLevel="0" collapsed="false">
      <c r="A62" s="8" t="s">
        <v>2859</v>
      </c>
      <c r="B62" s="8"/>
      <c r="C62" s="8"/>
      <c r="D62" s="8"/>
      <c r="E62" s="8"/>
      <c r="F62" s="8"/>
      <c r="G62" s="8"/>
      <c r="H62" s="8"/>
      <c r="I62" s="8"/>
    </row>
  </sheetData>
  <mergeCells count="4">
    <mergeCell ref="A2:H2"/>
    <mergeCell ref="A29:H29"/>
    <mergeCell ref="A32:H32"/>
    <mergeCell ref="A62:I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5" min="3" style="1" width="30"/>
    <col collapsed="false" customWidth="true" hidden="false" outlineLevel="0" max="6" min="6" style="1" width="20"/>
    <col collapsed="false" customWidth="true" hidden="false" outlineLevel="0" max="7" min="7" style="1" width="14"/>
  </cols>
  <sheetData>
    <row r="1" customFormat="false" ht="17.35" hidden="false" customHeight="false" outlineLevel="0" collapsed="false">
      <c r="A1" s="2" t="s">
        <v>2860</v>
      </c>
    </row>
    <row r="2" customFormat="false" ht="90" hidden="false" customHeight="true" outlineLevel="0" collapsed="false">
      <c r="A2" s="8" t="s">
        <v>2861</v>
      </c>
      <c r="B2" s="8"/>
      <c r="C2" s="8"/>
      <c r="D2" s="8"/>
      <c r="E2" s="8"/>
      <c r="F2" s="8"/>
    </row>
    <row r="4" customFormat="false" ht="15" hidden="false" customHeight="false" outlineLevel="0" collapsed="false">
      <c r="A4" s="11" t="s">
        <v>2862</v>
      </c>
    </row>
    <row r="5" customFormat="false" ht="15" hidden="false" customHeight="false" outlineLevel="0" collapsed="false">
      <c r="A5" s="1" t="s">
        <v>2863</v>
      </c>
      <c r="B5" s="1" t="s">
        <v>2864</v>
      </c>
    </row>
    <row r="6" customFormat="false" ht="15" hidden="false" customHeight="false" outlineLevel="0" collapsed="false">
      <c r="A6" s="1" t="s">
        <v>2865</v>
      </c>
      <c r="B6" s="1" t="b">
        <f aca="false">TRUE()</f>
        <v>1</v>
      </c>
    </row>
    <row r="7" customFormat="false" ht="15" hidden="false" customHeight="false" outlineLevel="0" collapsed="false">
      <c r="A7" s="1" t="s">
        <v>2866</v>
      </c>
      <c r="B7" s="1" t="n">
        <v>20000</v>
      </c>
    </row>
    <row r="8" customFormat="false" ht="15" hidden="false" customHeight="false" outlineLevel="0" collapsed="false">
      <c r="A8" s="1" t="s">
        <v>2867</v>
      </c>
      <c r="B8" s="1" t="b">
        <f aca="false">TRUE()</f>
        <v>1</v>
      </c>
    </row>
    <row r="9" customFormat="false" ht="15" hidden="false" customHeight="false" outlineLevel="0" collapsed="false">
      <c r="A9" s="1" t="s">
        <v>2868</v>
      </c>
      <c r="B9" s="1" t="s">
        <v>2869</v>
      </c>
    </row>
    <row r="10" customFormat="false" ht="15" hidden="false" customHeight="false" outlineLevel="0" collapsed="false">
      <c r="A10" s="1" t="s">
        <v>2870</v>
      </c>
      <c r="B10" s="1" t="n">
        <v>1</v>
      </c>
    </row>
    <row r="11" customFormat="false" ht="15" hidden="false" customHeight="false" outlineLevel="0" collapsed="false">
      <c r="A11" s="1" t="s">
        <v>2871</v>
      </c>
      <c r="B11" s="1" t="n">
        <v>5</v>
      </c>
    </row>
    <row r="13" customFormat="false" ht="15" hidden="false" customHeight="false" outlineLevel="0" collapsed="false">
      <c r="A13" s="11" t="s">
        <v>2872</v>
      </c>
    </row>
    <row r="14" customFormat="false" ht="15" hidden="false" customHeight="false" outlineLevel="0" collapsed="false">
      <c r="A14" s="4" t="s">
        <v>2873</v>
      </c>
      <c r="B14" s="4" t="s">
        <v>2874</v>
      </c>
      <c r="C14" s="4" t="s">
        <v>2875</v>
      </c>
      <c r="D14" s="4" t="s">
        <v>2876</v>
      </c>
      <c r="E14" s="4" t="s">
        <v>2877</v>
      </c>
      <c r="F14" s="4" t="s">
        <v>2878</v>
      </c>
      <c r="G14" s="4" t="s">
        <v>2723</v>
      </c>
    </row>
    <row r="15" customFormat="false" ht="15" hidden="false" customHeight="false" outlineLevel="0" collapsed="false">
      <c r="A15" s="1" t="n">
        <v>0</v>
      </c>
      <c r="B15" s="1" t="n">
        <v>0</v>
      </c>
      <c r="C15" s="1" t="n">
        <v>0</v>
      </c>
      <c r="D15" s="1" t="s">
        <v>2879</v>
      </c>
      <c r="E15" s="1" t="s">
        <v>2880</v>
      </c>
      <c r="F15" s="1" t="s">
        <v>2880</v>
      </c>
      <c r="G15" s="1" t="s">
        <v>2880</v>
      </c>
    </row>
    <row r="16" customFormat="false" ht="15" hidden="false" customHeight="false" outlineLevel="0" collapsed="false">
      <c r="A16" s="1" t="n">
        <v>1</v>
      </c>
      <c r="B16" s="1" t="n">
        <v>-21212.1213781914</v>
      </c>
      <c r="C16" s="1" t="n">
        <v>-20000</v>
      </c>
      <c r="D16" s="1" t="n">
        <f aca="false">IF(B16=0,"n/a",B16/-20000)</f>
        <v>1.06060606890957</v>
      </c>
      <c r="E16" s="1" t="n">
        <f aca="false">IF(B16=0,"n/a",B16/D16)</f>
        <v>-20000</v>
      </c>
      <c r="F16" s="1" t="n">
        <f aca="false">ROUND(ABS(-20000-E16),6)</f>
        <v>0</v>
      </c>
      <c r="G16" s="1" t="str">
        <f aca="false">IF(F16=0,"Y","N")</f>
        <v>Y</v>
      </c>
    </row>
    <row r="17" customFormat="false" ht="15" hidden="false" customHeight="false" outlineLevel="0" collapsed="false">
      <c r="A17" s="1" t="n">
        <v>2</v>
      </c>
      <c r="B17" s="1" t="n">
        <v>-21832.6994027225</v>
      </c>
      <c r="C17" s="1" t="n">
        <v>-20000</v>
      </c>
      <c r="D17" s="1" t="n">
        <f aca="false">IF(B17=0,"n/a",B17/-20000)</f>
        <v>1.09163497013613</v>
      </c>
      <c r="E17" s="1" t="n">
        <f aca="false">IF(B17=0,"n/a",B17/D17)</f>
        <v>-20000</v>
      </c>
      <c r="F17" s="1" t="n">
        <f aca="false">ROUND(ABS(-20000-E17),6)</f>
        <v>0</v>
      </c>
      <c r="G17" s="1" t="str">
        <f aca="false">IF(F17=0,"Y","N")</f>
        <v>Y</v>
      </c>
    </row>
    <row r="18" customFormat="false" ht="15" hidden="false" customHeight="false" outlineLevel="0" collapsed="false">
      <c r="A18" s="1" t="n">
        <v>3</v>
      </c>
      <c r="B18" s="1" t="n">
        <v>-22491.1570177794</v>
      </c>
      <c r="C18" s="1" t="n">
        <v>-20000</v>
      </c>
      <c r="D18" s="1" t="n">
        <f aca="false">IF(B18=0,"n/a",B18/-20000)</f>
        <v>1.12455785088897</v>
      </c>
      <c r="E18" s="1" t="n">
        <f aca="false">IF(B18=0,"n/a",B18/D18)</f>
        <v>-20000</v>
      </c>
      <c r="F18" s="1" t="n">
        <f aca="false">ROUND(ABS(-20000-E18),6)</f>
        <v>0</v>
      </c>
      <c r="G18" s="1" t="str">
        <f aca="false">IF(F18=0,"Y","N")</f>
        <v>Y</v>
      </c>
    </row>
    <row r="19" customFormat="false" ht="15" hidden="false" customHeight="false" outlineLevel="0" collapsed="false">
      <c r="A19" s="1" t="n">
        <v>4</v>
      </c>
      <c r="B19" s="1" t="n">
        <v>-23180.4860857025</v>
      </c>
      <c r="C19" s="1" t="n">
        <v>-20000</v>
      </c>
      <c r="D19" s="1" t="n">
        <f aca="false">IF(B19=0,"n/a",B19/-20000)</f>
        <v>1.15902430428513</v>
      </c>
      <c r="E19" s="1" t="n">
        <f aca="false">IF(B19=0,"n/a",B19/D19)</f>
        <v>-20000</v>
      </c>
      <c r="F19" s="1" t="n">
        <f aca="false">ROUND(ABS(-20000-E19),6)</f>
        <v>0</v>
      </c>
      <c r="G19" s="1" t="str">
        <f aca="false">IF(F19=0,"Y","N")</f>
        <v>Y</v>
      </c>
    </row>
    <row r="21" customFormat="false" ht="64.5" hidden="false" customHeight="true" outlineLevel="0" collapsed="false">
      <c r="A21" s="8" t="s">
        <v>2881</v>
      </c>
      <c r="B21" s="8"/>
      <c r="C21" s="8"/>
      <c r="D21" s="8"/>
      <c r="E21" s="8"/>
      <c r="F21" s="8"/>
      <c r="G21" s="8"/>
    </row>
    <row r="23" customFormat="false" ht="15" hidden="false" customHeight="false" outlineLevel="0" collapsed="false">
      <c r="A23" s="12" t="s">
        <v>2882</v>
      </c>
    </row>
    <row r="24" customFormat="false" ht="129.75" hidden="false" customHeight="true" outlineLevel="0" collapsed="false">
      <c r="A24" s="8" t="s">
        <v>2883</v>
      </c>
      <c r="B24" s="8"/>
      <c r="C24" s="8"/>
      <c r="D24" s="8"/>
      <c r="E24" s="8"/>
      <c r="F24" s="8"/>
      <c r="G24" s="8"/>
    </row>
    <row r="26" customFormat="false" ht="15" hidden="false" customHeight="false" outlineLevel="0" collapsed="false">
      <c r="A26" s="11" t="s">
        <v>2884</v>
      </c>
    </row>
    <row r="27" customFormat="false" ht="49.5" hidden="false" customHeight="true" outlineLevel="0" collapsed="false">
      <c r="A27" s="8" t="s">
        <v>2885</v>
      </c>
      <c r="B27" s="8"/>
      <c r="C27" s="8"/>
      <c r="D27" s="8"/>
      <c r="E27" s="8"/>
      <c r="F27" s="8"/>
      <c r="G27" s="8"/>
    </row>
    <row r="28" customFormat="false" ht="15" hidden="false" customHeight="false" outlineLevel="0" collapsed="false">
      <c r="A28" s="4" t="s">
        <v>2873</v>
      </c>
      <c r="B28" s="4" t="s">
        <v>2886</v>
      </c>
      <c r="C28" s="4" t="s">
        <v>2887</v>
      </c>
      <c r="D28" s="4" t="s">
        <v>2888</v>
      </c>
      <c r="E28" s="4" t="s">
        <v>2889</v>
      </c>
      <c r="F28" s="4" t="s">
        <v>2890</v>
      </c>
    </row>
    <row r="29" customFormat="false" ht="15" hidden="false" customHeight="false" outlineLevel="0" collapsed="false">
      <c r="A29" s="1" t="n">
        <v>1</v>
      </c>
      <c r="B29" s="1" t="n">
        <f aca="false">Metrics!A9</f>
        <v>1.08</v>
      </c>
      <c r="C29" s="1" t="n">
        <v>0</v>
      </c>
      <c r="D29" s="1" t="n">
        <v>1000000</v>
      </c>
      <c r="E29" s="1" t="n">
        <f aca="false">D29*B29</f>
        <v>1080000</v>
      </c>
      <c r="F29" s="1" t="n">
        <f aca="false">MAX(E29+C29,0)</f>
        <v>1080000</v>
      </c>
    </row>
    <row r="30" customFormat="false" ht="15" hidden="false" customHeight="false" outlineLevel="0" collapsed="false">
      <c r="A30" s="1" t="n">
        <v>2</v>
      </c>
      <c r="B30" s="1" t="n">
        <f aca="false">Metrics!B9</f>
        <v>0.95</v>
      </c>
      <c r="C30" s="1" t="n">
        <v>-21212.1213781914</v>
      </c>
      <c r="D30" s="1" t="n">
        <f aca="false">F29</f>
        <v>1080000</v>
      </c>
      <c r="E30" s="1" t="n">
        <f aca="false">D30*B30</f>
        <v>1026000</v>
      </c>
      <c r="F30" s="1" t="n">
        <f aca="false">MAX(E30+C30,0)</f>
        <v>1004787.87862181</v>
      </c>
    </row>
    <row r="31" customFormat="false" ht="15" hidden="false" customHeight="false" outlineLevel="0" collapsed="false">
      <c r="A31" s="1" t="n">
        <v>3</v>
      </c>
      <c r="B31" s="1" t="n">
        <f aca="false">Metrics!C9</f>
        <v>1.12</v>
      </c>
      <c r="C31" s="1" t="n">
        <v>-21832.6994027225</v>
      </c>
      <c r="D31" s="1" t="n">
        <f aca="false">F30</f>
        <v>1004787.87862181</v>
      </c>
      <c r="E31" s="1" t="n">
        <f aca="false">D31*B31</f>
        <v>1125362.42405643</v>
      </c>
      <c r="F31" s="1" t="n">
        <f aca="false">MAX(E31+C31,0)</f>
        <v>1103529.7246537</v>
      </c>
    </row>
    <row r="32" customFormat="false" ht="15" hidden="false" customHeight="false" outlineLevel="0" collapsed="false">
      <c r="A32" s="1" t="n">
        <v>4</v>
      </c>
      <c r="B32" s="1" t="n">
        <f aca="false">Metrics!D9</f>
        <v>1.03</v>
      </c>
      <c r="C32" s="1" t="n">
        <v>-22491.1570177794</v>
      </c>
      <c r="D32" s="1" t="n">
        <f aca="false">F31</f>
        <v>1103529.7246537</v>
      </c>
      <c r="E32" s="1" t="n">
        <f aca="false">D32*B32</f>
        <v>1136635.61639331</v>
      </c>
      <c r="F32" s="1" t="n">
        <f aca="false">MAX(E32+C32,0)</f>
        <v>1114144.45937554</v>
      </c>
    </row>
    <row r="33" customFormat="false" ht="15" hidden="false" customHeight="false" outlineLevel="0" collapsed="false">
      <c r="A33" s="1" t="n">
        <v>5</v>
      </c>
      <c r="B33" s="1" t="n">
        <f aca="false">Metrics!E9</f>
        <v>0.98</v>
      </c>
      <c r="C33" s="13" t="s">
        <v>2891</v>
      </c>
      <c r="D33" s="1" t="n">
        <f aca="false">F32</f>
        <v>1114144.45937554</v>
      </c>
      <c r="E33" s="1" t="n">
        <f aca="false">D33*B33</f>
        <v>1091861.57018802</v>
      </c>
      <c r="F33" s="13" t="s">
        <v>2892</v>
      </c>
    </row>
    <row r="35" customFormat="false" ht="54.75" hidden="false" customHeight="true" outlineLevel="0" collapsed="false">
      <c r="A35" s="8" t="s">
        <v>2893</v>
      </c>
      <c r="B35" s="8"/>
      <c r="C35" s="8"/>
      <c r="D35" s="8"/>
      <c r="E35" s="8"/>
      <c r="F35" s="8"/>
    </row>
    <row r="37" customFormat="false" ht="15" hidden="false" customHeight="false" outlineLevel="0" collapsed="false">
      <c r="A37" s="11" t="s">
        <v>2894</v>
      </c>
    </row>
    <row r="38" customFormat="false" ht="15" hidden="false" customHeight="false" outlineLevel="0" collapsed="false">
      <c r="A38" s="1" t="s">
        <v>2895</v>
      </c>
      <c r="B38" s="1" t="n">
        <v>1</v>
      </c>
    </row>
    <row r="39" customFormat="false" ht="15" hidden="false" customHeight="false" outlineLevel="0" collapsed="false">
      <c r="A39" s="1" t="s">
        <v>2896</v>
      </c>
      <c r="B39" s="1" t="n">
        <v>1</v>
      </c>
    </row>
    <row r="40" customFormat="false" ht="15" hidden="false" customHeight="false" outlineLevel="0" collapsed="false">
      <c r="A40" s="1" t="str">
        <f aca="false">IF(B38=B39,"Y - consistent","Check - differ")</f>
        <v>Y - consistent</v>
      </c>
    </row>
  </sheetData>
  <mergeCells count="5">
    <mergeCell ref="A2:F2"/>
    <mergeCell ref="A21:G21"/>
    <mergeCell ref="A24:G24"/>
    <mergeCell ref="A27:G27"/>
    <mergeCell ref="A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3" min="2" style="1" width="20"/>
    <col collapsed="false" customWidth="true" hidden="false" outlineLevel="0" max="5" min="4" style="1" width="12"/>
    <col collapsed="false" customWidth="true" hidden="false" outlineLevel="0" max="6" min="6" style="1" width="60"/>
  </cols>
  <sheetData>
    <row r="1" customFormat="false" ht="17.35" hidden="false" customHeight="false" outlineLevel="0" collapsed="false">
      <c r="A1" s="2" t="s">
        <v>2897</v>
      </c>
    </row>
    <row r="2" customFormat="false" ht="90" hidden="false" customHeight="true" outlineLevel="0" collapsed="false">
      <c r="A2" s="8" t="s">
        <v>2898</v>
      </c>
      <c r="B2" s="8"/>
      <c r="C2" s="8"/>
      <c r="D2" s="8"/>
      <c r="E2" s="8"/>
      <c r="F2" s="8"/>
    </row>
    <row r="4" customFormat="false" ht="15" hidden="false" customHeight="false" outlineLevel="0" collapsed="false">
      <c r="A4" s="4" t="s">
        <v>2717</v>
      </c>
      <c r="B4" s="4" t="s">
        <v>2899</v>
      </c>
      <c r="C4" s="4" t="s">
        <v>2900</v>
      </c>
      <c r="D4" s="4" t="s">
        <v>2722</v>
      </c>
      <c r="E4" s="4" t="s">
        <v>2901</v>
      </c>
      <c r="F4" s="4" t="s">
        <v>2724</v>
      </c>
    </row>
    <row r="5" customFormat="false" ht="15" hidden="false" customHeight="false" outlineLevel="0" collapsed="false">
      <c r="A5" s="1" t="s">
        <v>2902</v>
      </c>
      <c r="B5" s="1" t="n">
        <f aca="false">'Risk &amp; Correlation'!E5</f>
        <v>0.207046485383322</v>
      </c>
      <c r="C5" s="1" t="n">
        <f aca="false">'Risk &amp; Correlation'!D5</f>
        <v>0.207046485383322</v>
      </c>
      <c r="D5" s="1" t="n">
        <f aca="false">ROUND(ABS(B5-C5),6)</f>
        <v>0</v>
      </c>
      <c r="E5" s="1" t="str">
        <f aca="false">IF(D5=0,"Y","N")</f>
        <v>Y</v>
      </c>
      <c r="F5" s="10" t="s">
        <v>2903</v>
      </c>
    </row>
    <row r="6" customFormat="false" ht="15" hidden="false" customHeight="false" outlineLevel="0" collapsed="false">
      <c r="A6" s="1" t="s">
        <v>2904</v>
      </c>
      <c r="B6" s="1" t="n">
        <f aca="false">'Risk &amp; Correlation'!E6</f>
        <v>0.0375407606261881</v>
      </c>
      <c r="C6" s="1" t="n">
        <f aca="false">'Risk &amp; Correlation'!D6</f>
        <v>0.0375407606261881</v>
      </c>
      <c r="D6" s="1" t="n">
        <f aca="false">ROUND(ABS(B6-C6),6)</f>
        <v>0</v>
      </c>
      <c r="E6" s="1" t="str">
        <f aca="false">IF(D6=0,"Y","N")</f>
        <v>Y</v>
      </c>
      <c r="F6" s="10" t="s">
        <v>2903</v>
      </c>
    </row>
    <row r="7" customFormat="false" ht="15" hidden="false" customHeight="false" outlineLevel="0" collapsed="false">
      <c r="A7" s="1" t="s">
        <v>2905</v>
      </c>
      <c r="B7" s="1" t="n">
        <f aca="false">'Risk &amp; Correlation'!E7</f>
        <v>0.00981078959740622</v>
      </c>
      <c r="C7" s="1" t="n">
        <f aca="false">'Risk &amp; Correlation'!D7</f>
        <v>0.00981078959740622</v>
      </c>
      <c r="D7" s="1" t="n">
        <f aca="false">ROUND(ABS(B7-C7),6)</f>
        <v>0</v>
      </c>
      <c r="E7" s="1" t="str">
        <f aca="false">IF(D7=0,"Y","N")</f>
        <v>Y</v>
      </c>
      <c r="F7" s="10" t="s">
        <v>2903</v>
      </c>
    </row>
    <row r="8" customFormat="false" ht="15" hidden="false" customHeight="false" outlineLevel="0" collapsed="false">
      <c r="A8" s="1" t="s">
        <v>2906</v>
      </c>
      <c r="B8" s="1" t="n">
        <f aca="false">'Risk &amp; Correlation'!E8</f>
        <v>0.17290344780092</v>
      </c>
      <c r="C8" s="1" t="n">
        <f aca="false">'Risk &amp; Correlation'!D8</f>
        <v>0.17290344780092</v>
      </c>
      <c r="D8" s="1" t="n">
        <f aca="false">ROUND(ABS(B8-C8),6)</f>
        <v>0</v>
      </c>
      <c r="E8" s="1" t="str">
        <f aca="false">IF(D8=0,"Y","N")</f>
        <v>Y</v>
      </c>
      <c r="F8" s="10" t="s">
        <v>2903</v>
      </c>
    </row>
    <row r="9" customFormat="false" ht="15" hidden="false" customHeight="false" outlineLevel="0" collapsed="false">
      <c r="A9" s="1" t="s">
        <v>2907</v>
      </c>
      <c r="B9" s="1" t="n">
        <f aca="false">'Risk &amp; Correlation'!E9</f>
        <v>0.00226173811402104</v>
      </c>
      <c r="C9" s="1" t="n">
        <f aca="false">'Risk &amp; Correlation'!D9</f>
        <v>0.00226173811402104</v>
      </c>
      <c r="D9" s="1" t="n">
        <f aca="false">ROUND(ABS(B9-C9),6)</f>
        <v>0</v>
      </c>
      <c r="E9" s="1" t="str">
        <f aca="false">IF(D9=0,"Y","N")</f>
        <v>Y</v>
      </c>
      <c r="F9" s="10" t="s">
        <v>2903</v>
      </c>
    </row>
    <row r="10" customFormat="false" ht="15" hidden="false" customHeight="false" outlineLevel="0" collapsed="false">
      <c r="A10" s="1" t="s">
        <v>2908</v>
      </c>
      <c r="B10" s="1" t="n">
        <f aca="false">'Risk &amp; Correlation'!E10</f>
        <v>0.0228027784285443</v>
      </c>
      <c r="C10" s="1" t="n">
        <f aca="false">'Risk &amp; Correlation'!D10</f>
        <v>0.0228027784285441</v>
      </c>
      <c r="D10" s="1" t="n">
        <f aca="false">ROUND(ABS(B10-C10),6)</f>
        <v>0</v>
      </c>
      <c r="E10" s="1" t="str">
        <f aca="false">IF(D10=0,"Y","N")</f>
        <v>Y</v>
      </c>
      <c r="F10" s="10" t="s">
        <v>2903</v>
      </c>
    </row>
    <row r="11" customFormat="false" ht="15" hidden="false" customHeight="false" outlineLevel="0" collapsed="false">
      <c r="A11" s="1" t="s">
        <v>2909</v>
      </c>
      <c r="B11" s="1" t="n">
        <f aca="false">'Risk &amp; Correlation'!E11</f>
        <v>0.00985630864170117</v>
      </c>
      <c r="C11" s="1" t="n">
        <f aca="false">'Risk &amp; Correlation'!D11</f>
        <v>0.0098563086417014</v>
      </c>
      <c r="D11" s="1" t="n">
        <f aca="false">ROUND(ABS(B11-C11),6)</f>
        <v>0</v>
      </c>
      <c r="E11" s="1" t="str">
        <f aca="false">IF(D11=0,"Y","N")</f>
        <v>Y</v>
      </c>
      <c r="F11" s="10" t="s">
        <v>2903</v>
      </c>
    </row>
    <row r="12" customFormat="false" ht="22.35" hidden="false" customHeight="false" outlineLevel="0" collapsed="false">
      <c r="A12" s="1" t="s">
        <v>2910</v>
      </c>
      <c r="B12" s="1" t="n">
        <f aca="false">'Goals &amp; Cashflows'!C16</f>
        <v>-20000</v>
      </c>
      <c r="C12" s="1" t="n">
        <v>-20000</v>
      </c>
      <c r="D12" s="1" t="n">
        <f aca="false">ROUND(ABS(B12-C12),6)</f>
        <v>0</v>
      </c>
      <c r="E12" s="1" t="str">
        <f aca="false">IF(D12=0,"Y","N")</f>
        <v>Y</v>
      </c>
      <c r="F12" s="10" t="s">
        <v>2911</v>
      </c>
    </row>
    <row r="13" customFormat="false" ht="22.35" hidden="false" customHeight="false" outlineLevel="0" collapsed="false">
      <c r="A13" s="1" t="s">
        <v>2912</v>
      </c>
      <c r="B13" s="1" t="n">
        <f aca="false">'Goals &amp; Cashflows'!C17</f>
        <v>-20000</v>
      </c>
      <c r="C13" s="1" t="n">
        <v>-20000</v>
      </c>
      <c r="D13" s="1" t="n">
        <f aca="false">ROUND(ABS(B13-C13),6)</f>
        <v>0</v>
      </c>
      <c r="E13" s="1" t="str">
        <f aca="false">IF(D13=0,"Y","N")</f>
        <v>Y</v>
      </c>
      <c r="F13" s="10" t="s">
        <v>2911</v>
      </c>
    </row>
    <row r="14" customFormat="false" ht="22.35" hidden="false" customHeight="false" outlineLevel="0" collapsed="false">
      <c r="A14" s="1" t="s">
        <v>2913</v>
      </c>
      <c r="B14" s="1" t="n">
        <f aca="false">'Goals &amp; Cashflows'!C18</f>
        <v>-20000</v>
      </c>
      <c r="C14" s="1" t="n">
        <v>-20000</v>
      </c>
      <c r="D14" s="1" t="n">
        <f aca="false">ROUND(ABS(B14-C14),6)</f>
        <v>0</v>
      </c>
      <c r="E14" s="1" t="str">
        <f aca="false">IF(D14=0,"Y","N")</f>
        <v>Y</v>
      </c>
      <c r="F14" s="10" t="s">
        <v>2911</v>
      </c>
    </row>
    <row r="15" customFormat="false" ht="22.35" hidden="false" customHeight="false" outlineLevel="0" collapsed="false">
      <c r="A15" s="1" t="s">
        <v>2914</v>
      </c>
      <c r="B15" s="1" t="n">
        <f aca="false">'Goals &amp; Cashflows'!C19</f>
        <v>-20000</v>
      </c>
      <c r="C15" s="1" t="n">
        <v>-20000</v>
      </c>
      <c r="D15" s="1" t="n">
        <f aca="false">ROUND(ABS(B15-C15),6)</f>
        <v>0</v>
      </c>
      <c r="E15" s="1" t="str">
        <f aca="false">IF(D15=0,"Y","N")</f>
        <v>Y</v>
      </c>
      <c r="F15" s="10" t="s">
        <v>2911</v>
      </c>
    </row>
    <row r="17" customFormat="false" ht="15" hidden="false" customHeight="false" outlineLevel="0" collapsed="false">
      <c r="A17" s="11" t="s">
        <v>2915</v>
      </c>
    </row>
    <row r="18" customFormat="false" ht="32.8" hidden="false" customHeight="false" outlineLevel="0" collapsed="false">
      <c r="A18" s="1" t="s">
        <v>2916</v>
      </c>
      <c r="B18" s="1" t="n">
        <f aca="false">Growth!D19</f>
        <v>0.0236757751117972</v>
      </c>
      <c r="C18" s="1" t="n">
        <f aca="false">Growth!B19</f>
        <v>0.0236757751117972</v>
      </c>
      <c r="D18" s="1" t="n">
        <f aca="false">ROUND(ABS(B18-C18),6)</f>
        <v>0</v>
      </c>
      <c r="E18" s="1" t="str">
        <f aca="false">IF(D18=0,"Y","N")</f>
        <v>Y</v>
      </c>
      <c r="F18" s="10" t="s">
        <v>2917</v>
      </c>
    </row>
    <row r="19" customFormat="false" ht="32.8" hidden="false" customHeight="false" outlineLevel="0" collapsed="false">
      <c r="A19" s="1" t="s">
        <v>2918</v>
      </c>
      <c r="B19" s="1" t="n">
        <f aca="false">Growth!D20</f>
        <v>0.00751566346943285</v>
      </c>
      <c r="C19" s="1" t="n">
        <f aca="false">Growth!B20</f>
        <v>0.00751566346943286</v>
      </c>
      <c r="D19" s="1" t="n">
        <f aca="false">ROUND(ABS(B19-C19),6)</f>
        <v>0</v>
      </c>
      <c r="E19" s="1" t="str">
        <f aca="false">IF(D19=0,"Y","N")</f>
        <v>Y</v>
      </c>
      <c r="F19" s="10" t="s">
        <v>2917</v>
      </c>
    </row>
    <row r="20" customFormat="false" ht="32.8" hidden="false" customHeight="false" outlineLevel="0" collapsed="false">
      <c r="A20" s="1" t="s">
        <v>2919</v>
      </c>
      <c r="B20" s="1" t="n">
        <f aca="false">Growth!D21</f>
        <v>0.0866929262940919</v>
      </c>
      <c r="C20" s="1" t="n">
        <f aca="false">Growth!B21</f>
        <v>0.086692926294092</v>
      </c>
      <c r="D20" s="1" t="n">
        <f aca="false">ROUND(ABS(B20-C20),6)</f>
        <v>0</v>
      </c>
      <c r="E20" s="1" t="str">
        <f aca="false">IF(D20=0,"Y","N")</f>
        <v>Y</v>
      </c>
      <c r="F20" s="10" t="s">
        <v>2917</v>
      </c>
    </row>
    <row r="22" customFormat="false" ht="15" hidden="false" customHeight="false" outlineLevel="0" collapsed="false">
      <c r="A22" s="11" t="s">
        <v>2920</v>
      </c>
    </row>
    <row r="23" customFormat="false" ht="54.75" hidden="false" customHeight="true" outlineLevel="0" collapsed="false">
      <c r="A23" s="3" t="s">
        <v>2921</v>
      </c>
      <c r="B23" s="3"/>
      <c r="C23" s="3"/>
      <c r="D23" s="3"/>
      <c r="E23" s="3"/>
      <c r="F23" s="3"/>
    </row>
    <row r="24" customFormat="false" ht="54.75" hidden="false" customHeight="true" outlineLevel="0" collapsed="false">
      <c r="A24" s="3" t="s">
        <v>2922</v>
      </c>
      <c r="B24" s="3"/>
      <c r="C24" s="3"/>
      <c r="D24" s="3"/>
      <c r="E24" s="3"/>
      <c r="F24" s="3"/>
    </row>
    <row r="25" customFormat="false" ht="54.75" hidden="false" customHeight="true" outlineLevel="0" collapsed="false">
      <c r="A25" s="3" t="s">
        <v>2923</v>
      </c>
      <c r="B25" s="3"/>
      <c r="C25" s="3"/>
      <c r="D25" s="3"/>
      <c r="E25" s="3"/>
      <c r="F25" s="3"/>
    </row>
    <row r="26" customFormat="false" ht="54.75" hidden="false" customHeight="true" outlineLevel="0" collapsed="false">
      <c r="A26" s="3" t="s">
        <v>2924</v>
      </c>
      <c r="B26" s="3"/>
      <c r="C26" s="3"/>
      <c r="D26" s="3"/>
      <c r="E26" s="3"/>
      <c r="F26" s="3"/>
    </row>
    <row r="27" customFormat="false" ht="54.75" hidden="false" customHeight="true" outlineLevel="0" collapsed="false">
      <c r="A27" s="3" t="s">
        <v>2925</v>
      </c>
      <c r="B27" s="3"/>
      <c r="C27" s="3"/>
      <c r="D27" s="3"/>
      <c r="E27" s="3"/>
      <c r="F27" s="3"/>
    </row>
  </sheetData>
  <mergeCells count="6">
    <mergeCell ref="A2:F2"/>
    <mergeCell ref="A23:F23"/>
    <mergeCell ref="A24:F24"/>
    <mergeCell ref="A25:F25"/>
    <mergeCell ref="A26:F26"/>
    <mergeCell ref="A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2026-08-06T07:54:07Z</dcterms:created>
  <dc:creator>openpyxl</dc:creator>
  <dc:description/>
  <dc:language>en-US</dc:language>
  <cp:lastModifiedBy/>
  <dcterms:modified xsi:type="dcterms:W3CDTF">2026-08-06T07:54:07Z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